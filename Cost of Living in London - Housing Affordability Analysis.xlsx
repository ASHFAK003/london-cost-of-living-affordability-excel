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forha\Downloads\"/>
    </mc:Choice>
  </mc:AlternateContent>
  <xr:revisionPtr revIDLastSave="0" documentId="13_ncr:1_{0886D7F8-C3F3-4BAB-816C-0E1736A4F191}" xr6:coauthVersionLast="47" xr6:coauthVersionMax="47" xr10:uidLastSave="{00000000-0000-0000-0000-000000000000}"/>
  <bookViews>
    <workbookView xWindow="-110" yWindow="-110" windowWidth="19420" windowHeight="10300" xr2:uid="{5CA61498-3078-40ED-9FF5-F89AF47C848F}"/>
  </bookViews>
  <sheets>
    <sheet name="Results" sheetId="20" r:id="rId1"/>
    <sheet name="Pivot Tables" sheetId="14" r:id="rId2"/>
    <sheet name="Final Dataset" sheetId="4" r:id="rId3"/>
    <sheet name="Sheet1" sheetId="19" r:id="rId4"/>
    <sheet name="TfL Fare" sheetId="9" r:id="rId5"/>
    <sheet name="House Prices" sheetId="16" r:id="rId6"/>
    <sheet name="Relevant Rental Data" sheetId="11" r:id="rId7"/>
    <sheet name="Sheet15" sheetId="15" r:id="rId8"/>
    <sheet name="Rent June 2025" sheetId="10" r:id="rId9"/>
    <sheet name="JTS0501 2022" sheetId="1" r:id="rId10"/>
    <sheet name="Council Tax 2024-2025" sheetId="5" r:id="rId11"/>
    <sheet name="Sheet18" sheetId="18" r:id="rId12"/>
  </sheets>
  <definedNames>
    <definedName name="_xlnm._FilterDatabase" localSheetId="2" hidden="1">'Final Dataset'!$A$1:$AH$2</definedName>
    <definedName name="_xlnm._FilterDatabase" localSheetId="1" hidden="1">'Pivot Tables'!$A$55:$B$55</definedName>
    <definedName name="ExternalData_1" localSheetId="4" hidden="1">'TfL Fare'!$A$1:$I$47</definedName>
    <definedName name="Slicer_Borough">#N/A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0" l="1"/>
  <c r="B21" i="20"/>
  <c r="AG4" i="4"/>
  <c r="AG5" i="4"/>
  <c r="AG16" i="4"/>
  <c r="AG22" i="4"/>
  <c r="AG32" i="4"/>
  <c r="AG9" i="4"/>
  <c r="AG25" i="4"/>
  <c r="AG19" i="4"/>
  <c r="AG13" i="4"/>
  <c r="AG27" i="4"/>
  <c r="AG15" i="4"/>
  <c r="AG6" i="4"/>
  <c r="AG18" i="4"/>
  <c r="AG28" i="4"/>
  <c r="AG14" i="4"/>
  <c r="AG24" i="4"/>
  <c r="AG29" i="4"/>
  <c r="AG21" i="4"/>
  <c r="AG30" i="4"/>
  <c r="AG7" i="4"/>
  <c r="AG17" i="4"/>
  <c r="AG20" i="4"/>
  <c r="AG8" i="4"/>
  <c r="AG34" i="4"/>
  <c r="AG10" i="4"/>
  <c r="AG23" i="4"/>
  <c r="AG26" i="4"/>
  <c r="AG31" i="4"/>
  <c r="AG12" i="4"/>
  <c r="AG33" i="4"/>
  <c r="AG11" i="4"/>
  <c r="AH4" i="4"/>
  <c r="AH5" i="4"/>
  <c r="AH16" i="4"/>
  <c r="AH22" i="4"/>
  <c r="AH32" i="4"/>
  <c r="AH25" i="4"/>
  <c r="AH19" i="4"/>
  <c r="AH13" i="4"/>
  <c r="AH27" i="4"/>
  <c r="AH15" i="4"/>
  <c r="AH28" i="4"/>
  <c r="AH24" i="4"/>
  <c r="AH29" i="4"/>
  <c r="AH21" i="4"/>
  <c r="AH30" i="4"/>
  <c r="AH20" i="4"/>
  <c r="AH34" i="4"/>
  <c r="AH31" i="4"/>
  <c r="AH3" i="4"/>
  <c r="AA12" i="4"/>
  <c r="AF32" i="4"/>
  <c r="AF11" i="4"/>
  <c r="AF22" i="4"/>
  <c r="AF8" i="4"/>
  <c r="AF5" i="4"/>
  <c r="AF33" i="4"/>
  <c r="AF13" i="4"/>
  <c r="AF20" i="4"/>
  <c r="AF26" i="4"/>
  <c r="AF6" i="4"/>
  <c r="AF16" i="4"/>
  <c r="AF15" i="4"/>
  <c r="AF19" i="4"/>
  <c r="AF31" i="4"/>
  <c r="AF30" i="4"/>
  <c r="AF14" i="4"/>
  <c r="AF9" i="4"/>
  <c r="AF3" i="4"/>
  <c r="AF28" i="4"/>
  <c r="AF17" i="4"/>
  <c r="AF23" i="4"/>
  <c r="AF24" i="4"/>
  <c r="AF7" i="4"/>
  <c r="AF21" i="4"/>
  <c r="AF27" i="4"/>
  <c r="AF18" i="4"/>
  <c r="AF34" i="4"/>
  <c r="AF10" i="4"/>
  <c r="AF29" i="4"/>
  <c r="AF25" i="4"/>
  <c r="AF4" i="4"/>
  <c r="AF12" i="4"/>
  <c r="AC32" i="4"/>
  <c r="AC11" i="4"/>
  <c r="AC22" i="4"/>
  <c r="AC8" i="4"/>
  <c r="AC5" i="4"/>
  <c r="AC33" i="4"/>
  <c r="AC13" i="4"/>
  <c r="AC20" i="4"/>
  <c r="AC26" i="4"/>
  <c r="AC6" i="4"/>
  <c r="AC16" i="4"/>
  <c r="AC15" i="4"/>
  <c r="AC19" i="4"/>
  <c r="AC31" i="4"/>
  <c r="AC30" i="4"/>
  <c r="AC14" i="4"/>
  <c r="AC9" i="4"/>
  <c r="AC3" i="4"/>
  <c r="AC28" i="4"/>
  <c r="AC17" i="4"/>
  <c r="AC23" i="4"/>
  <c r="AC24" i="4"/>
  <c r="AC7" i="4"/>
  <c r="AC21" i="4"/>
  <c r="AC27" i="4"/>
  <c r="AC18" i="4"/>
  <c r="AC34" i="4"/>
  <c r="AC10" i="4"/>
  <c r="AC29" i="4"/>
  <c r="AC25" i="4"/>
  <c r="AC4" i="4"/>
  <c r="AC12" i="4"/>
  <c r="AB12" i="4"/>
  <c r="AB32" i="4"/>
  <c r="AB11" i="4"/>
  <c r="AB22" i="4"/>
  <c r="AB8" i="4"/>
  <c r="AB5" i="4"/>
  <c r="AB33" i="4"/>
  <c r="AB13" i="4"/>
  <c r="AB20" i="4"/>
  <c r="AB26" i="4"/>
  <c r="AB6" i="4"/>
  <c r="AB16" i="4"/>
  <c r="AB15" i="4"/>
  <c r="AB19" i="4"/>
  <c r="AB31" i="4"/>
  <c r="AB30" i="4"/>
  <c r="AB14" i="4"/>
  <c r="AB9" i="4"/>
  <c r="AB3" i="4"/>
  <c r="AB28" i="4"/>
  <c r="AB17" i="4"/>
  <c r="AB23" i="4"/>
  <c r="AB24" i="4"/>
  <c r="AB7" i="4"/>
  <c r="AB21" i="4"/>
  <c r="AB27" i="4"/>
  <c r="AB18" i="4"/>
  <c r="AB34" i="4"/>
  <c r="AB10" i="4"/>
  <c r="AB29" i="4"/>
  <c r="AB25" i="4"/>
  <c r="AB4" i="4"/>
  <c r="AA32" i="4"/>
  <c r="AA11" i="4"/>
  <c r="AA22" i="4"/>
  <c r="AA8" i="4"/>
  <c r="AA5" i="4"/>
  <c r="AA33" i="4"/>
  <c r="AA13" i="4"/>
  <c r="AA20" i="4"/>
  <c r="AA26" i="4"/>
  <c r="AA6" i="4"/>
  <c r="AA16" i="4"/>
  <c r="AA15" i="4"/>
  <c r="AA19" i="4"/>
  <c r="AA31" i="4"/>
  <c r="AA30" i="4"/>
  <c r="AA14" i="4"/>
  <c r="AA9" i="4"/>
  <c r="AA3" i="4"/>
  <c r="AA28" i="4"/>
  <c r="AA17" i="4"/>
  <c r="AA23" i="4"/>
  <c r="AA24" i="4"/>
  <c r="AA7" i="4"/>
  <c r="AA21" i="4"/>
  <c r="AA27" i="4"/>
  <c r="AA18" i="4"/>
  <c r="AA34" i="4"/>
  <c r="AA10" i="4"/>
  <c r="AA29" i="4"/>
  <c r="AA25" i="4"/>
  <c r="AA4" i="4"/>
  <c r="Z12" i="4"/>
  <c r="Z32" i="4"/>
  <c r="Z11" i="4"/>
  <c r="Z22" i="4"/>
  <c r="Z8" i="4"/>
  <c r="Z5" i="4"/>
  <c r="Z33" i="4"/>
  <c r="Z13" i="4"/>
  <c r="Z20" i="4"/>
  <c r="Z26" i="4"/>
  <c r="Z6" i="4"/>
  <c r="Z16" i="4"/>
  <c r="Z15" i="4"/>
  <c r="Z19" i="4"/>
  <c r="Z31" i="4"/>
  <c r="Z30" i="4"/>
  <c r="Z14" i="4"/>
  <c r="Z9" i="4"/>
  <c r="Z3" i="4"/>
  <c r="Z28" i="4"/>
  <c r="Z17" i="4"/>
  <c r="Z23" i="4"/>
  <c r="Z24" i="4"/>
  <c r="Z7" i="4"/>
  <c r="Z21" i="4"/>
  <c r="Z27" i="4"/>
  <c r="Z18" i="4"/>
  <c r="Z34" i="4"/>
  <c r="Z10" i="4"/>
  <c r="Z29" i="4"/>
  <c r="Z25" i="4"/>
  <c r="Z4" i="4"/>
  <c r="G170" i="11"/>
  <c r="G128" i="11"/>
  <c r="G92" i="11"/>
  <c r="G80" i="11"/>
  <c r="G43" i="11"/>
  <c r="G42" i="11"/>
  <c r="G39" i="11"/>
  <c r="G38" i="11"/>
  <c r="G15" i="11"/>
  <c r="G3" i="11"/>
  <c r="G2" i="11"/>
  <c r="F170" i="11"/>
  <c r="F43" i="11"/>
  <c r="F38" i="11"/>
  <c r="F3" i="11"/>
  <c r="E170" i="11"/>
  <c r="E128" i="11"/>
  <c r="E92" i="11"/>
  <c r="E80" i="11"/>
  <c r="E43" i="11"/>
  <c r="E42" i="11"/>
  <c r="E39" i="11"/>
  <c r="E38" i="11"/>
  <c r="E15" i="11"/>
  <c r="E3" i="11"/>
  <c r="E2" i="11"/>
  <c r="D170" i="11"/>
  <c r="D43" i="11"/>
  <c r="D38" i="11"/>
  <c r="D3" i="11"/>
  <c r="S1" i="4"/>
  <c r="S11" i="4"/>
  <c r="R1" i="4"/>
  <c r="Q1" i="4"/>
  <c r="P1" i="4"/>
  <c r="BY2" i="1"/>
  <c r="S32" i="4" s="1"/>
  <c r="BY3" i="1"/>
  <c r="Q9" i="4" s="1"/>
  <c r="BY4" i="1"/>
  <c r="S22" i="4" s="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2" i="1"/>
  <c r="BY113" i="1"/>
  <c r="BY114" i="1"/>
  <c r="BY115" i="1"/>
  <c r="BY116" i="1"/>
  <c r="BY117" i="1"/>
  <c r="BY118" i="1"/>
  <c r="BY119" i="1"/>
  <c r="BY120" i="1"/>
  <c r="BY121" i="1"/>
  <c r="BY122" i="1"/>
  <c r="BY123" i="1"/>
  <c r="BY124" i="1"/>
  <c r="BY125" i="1"/>
  <c r="BY126" i="1"/>
  <c r="BY127" i="1"/>
  <c r="BY128" i="1"/>
  <c r="BY129" i="1"/>
  <c r="BY130" i="1"/>
  <c r="BY131" i="1"/>
  <c r="BY132" i="1"/>
  <c r="BY133" i="1"/>
  <c r="BY134" i="1"/>
  <c r="BY135" i="1"/>
  <c r="BY136" i="1"/>
  <c r="BY137" i="1"/>
  <c r="BY138" i="1"/>
  <c r="BY139" i="1"/>
  <c r="BY140" i="1"/>
  <c r="BY141" i="1"/>
  <c r="BY142" i="1"/>
  <c r="BY143" i="1"/>
  <c r="BY144" i="1"/>
  <c r="BY145" i="1"/>
  <c r="BY146" i="1"/>
  <c r="BY147" i="1"/>
  <c r="BY148" i="1"/>
  <c r="BY149" i="1"/>
  <c r="BY150" i="1"/>
  <c r="BY151" i="1"/>
  <c r="BY152" i="1"/>
  <c r="BY153" i="1"/>
  <c r="BY154" i="1"/>
  <c r="BY155" i="1"/>
  <c r="BY156" i="1"/>
  <c r="BY157" i="1"/>
  <c r="BY158" i="1"/>
  <c r="BY159" i="1"/>
  <c r="BY160" i="1"/>
  <c r="BY161" i="1"/>
  <c r="BY162" i="1"/>
  <c r="BY163" i="1"/>
  <c r="BY164" i="1"/>
  <c r="BY165" i="1"/>
  <c r="BY166" i="1"/>
  <c r="BY167" i="1"/>
  <c r="BY168" i="1"/>
  <c r="BY169" i="1"/>
  <c r="BY170" i="1"/>
  <c r="BY171" i="1"/>
  <c r="BY172" i="1"/>
  <c r="BY173" i="1"/>
  <c r="BY174" i="1"/>
  <c r="BY175" i="1"/>
  <c r="BY176" i="1"/>
  <c r="BY177" i="1"/>
  <c r="BY178" i="1"/>
  <c r="BY179" i="1"/>
  <c r="BY180" i="1"/>
  <c r="BY181" i="1"/>
  <c r="BY182" i="1"/>
  <c r="BY183" i="1"/>
  <c r="BY184" i="1"/>
  <c r="BY185" i="1"/>
  <c r="BY186" i="1"/>
  <c r="BY187" i="1"/>
  <c r="BY188" i="1"/>
  <c r="BY189" i="1"/>
  <c r="BY190" i="1"/>
  <c r="BY191" i="1"/>
  <c r="BY192" i="1"/>
  <c r="BY193" i="1"/>
  <c r="BY194" i="1"/>
  <c r="BY195" i="1"/>
  <c r="BY196" i="1"/>
  <c r="BY197" i="1"/>
  <c r="BY198" i="1"/>
  <c r="BY199" i="1"/>
  <c r="BY200" i="1"/>
  <c r="BY201" i="1"/>
  <c r="BY202" i="1"/>
  <c r="BY203" i="1"/>
  <c r="BY204" i="1"/>
  <c r="BY205" i="1"/>
  <c r="BY206" i="1"/>
  <c r="BY207" i="1"/>
  <c r="BY208" i="1"/>
  <c r="BY209" i="1"/>
  <c r="BY210" i="1"/>
  <c r="BY211" i="1"/>
  <c r="BY212" i="1"/>
  <c r="BY213" i="1"/>
  <c r="BY214" i="1"/>
  <c r="BY215" i="1"/>
  <c r="BY216" i="1"/>
  <c r="BY217" i="1"/>
  <c r="BY218" i="1"/>
  <c r="BY219" i="1"/>
  <c r="BY220" i="1"/>
  <c r="BY221" i="1"/>
  <c r="BY222" i="1"/>
  <c r="BY223" i="1"/>
  <c r="BY224" i="1"/>
  <c r="BY225" i="1"/>
  <c r="BY226" i="1"/>
  <c r="BY227" i="1"/>
  <c r="BY228" i="1"/>
  <c r="BY229" i="1"/>
  <c r="BY230" i="1"/>
  <c r="BY231" i="1"/>
  <c r="BY232" i="1"/>
  <c r="BY233" i="1"/>
  <c r="BY234" i="1"/>
  <c r="BY235" i="1"/>
  <c r="BY236" i="1"/>
  <c r="BY237" i="1"/>
  <c r="BY238" i="1"/>
  <c r="BY239" i="1"/>
  <c r="BY240" i="1"/>
  <c r="BY241" i="1"/>
  <c r="BY242" i="1"/>
  <c r="BY243" i="1"/>
  <c r="BY244" i="1"/>
  <c r="BY245" i="1"/>
  <c r="BY246" i="1"/>
  <c r="BY247" i="1"/>
  <c r="BY248" i="1"/>
  <c r="BY249" i="1"/>
  <c r="BY250" i="1"/>
  <c r="BY251" i="1"/>
  <c r="BY252" i="1"/>
  <c r="BY253" i="1"/>
  <c r="BY254" i="1"/>
  <c r="BY255" i="1"/>
  <c r="BY256" i="1"/>
  <c r="BY257" i="1"/>
  <c r="BY258" i="1"/>
  <c r="BY259" i="1"/>
  <c r="BY260" i="1"/>
  <c r="BY261" i="1"/>
  <c r="BY262" i="1"/>
  <c r="BY263" i="1"/>
  <c r="BY264" i="1"/>
  <c r="BY265" i="1"/>
  <c r="BY266" i="1"/>
  <c r="BY267" i="1"/>
  <c r="BY268" i="1"/>
  <c r="BY269" i="1"/>
  <c r="BY270" i="1"/>
  <c r="BY271" i="1"/>
  <c r="BY272" i="1"/>
  <c r="BY273" i="1"/>
  <c r="BY274" i="1"/>
  <c r="BY275" i="1"/>
  <c r="BY276" i="1"/>
  <c r="BY277" i="1"/>
  <c r="BY278" i="1"/>
  <c r="BY279" i="1"/>
  <c r="BY280" i="1"/>
  <c r="BY281" i="1"/>
  <c r="BY282" i="1"/>
  <c r="BY283" i="1"/>
  <c r="BY284" i="1"/>
  <c r="BY285" i="1"/>
  <c r="BY286" i="1"/>
  <c r="BY287" i="1"/>
  <c r="BY288" i="1"/>
  <c r="BY289" i="1"/>
  <c r="BY290" i="1"/>
  <c r="BY291" i="1"/>
  <c r="BY292" i="1"/>
  <c r="BY293" i="1"/>
  <c r="BY294" i="1"/>
  <c r="BY295" i="1"/>
  <c r="BY296" i="1"/>
  <c r="BY297" i="1"/>
  <c r="BY298" i="1"/>
  <c r="BY299" i="1"/>
  <c r="BY300" i="1"/>
  <c r="BY301" i="1"/>
  <c r="BY302" i="1"/>
  <c r="BY303" i="1"/>
  <c r="BY304" i="1"/>
  <c r="BY305" i="1"/>
  <c r="BY306" i="1"/>
  <c r="BY307" i="1"/>
  <c r="BY308" i="1"/>
  <c r="BY309" i="1"/>
  <c r="BY310" i="1"/>
  <c r="BY311" i="1"/>
  <c r="BY312" i="1"/>
  <c r="BY313" i="1"/>
  <c r="BY314" i="1"/>
  <c r="BY315" i="1"/>
  <c r="BY316" i="1"/>
  <c r="BY317" i="1"/>
  <c r="BY318" i="1"/>
  <c r="BY319" i="1"/>
  <c r="BY320" i="1"/>
  <c r="BY321" i="1"/>
  <c r="BY322" i="1"/>
  <c r="BY323" i="1"/>
  <c r="BY324" i="1"/>
  <c r="BY325" i="1"/>
  <c r="BY326" i="1"/>
  <c r="BY327" i="1"/>
  <c r="BY328" i="1"/>
  <c r="BY329" i="1"/>
  <c r="BY330" i="1"/>
  <c r="BY331" i="1"/>
  <c r="BY332" i="1"/>
  <c r="BY333" i="1"/>
  <c r="BY334" i="1"/>
  <c r="BY335" i="1"/>
  <c r="BY336" i="1"/>
  <c r="BY337" i="1"/>
  <c r="BY338" i="1"/>
  <c r="BY339" i="1"/>
  <c r="BY340" i="1"/>
  <c r="BY341" i="1"/>
  <c r="BY342" i="1"/>
  <c r="BY343" i="1"/>
  <c r="BY344" i="1"/>
  <c r="BY345" i="1"/>
  <c r="BY346" i="1"/>
  <c r="BY347" i="1"/>
  <c r="BY348" i="1"/>
  <c r="BY349" i="1"/>
  <c r="BY350" i="1"/>
  <c r="BY351" i="1"/>
  <c r="BY352" i="1"/>
  <c r="BY353" i="1"/>
  <c r="BY354" i="1"/>
  <c r="BY355" i="1"/>
  <c r="BY356" i="1"/>
  <c r="BY357" i="1"/>
  <c r="BY358" i="1"/>
  <c r="BY359" i="1"/>
  <c r="BY360" i="1"/>
  <c r="BY361" i="1"/>
  <c r="BY362" i="1"/>
  <c r="E3" i="4"/>
  <c r="E5" i="4"/>
  <c r="B18" i="20" l="1"/>
  <c r="B19" i="20"/>
  <c r="B22" i="20"/>
  <c r="B15" i="20"/>
  <c r="B16" i="20"/>
  <c r="B17" i="20"/>
  <c r="AD7" i="4"/>
  <c r="AD13" i="4"/>
  <c r="AG3" i="4"/>
  <c r="AD4" i="4"/>
  <c r="AD30" i="4"/>
  <c r="AD21" i="4"/>
  <c r="AD14" i="4"/>
  <c r="AD20" i="4"/>
  <c r="AD12" i="4"/>
  <c r="AD3" i="4"/>
  <c r="AD6" i="4"/>
  <c r="AD11" i="4"/>
  <c r="AD25" i="4"/>
  <c r="AD24" i="4"/>
  <c r="AD33" i="4"/>
  <c r="AD31" i="4"/>
  <c r="AD23" i="4"/>
  <c r="AD5" i="4"/>
  <c r="AD27" i="4"/>
  <c r="AD9" i="4"/>
  <c r="AD26" i="4"/>
  <c r="AD32" i="4"/>
  <c r="AD29" i="4"/>
  <c r="AD19" i="4"/>
  <c r="AD18" i="4"/>
  <c r="AD8" i="4"/>
  <c r="AD17" i="4"/>
  <c r="AD10" i="4"/>
  <c r="AD34" i="4"/>
  <c r="AD16" i="4"/>
  <c r="AD22" i="4"/>
  <c r="AD15" i="4"/>
  <c r="AD28" i="4"/>
  <c r="P27" i="4"/>
  <c r="P9" i="4"/>
  <c r="P26" i="4"/>
  <c r="P32" i="4"/>
  <c r="Q10" i="4"/>
  <c r="Q17" i="4"/>
  <c r="Q15" i="4"/>
  <c r="Q8" i="4"/>
  <c r="R25" i="4"/>
  <c r="R24" i="4"/>
  <c r="R31" i="4"/>
  <c r="R33" i="4"/>
  <c r="S12" i="4"/>
  <c r="S21" i="4"/>
  <c r="S14" i="4"/>
  <c r="S20" i="4"/>
  <c r="S2" i="4"/>
  <c r="P23" i="4"/>
  <c r="Q12" i="4"/>
  <c r="Q20" i="4"/>
  <c r="R3" i="4"/>
  <c r="S10" i="4"/>
  <c r="P10" i="4"/>
  <c r="P8" i="4"/>
  <c r="Q7" i="4"/>
  <c r="Q13" i="4"/>
  <c r="R9" i="4"/>
  <c r="S34" i="4"/>
  <c r="Q25" i="4"/>
  <c r="S3" i="4"/>
  <c r="P21" i="4"/>
  <c r="P14" i="4"/>
  <c r="P20" i="4"/>
  <c r="P12" i="4"/>
  <c r="Q34" i="4"/>
  <c r="Q28" i="4"/>
  <c r="Q16" i="4"/>
  <c r="Q22" i="4"/>
  <c r="R29" i="4"/>
  <c r="R23" i="4"/>
  <c r="R19" i="4"/>
  <c r="R5" i="4"/>
  <c r="S4" i="4"/>
  <c r="S7" i="4"/>
  <c r="S30" i="4"/>
  <c r="S13" i="4"/>
  <c r="P5" i="4"/>
  <c r="Q14" i="4"/>
  <c r="R18" i="4"/>
  <c r="R6" i="4"/>
  <c r="S15" i="4"/>
  <c r="P15" i="4"/>
  <c r="Q4" i="4"/>
  <c r="Q30" i="4"/>
  <c r="R27" i="4"/>
  <c r="R32" i="4"/>
  <c r="S16" i="4"/>
  <c r="P34" i="4"/>
  <c r="P16" i="4"/>
  <c r="Q24" i="4"/>
  <c r="R12" i="4"/>
  <c r="R14" i="4"/>
  <c r="R2" i="4"/>
  <c r="S6" i="4"/>
  <c r="P4" i="4"/>
  <c r="P7" i="4"/>
  <c r="P30" i="4"/>
  <c r="P13" i="4"/>
  <c r="Q18" i="4"/>
  <c r="Q3" i="4"/>
  <c r="Q6" i="4"/>
  <c r="Q11" i="4"/>
  <c r="R10" i="4"/>
  <c r="R17" i="4"/>
  <c r="R15" i="4"/>
  <c r="R8" i="4"/>
  <c r="S25" i="4"/>
  <c r="S24" i="4"/>
  <c r="S31" i="4"/>
  <c r="S33" i="4"/>
  <c r="P29" i="4"/>
  <c r="P19" i="4"/>
  <c r="Q21" i="4"/>
  <c r="Q2" i="4"/>
  <c r="R11" i="4"/>
  <c r="S17" i="4"/>
  <c r="P17" i="4"/>
  <c r="R26" i="4"/>
  <c r="S28" i="4"/>
  <c r="P28" i="4"/>
  <c r="P22" i="4"/>
  <c r="Q31" i="4"/>
  <c r="Q33" i="4"/>
  <c r="R21" i="4"/>
  <c r="R20" i="4"/>
  <c r="S18" i="4"/>
  <c r="P25" i="4"/>
  <c r="P24" i="4"/>
  <c r="P31" i="4"/>
  <c r="P33" i="4"/>
  <c r="P2" i="4"/>
  <c r="Q27" i="4"/>
  <c r="Q26" i="4"/>
  <c r="Q32" i="4"/>
  <c r="R34" i="4"/>
  <c r="R28" i="4"/>
  <c r="R16" i="4"/>
  <c r="R22" i="4"/>
  <c r="S29" i="4"/>
  <c r="S23" i="4"/>
  <c r="S19" i="4"/>
  <c r="S5" i="4"/>
  <c r="S8" i="4"/>
  <c r="P18" i="4"/>
  <c r="P3" i="4"/>
  <c r="P6" i="4"/>
  <c r="P11" i="4"/>
  <c r="Q29" i="4"/>
  <c r="Q23" i="4"/>
  <c r="Q19" i="4"/>
  <c r="Q5" i="4"/>
  <c r="R4" i="4"/>
  <c r="R7" i="4"/>
  <c r="R30" i="4"/>
  <c r="R13" i="4"/>
  <c r="S27" i="4"/>
  <c r="S9" i="4"/>
  <c r="S26" i="4"/>
  <c r="AE8" i="4" l="1"/>
  <c r="AE10" i="4"/>
  <c r="AE17" i="4"/>
  <c r="AE21" i="4"/>
  <c r="AE14" i="4"/>
  <c r="AE11" i="4"/>
  <c r="AE6" i="4"/>
  <c r="AE5" i="4"/>
  <c r="B24" i="20" s="1"/>
  <c r="AE13" i="4"/>
  <c r="AE15" i="4"/>
  <c r="AE3" i="4"/>
  <c r="AE31" i="4"/>
  <c r="AE30" i="4"/>
  <c r="AE18" i="4"/>
  <c r="AE24" i="4"/>
  <c r="AE28" i="4"/>
  <c r="AE19" i="4"/>
  <c r="AE7" i="4"/>
  <c r="AE34" i="4"/>
  <c r="AE12" i="4"/>
  <c r="AE23" i="4"/>
  <c r="AE9" i="4"/>
  <c r="AE33" i="4"/>
  <c r="AE32" i="4"/>
  <c r="AE22" i="4"/>
  <c r="AE16" i="4"/>
  <c r="AE26" i="4"/>
  <c r="AE25" i="4"/>
  <c r="AE29" i="4"/>
  <c r="AE4" i="4"/>
  <c r="AE20" i="4"/>
  <c r="AE27" i="4"/>
  <c r="B20" i="2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18BCDA-3E77-4EC1-B3C8-5D1B23B57F3C}" keepAlive="1" name="Query - Table001 (Page 1-2)" description="Connection to the 'Table001 (Page 1-2)' query in the workbook." type="5" refreshedVersion="8" background="1" saveData="1">
    <dbPr connection="Provider=Microsoft.Mashup.OleDb.1;Data Source=$Workbook$;Location=&quot;Table001 (Page 1-2)&quot;;Extended Properties=&quot;&quot;" command="SELECT * FROM [Table001 (Page 1-2)]"/>
  </connection>
</connections>
</file>

<file path=xl/sharedStrings.xml><?xml version="1.0" encoding="utf-8"?>
<sst xmlns="http://schemas.openxmlformats.org/spreadsheetml/2006/main" count="2968" uniqueCount="1136">
  <si>
    <t>Region</t>
  </si>
  <si>
    <t>LA_Code</t>
  </si>
  <si>
    <t>LA_Name</t>
  </si>
  <si>
    <t>Empl_pop</t>
  </si>
  <si>
    <t>100EmpPTt</t>
  </si>
  <si>
    <t>100EmpPT15n</t>
  </si>
  <si>
    <t>100EmpPT30n</t>
  </si>
  <si>
    <t>100EmpPT45n</t>
  </si>
  <si>
    <t>100EmpPT60n</t>
  </si>
  <si>
    <t>100EmpPT15pct</t>
  </si>
  <si>
    <t>100EmpPT30pct</t>
  </si>
  <si>
    <t>100EmpPT45pct</t>
  </si>
  <si>
    <t>100EmpPT60pct</t>
  </si>
  <si>
    <t>100EmpCyct</t>
  </si>
  <si>
    <t>100EmpCyc15n</t>
  </si>
  <si>
    <t>100EmpCyc30n</t>
  </si>
  <si>
    <t>100EmpCyc45n</t>
  </si>
  <si>
    <t>100EmpCyc60n</t>
  </si>
  <si>
    <t>100EmpCyc15pct</t>
  </si>
  <si>
    <t>100EmpCyc30pct</t>
  </si>
  <si>
    <t>100EmpCyc45pct</t>
  </si>
  <si>
    <t>100EmpCyc60pct</t>
  </si>
  <si>
    <t>100EmpCart</t>
  </si>
  <si>
    <t>100EmpCar15n</t>
  </si>
  <si>
    <t>100EmpCar30n</t>
  </si>
  <si>
    <t>100EmpCar45n</t>
  </si>
  <si>
    <t>100EmpCar60n</t>
  </si>
  <si>
    <t>100EmpCar15pct</t>
  </si>
  <si>
    <t>100EmpCar30pct</t>
  </si>
  <si>
    <t>100EmpCar45pct</t>
  </si>
  <si>
    <t>100EmpCar60pct</t>
  </si>
  <si>
    <t>100EmpWalkt</t>
  </si>
  <si>
    <t>100EmpWalk15n</t>
  </si>
  <si>
    <t>100EmpWalk30n</t>
  </si>
  <si>
    <t>100EmpWalk45n</t>
  </si>
  <si>
    <t>100EmpWalk60n</t>
  </si>
  <si>
    <t>100EmpWalk15pct</t>
  </si>
  <si>
    <t>100EmpWalk30pct</t>
  </si>
  <si>
    <t>100EmpWalk45pct</t>
  </si>
  <si>
    <t>100EmpWalk60pct</t>
  </si>
  <si>
    <t>500EmpPTt</t>
  </si>
  <si>
    <t>500EmpPT15n</t>
  </si>
  <si>
    <t>500EmpPT30n</t>
  </si>
  <si>
    <t>500EmpPT45n</t>
  </si>
  <si>
    <t>500EmpPT60n</t>
  </si>
  <si>
    <t>500EmpPT15pct</t>
  </si>
  <si>
    <t>500EmpPT30pct</t>
  </si>
  <si>
    <t>500EmpPT45pct</t>
  </si>
  <si>
    <t>500EmpPT60pct</t>
  </si>
  <si>
    <t>500EmpCyct</t>
  </si>
  <si>
    <t>500EmpCyc15n</t>
  </si>
  <si>
    <t>500EmpCyc30n</t>
  </si>
  <si>
    <t>500EmpCyc45n</t>
  </si>
  <si>
    <t>500EmpCyc60n</t>
  </si>
  <si>
    <t>500EmpCyc15pct</t>
  </si>
  <si>
    <t>500EmpCyc30pct</t>
  </si>
  <si>
    <t>500EmpCyc45pct</t>
  </si>
  <si>
    <t>500EmpCyc60pct</t>
  </si>
  <si>
    <t>500EmpCart</t>
  </si>
  <si>
    <t>500EmpCar15n</t>
  </si>
  <si>
    <t>500EmpCar30n</t>
  </si>
  <si>
    <t>500EmpCar45n</t>
  </si>
  <si>
    <t>500EmpCar60n</t>
  </si>
  <si>
    <t>500EmpCar15pct</t>
  </si>
  <si>
    <t>500EmpCar30pct</t>
  </si>
  <si>
    <t>500EmpCar45pct</t>
  </si>
  <si>
    <t>500EmpCar60pct</t>
  </si>
  <si>
    <t>500EmpWalkt</t>
  </si>
  <si>
    <t>500EmpWalk15n</t>
  </si>
  <si>
    <t>500EmpWalk30n</t>
  </si>
  <si>
    <t>500EmpWalk45n</t>
  </si>
  <si>
    <t>500EmpWalk60n</t>
  </si>
  <si>
    <t>500EmpWalk15pct</t>
  </si>
  <si>
    <t>500EmpWalk30pct</t>
  </si>
  <si>
    <t>500EmpWalk45pct</t>
  </si>
  <si>
    <t>500EmpWalk60pct</t>
  </si>
  <si>
    <t>5000EmpPTt</t>
  </si>
  <si>
    <t>5000EmpPT15n</t>
  </si>
  <si>
    <t>5000EmpPT30n</t>
  </si>
  <si>
    <t>5000EmpPT45n</t>
  </si>
  <si>
    <t>5000EmpPT60n</t>
  </si>
  <si>
    <t>5000EmpPT15pct</t>
  </si>
  <si>
    <t>5000EmpPT30pct</t>
  </si>
  <si>
    <t>5000EmpPT45pct</t>
  </si>
  <si>
    <t>5000EmpPT60pct</t>
  </si>
  <si>
    <t>5000EmpCyct</t>
  </si>
  <si>
    <t>5000EmpCyc15n</t>
  </si>
  <si>
    <t>5000EmpCyc30n</t>
  </si>
  <si>
    <t>5000EmpCyc45n</t>
  </si>
  <si>
    <t>5000EmpCyc60n</t>
  </si>
  <si>
    <t>5000EmpCyc15pct</t>
  </si>
  <si>
    <t>5000EmpCyc30pct</t>
  </si>
  <si>
    <t>5000EmpCyc45pct</t>
  </si>
  <si>
    <t>5000EmpCyc60pct</t>
  </si>
  <si>
    <t>5000EmpCart</t>
  </si>
  <si>
    <t>5000EmpCar15n</t>
  </si>
  <si>
    <t>5000EmpCar30n</t>
  </si>
  <si>
    <t>5000EmpCar45n</t>
  </si>
  <si>
    <t>5000EmpCar60n</t>
  </si>
  <si>
    <t>5000EmpCar15pct</t>
  </si>
  <si>
    <t>5000EmpCar30pct</t>
  </si>
  <si>
    <t>5000EmpCar45pct</t>
  </si>
  <si>
    <t>5000EmpCar60pct</t>
  </si>
  <si>
    <t>5000EmpWalkt</t>
  </si>
  <si>
    <t>5000EmpWalk15n</t>
  </si>
  <si>
    <t>5000EmpWalk30n</t>
  </si>
  <si>
    <t>5000EmpWalk45n</t>
  </si>
  <si>
    <t>5000EmpWalk60n</t>
  </si>
  <si>
    <t>5000EmpWalk15pct</t>
  </si>
  <si>
    <t>5000EmpWalk30pct</t>
  </si>
  <si>
    <t>5000EmpWalk45pct</t>
  </si>
  <si>
    <t>5000EmpWalk60pct</t>
  </si>
  <si>
    <t>North East</t>
  </si>
  <si>
    <t>E06000047</t>
  </si>
  <si>
    <t>County Durham</t>
  </si>
  <si>
    <t>E06000005</t>
  </si>
  <si>
    <t>Darlington</t>
  </si>
  <si>
    <t>E06000001</t>
  </si>
  <si>
    <t>Hartlepool</t>
  </si>
  <si>
    <t>E06000002</t>
  </si>
  <si>
    <t>Middlesbrough</t>
  </si>
  <si>
    <t>E06000048</t>
  </si>
  <si>
    <t>Northumberland</t>
  </si>
  <si>
    <t>E06000003</t>
  </si>
  <si>
    <t>Redcar and Cleveland</t>
  </si>
  <si>
    <t>E06000004</t>
  </si>
  <si>
    <t>Stockton-on-Tees</t>
  </si>
  <si>
    <t>E11000004</t>
  </si>
  <si>
    <t>Tyne and Wear (Met County)</t>
  </si>
  <si>
    <t>E08000020</t>
  </si>
  <si>
    <t xml:space="preserve">     Gateshead</t>
  </si>
  <si>
    <t>E08000021</t>
  </si>
  <si>
    <t xml:space="preserve">     Newcastle upon Tyne</t>
  </si>
  <si>
    <t>E08000022</t>
  </si>
  <si>
    <t xml:space="preserve">     North Tyneside</t>
  </si>
  <si>
    <t>E08000023</t>
  </si>
  <si>
    <t xml:space="preserve">     South Tyneside</t>
  </si>
  <si>
    <t>E08000024</t>
  </si>
  <si>
    <t xml:space="preserve">     Sunderland</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</si>
  <si>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</si>
  <si>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</si>
  <si>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</si>
  <si>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</si>
  <si>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</si>
  <si>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</si>
  <si>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</si>
  <si>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</si>
  <si>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</si>
  <si>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</si>
  <si>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</si>
  <si>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</si>
  <si>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</si>
  <si>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</si>
  <si>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</si>
  <si>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E07000026</t>
  </si>
  <si>
    <t xml:space="preserve">     Allerdale</t>
  </si>
  <si>
    <t>E07000027</t>
  </si>
  <si>
    <t xml:space="preserve">     Barrow-in-Furness</t>
  </si>
  <si>
    <t>E07000028</t>
  </si>
  <si>
    <t xml:space="preserve">     Carlisle</t>
  </si>
  <si>
    <t>E07000029</t>
  </si>
  <si>
    <t xml:space="preserve">     Copeland</t>
  </si>
  <si>
    <t>E07000030</t>
  </si>
  <si>
    <t xml:space="preserve">     Eden</t>
  </si>
  <si>
    <t>E07000031</t>
  </si>
  <si>
    <t xml:space="preserve">     South Lakeland</t>
  </si>
  <si>
    <t>E11000001</t>
  </si>
  <si>
    <t>Greater Manchester (Met County)</t>
  </si>
  <si>
    <t>E08000001</t>
  </si>
  <si>
    <t xml:space="preserve">     Bolton</t>
  </si>
  <si>
    <t>E08000002</t>
  </si>
  <si>
    <t xml:space="preserve">     Bury</t>
  </si>
  <si>
    <t>E08000003</t>
  </si>
  <si>
    <t xml:space="preserve">     Manchester</t>
  </si>
  <si>
    <t>E08000004</t>
  </si>
  <si>
    <t xml:space="preserve">     Oldham</t>
  </si>
  <si>
    <t>E08000005</t>
  </si>
  <si>
    <t xml:space="preserve">     Rochdale</t>
  </si>
  <si>
    <t>E08000006</t>
  </si>
  <si>
    <t xml:space="preserve">     Salford</t>
  </si>
  <si>
    <t>E08000007</t>
  </si>
  <si>
    <t xml:space="preserve">     Stockport</t>
  </si>
  <si>
    <t>E08000008</t>
  </si>
  <si>
    <t xml:space="preserve">     Tameside</t>
  </si>
  <si>
    <t>E08000009</t>
  </si>
  <si>
    <t xml:space="preserve">     Trafford</t>
  </si>
  <si>
    <t>E08000010</t>
  </si>
  <si>
    <t xml:space="preserve">     Wigan</t>
  </si>
  <si>
    <t>E10000017</t>
  </si>
  <si>
    <t>Lancashire</t>
  </si>
  <si>
    <t>E07000117</t>
  </si>
  <si>
    <t xml:space="preserve">     Burnley</t>
  </si>
  <si>
    <t>E07000118</t>
  </si>
  <si>
    <t xml:space="preserve">     Chorley</t>
  </si>
  <si>
    <t>E07000119</t>
  </si>
  <si>
    <t xml:space="preserve">     Fylde</t>
  </si>
  <si>
    <t>E07000120</t>
  </si>
  <si>
    <t xml:space="preserve">     Hyndburn</t>
  </si>
  <si>
    <t>E07000121</t>
  </si>
  <si>
    <t xml:space="preserve">     Lancaster</t>
  </si>
  <si>
    <t>E07000122</t>
  </si>
  <si>
    <t xml:space="preserve">     Pendle</t>
  </si>
  <si>
    <t>E07000123</t>
  </si>
  <si>
    <t xml:space="preserve">     Preston</t>
  </si>
  <si>
    <t>E07000124</t>
  </si>
  <si>
    <t xml:space="preserve">     Ribble Valley</t>
  </si>
  <si>
    <t>E07000125</t>
  </si>
  <si>
    <t xml:space="preserve">     Rossendale</t>
  </si>
  <si>
    <t>E07000126</t>
  </si>
  <si>
    <t xml:space="preserve">     South Ribble</t>
  </si>
  <si>
    <t>E07000127</t>
  </si>
  <si>
    <t xml:space="preserve">     West Lancashire</t>
  </si>
  <si>
    <t>E07000128</t>
  </si>
  <si>
    <t xml:space="preserve">     Wyre</t>
  </si>
  <si>
    <t>E11000002</t>
  </si>
  <si>
    <t>Merseyside (Met County)</t>
  </si>
  <si>
    <t>E08000011</t>
  </si>
  <si>
    <t xml:space="preserve">     Knowsley</t>
  </si>
  <si>
    <t>E08000012</t>
  </si>
  <si>
    <t xml:space="preserve">     Liverpool</t>
  </si>
  <si>
    <t>E08000014</t>
  </si>
  <si>
    <t xml:space="preserve">     Sefton</t>
  </si>
  <si>
    <t>E08000013</t>
  </si>
  <si>
    <t xml:space="preserve">     St. Helens</t>
  </si>
  <si>
    <t>E08000015</t>
  </si>
  <si>
    <t xml:space="preserve">     Wirral</t>
  </si>
  <si>
    <t>Yorkshire and The Humber</t>
  </si>
  <si>
    <t>E06000011</t>
  </si>
  <si>
    <t>East Riding of Yorkshire</t>
  </si>
  <si>
    <t>E06000010</t>
  </si>
  <si>
    <t>Kingston upon Hull</t>
  </si>
  <si>
    <t>E06000012</t>
  </si>
  <si>
    <t>North East Lincolnshire</t>
  </si>
  <si>
    <t>E06000013</t>
  </si>
  <si>
    <t>North Lincolnshire</t>
  </si>
  <si>
    <t>E06000014</t>
  </si>
  <si>
    <t>York</t>
  </si>
  <si>
    <t>E10000023</t>
  </si>
  <si>
    <t>North Yorkshire</t>
  </si>
  <si>
    <t>E07000163</t>
  </si>
  <si>
    <t xml:space="preserve">     Craven</t>
  </si>
  <si>
    <t>E07000164</t>
  </si>
  <si>
    <t xml:space="preserve">     Hambleton</t>
  </si>
  <si>
    <t>E07000165</t>
  </si>
  <si>
    <t xml:space="preserve">     Harrogate</t>
  </si>
  <si>
    <t>E07000166</t>
  </si>
  <si>
    <t xml:space="preserve">     Richmondshire</t>
  </si>
  <si>
    <t>E07000167</t>
  </si>
  <si>
    <t xml:space="preserve">     Ryedale</t>
  </si>
  <si>
    <t>E07000168</t>
  </si>
  <si>
    <t xml:space="preserve">     Scarborough</t>
  </si>
  <si>
    <t>E07000169</t>
  </si>
  <si>
    <t xml:space="preserve">     Selby</t>
  </si>
  <si>
    <t>E11000003</t>
  </si>
  <si>
    <t>South Yorkshire (Met County)</t>
  </si>
  <si>
    <t>E08000016</t>
  </si>
  <si>
    <t xml:space="preserve">     Barnsley</t>
  </si>
  <si>
    <t>E08000017</t>
  </si>
  <si>
    <t xml:space="preserve">     Doncaster</t>
  </si>
  <si>
    <t>E08000018</t>
  </si>
  <si>
    <t xml:space="preserve">     Rotherham</t>
  </si>
  <si>
    <t>E08000019</t>
  </si>
  <si>
    <t xml:space="preserve">     Sheffield</t>
  </si>
  <si>
    <t>E11000006</t>
  </si>
  <si>
    <t>West Yorkshire (Met County)</t>
  </si>
  <si>
    <t>E08000032</t>
  </si>
  <si>
    <t xml:space="preserve">     Bradford</t>
  </si>
  <si>
    <t>E08000033</t>
  </si>
  <si>
    <t xml:space="preserve">     Calderdale</t>
  </si>
  <si>
    <t>E08000034</t>
  </si>
  <si>
    <t xml:space="preserve">     Kirklees</t>
  </si>
  <si>
    <t>E08000035</t>
  </si>
  <si>
    <t xml:space="preserve">     Leeds</t>
  </si>
  <si>
    <t>E08000036</t>
  </si>
  <si>
    <t xml:space="preserve">     Wakefield</t>
  </si>
  <si>
    <t>East Midlands</t>
  </si>
  <si>
    <t>E06000015</t>
  </si>
  <si>
    <t>Derby</t>
  </si>
  <si>
    <t>E06000016</t>
  </si>
  <si>
    <t>Leicester</t>
  </si>
  <si>
    <t>E06000018</t>
  </si>
  <si>
    <t>Nottingham</t>
  </si>
  <si>
    <t>E06000017</t>
  </si>
  <si>
    <t>Rutland</t>
  </si>
  <si>
    <t>E10000007</t>
  </si>
  <si>
    <t>Derbyshire</t>
  </si>
  <si>
    <t>E07000032</t>
  </si>
  <si>
    <t xml:space="preserve">     Amber Valley</t>
  </si>
  <si>
    <t>E07000033</t>
  </si>
  <si>
    <t xml:space="preserve">     Bolsover</t>
  </si>
  <si>
    <t>E07000034</t>
  </si>
  <si>
    <t xml:space="preserve">     Chesterfield</t>
  </si>
  <si>
    <t>E07000035</t>
  </si>
  <si>
    <t xml:space="preserve">     Derbyshire Dales</t>
  </si>
  <si>
    <t>E07000036</t>
  </si>
  <si>
    <t xml:space="preserve">     Erewash</t>
  </si>
  <si>
    <t>E07000037</t>
  </si>
  <si>
    <t xml:space="preserve">     High Peak</t>
  </si>
  <si>
    <t>E07000038</t>
  </si>
  <si>
    <t xml:space="preserve">     North East Derbyshire</t>
  </si>
  <si>
    <t>E07000039</t>
  </si>
  <si>
    <t xml:space="preserve">     South Derbyshire</t>
  </si>
  <si>
    <t>E10000018</t>
  </si>
  <si>
    <t>Leicestershire</t>
  </si>
  <si>
    <t>E07000129</t>
  </si>
  <si>
    <t xml:space="preserve">     Blaby</t>
  </si>
  <si>
    <t>E07000130</t>
  </si>
  <si>
    <t xml:space="preserve">     Charnwood</t>
  </si>
  <si>
    <t>E07000131</t>
  </si>
  <si>
    <t xml:space="preserve">     Harborough</t>
  </si>
  <si>
    <t>E07000132</t>
  </si>
  <si>
    <t xml:space="preserve">     Hinckley and Bosworth</t>
  </si>
  <si>
    <t>E07000133</t>
  </si>
  <si>
    <t xml:space="preserve">     Melton</t>
  </si>
  <si>
    <t>E07000134</t>
  </si>
  <si>
    <t xml:space="preserve">     North West Leicestershire</t>
  </si>
  <si>
    <t>E07000135</t>
  </si>
  <si>
    <t xml:space="preserve">     Oadby and Wigston</t>
  </si>
  <si>
    <t>E10000019</t>
  </si>
  <si>
    <t>Lincolnshire</t>
  </si>
  <si>
    <t>E07000136</t>
  </si>
  <si>
    <t xml:space="preserve">     Boston</t>
  </si>
  <si>
    <t>E07000137</t>
  </si>
  <si>
    <t xml:space="preserve">     East Lindsey</t>
  </si>
  <si>
    <t>E07000138</t>
  </si>
  <si>
    <t xml:space="preserve">     Lincoln</t>
  </si>
  <si>
    <t>E07000139</t>
  </si>
  <si>
    <t xml:space="preserve">     North Kesteven</t>
  </si>
  <si>
    <t>E07000140</t>
  </si>
  <si>
    <t xml:space="preserve">     South Holland</t>
  </si>
  <si>
    <t>E07000141</t>
  </si>
  <si>
    <t xml:space="preserve">     South Kesteven</t>
  </si>
  <si>
    <t>E07000142</t>
  </si>
  <si>
    <t xml:space="preserve">     West Lindsey</t>
  </si>
  <si>
    <t>E10000021</t>
  </si>
  <si>
    <t>Northamptonshire</t>
  </si>
  <si>
    <t>E07000150</t>
  </si>
  <si>
    <t xml:space="preserve">     Corby</t>
  </si>
  <si>
    <t>E07000151</t>
  </si>
  <si>
    <t xml:space="preserve">     Daventry</t>
  </si>
  <si>
    <t>E07000152</t>
  </si>
  <si>
    <t xml:space="preserve">     East Northamptonshire</t>
  </si>
  <si>
    <t>E07000153</t>
  </si>
  <si>
    <t xml:space="preserve">     Kettering</t>
  </si>
  <si>
    <t>E07000154</t>
  </si>
  <si>
    <t xml:space="preserve">     Northampton</t>
  </si>
  <si>
    <t>E07000155</t>
  </si>
  <si>
    <t xml:space="preserve">     South Northamptonshire</t>
  </si>
  <si>
    <t>E07000156</t>
  </si>
  <si>
    <t xml:space="preserve">     Wellingborough</t>
  </si>
  <si>
    <t>E10000024</t>
  </si>
  <si>
    <t>Nottinghamshire</t>
  </si>
  <si>
    <t>E07000170</t>
  </si>
  <si>
    <t xml:space="preserve">     Ashfield</t>
  </si>
  <si>
    <t>E07000171</t>
  </si>
  <si>
    <t xml:space="preserve">     Bassetlaw</t>
  </si>
  <si>
    <t>E07000172</t>
  </si>
  <si>
    <t xml:space="preserve">     Broxtowe</t>
  </si>
  <si>
    <t>E07000173</t>
  </si>
  <si>
    <t xml:space="preserve">     Gedling</t>
  </si>
  <si>
    <t>E07000174</t>
  </si>
  <si>
    <t xml:space="preserve">     Mansfield</t>
  </si>
  <si>
    <t>E07000175</t>
  </si>
  <si>
    <t xml:space="preserve">     Newark and Sherwood</t>
  </si>
  <si>
    <t>E07000176</t>
  </si>
  <si>
    <t xml:space="preserve">     Rushcliffe</t>
  </si>
  <si>
    <t>West Midlands</t>
  </si>
  <si>
    <t>E06000019</t>
  </si>
  <si>
    <t>Herefordshire</t>
  </si>
  <si>
    <t>E06000051</t>
  </si>
  <si>
    <t>Shropshire</t>
  </si>
  <si>
    <t>E06000021</t>
  </si>
  <si>
    <t>Stoke-on-Trent</t>
  </si>
  <si>
    <t>E06000020</t>
  </si>
  <si>
    <t>Telford and Wrekin</t>
  </si>
  <si>
    <t>E10000028</t>
  </si>
  <si>
    <t>Staffordshire</t>
  </si>
  <si>
    <t>E07000192</t>
  </si>
  <si>
    <t xml:space="preserve">     Cannock Chase</t>
  </si>
  <si>
    <t>E07000193</t>
  </si>
  <si>
    <t xml:space="preserve">     East Staffordshire</t>
  </si>
  <si>
    <t>E07000194</t>
  </si>
  <si>
    <t xml:space="preserve">     Lichfield</t>
  </si>
  <si>
    <t>E07000195</t>
  </si>
  <si>
    <t xml:space="preserve">     Newcastle-under-Lyme</t>
  </si>
  <si>
    <t>E07000196</t>
  </si>
  <si>
    <t xml:space="preserve">     South Staffordshire</t>
  </si>
  <si>
    <t>E07000197</t>
  </si>
  <si>
    <t xml:space="preserve">     Stafford</t>
  </si>
  <si>
    <t>E07000198</t>
  </si>
  <si>
    <t xml:space="preserve">     Staffordshire Moorlands</t>
  </si>
  <si>
    <t>E07000199</t>
  </si>
  <si>
    <t xml:space="preserve">     Tamworth</t>
  </si>
  <si>
    <t>E10000031</t>
  </si>
  <si>
    <t>Warwickshire</t>
  </si>
  <si>
    <t>E07000218</t>
  </si>
  <si>
    <t xml:space="preserve">     North Warwickshire</t>
  </si>
  <si>
    <t>E07000219</t>
  </si>
  <si>
    <t xml:space="preserve">     Nuneaton and Bedworth</t>
  </si>
  <si>
    <t>E07000220</t>
  </si>
  <si>
    <t xml:space="preserve">     Rugby</t>
  </si>
  <si>
    <t>E07000221</t>
  </si>
  <si>
    <t xml:space="preserve">     Stratford-on-Avon</t>
  </si>
  <si>
    <t>E07000222</t>
  </si>
  <si>
    <t xml:space="preserve">     Warwick</t>
  </si>
  <si>
    <t>E11000005</t>
  </si>
  <si>
    <t>West Midlands (Met County)</t>
  </si>
  <si>
    <t>E08000025</t>
  </si>
  <si>
    <t xml:space="preserve">     Birmingham</t>
  </si>
  <si>
    <t>E08000026</t>
  </si>
  <si>
    <t xml:space="preserve">     Coventry</t>
  </si>
  <si>
    <t>E08000027</t>
  </si>
  <si>
    <t xml:space="preserve">     Dudley</t>
  </si>
  <si>
    <t>E08000028</t>
  </si>
  <si>
    <t xml:space="preserve">     Sandwell</t>
  </si>
  <si>
    <t>E08000029</t>
  </si>
  <si>
    <t xml:space="preserve">     Solihull</t>
  </si>
  <si>
    <t>E08000030</t>
  </si>
  <si>
    <t xml:space="preserve">     Walsall</t>
  </si>
  <si>
    <t>E08000031</t>
  </si>
  <si>
    <t xml:space="preserve">     Wolverhampton</t>
  </si>
  <si>
    <t>E10000034</t>
  </si>
  <si>
    <t>Worcestershire</t>
  </si>
  <si>
    <t>E07000234</t>
  </si>
  <si>
    <t xml:space="preserve">     Bromsgrove</t>
  </si>
  <si>
    <t>E07000235</t>
  </si>
  <si>
    <t xml:space="preserve">     Malvern Hills</t>
  </si>
  <si>
    <t>E07000236</t>
  </si>
  <si>
    <t xml:space="preserve">     Redditch</t>
  </si>
  <si>
    <t>E07000237</t>
  </si>
  <si>
    <t xml:space="preserve">     Worcester</t>
  </si>
  <si>
    <t>E07000238</t>
  </si>
  <si>
    <t xml:space="preserve">     Wychavon</t>
  </si>
  <si>
    <t>E07000239</t>
  </si>
  <si>
    <t xml:space="preserve">     Wyre Forest</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</si>
  <si>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</si>
  <si>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</si>
  <si>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</si>
  <si>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</si>
  <si>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</si>
  <si>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</si>
  <si>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</si>
  <si>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</si>
  <si>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</si>
  <si>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</si>
  <si>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</si>
  <si>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</si>
  <si>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</si>
  <si>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</si>
  <si>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</si>
  <si>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</si>
  <si>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 xml:space="preserve">     Cambridge</t>
  </si>
  <si>
    <t>E07000009</t>
  </si>
  <si>
    <t xml:space="preserve">     East Cambridgeshire</t>
  </si>
  <si>
    <t>E07000010</t>
  </si>
  <si>
    <t xml:space="preserve">     Fenland</t>
  </si>
  <si>
    <t>E07000011</t>
  </si>
  <si>
    <t xml:space="preserve">     Huntingdonshire</t>
  </si>
  <si>
    <t>E07000012</t>
  </si>
  <si>
    <t xml:space="preserve">     South Cambridgeshire</t>
  </si>
  <si>
    <t>E10000012</t>
  </si>
  <si>
    <t>Essex</t>
  </si>
  <si>
    <t>E07000066</t>
  </si>
  <si>
    <t xml:space="preserve">     Basildon</t>
  </si>
  <si>
    <t>E07000067</t>
  </si>
  <si>
    <t xml:space="preserve">     Braintree</t>
  </si>
  <si>
    <t>E07000068</t>
  </si>
  <si>
    <t xml:space="preserve">     Brentwood</t>
  </si>
  <si>
    <t>E07000069</t>
  </si>
  <si>
    <t xml:space="preserve">     Castle Point</t>
  </si>
  <si>
    <t>E07000070</t>
  </si>
  <si>
    <t xml:space="preserve">     Chelmsford</t>
  </si>
  <si>
    <t>E07000071</t>
  </si>
  <si>
    <t xml:space="preserve">     Colchester</t>
  </si>
  <si>
    <t>E07000072</t>
  </si>
  <si>
    <t xml:space="preserve">     Epping Forest</t>
  </si>
  <si>
    <t>E07000073</t>
  </si>
  <si>
    <t xml:space="preserve">     Harlow</t>
  </si>
  <si>
    <t>E07000074</t>
  </si>
  <si>
    <t xml:space="preserve">     Maldon</t>
  </si>
  <si>
    <t>E07000075</t>
  </si>
  <si>
    <t xml:space="preserve">     Rochford</t>
  </si>
  <si>
    <t>E07000076</t>
  </si>
  <si>
    <t xml:space="preserve">     Tendring</t>
  </si>
  <si>
    <t>E07000077</t>
  </si>
  <si>
    <t xml:space="preserve">     Uttlesford</t>
  </si>
  <si>
    <t>E10000015</t>
  </si>
  <si>
    <t>Hertfordshire</t>
  </si>
  <si>
    <t>E07000095</t>
  </si>
  <si>
    <t xml:space="preserve">     Broxbourne</t>
  </si>
  <si>
    <t>E07000096</t>
  </si>
  <si>
    <t xml:space="preserve">     Dacorum</t>
  </si>
  <si>
    <t>E07000097</t>
  </si>
  <si>
    <t xml:space="preserve">     East Hertfordshire</t>
  </si>
  <si>
    <t>E07000098</t>
  </si>
  <si>
    <t xml:space="preserve">     Hertsmere</t>
  </si>
  <si>
    <t>E07000099</t>
  </si>
  <si>
    <t xml:space="preserve">     North Hertfordshire</t>
  </si>
  <si>
    <t>E07000100</t>
  </si>
  <si>
    <t xml:space="preserve">     St Albans</t>
  </si>
  <si>
    <t>E07000101</t>
  </si>
  <si>
    <t xml:space="preserve">     Stevenage</t>
  </si>
  <si>
    <t>E07000102</t>
  </si>
  <si>
    <t xml:space="preserve">     Three Rivers</t>
  </si>
  <si>
    <t>E07000103</t>
  </si>
  <si>
    <t xml:space="preserve">     Watford</t>
  </si>
  <si>
    <t>E07000104</t>
  </si>
  <si>
    <t xml:space="preserve">     Welwyn Hatfield</t>
  </si>
  <si>
    <t>E10000020</t>
  </si>
  <si>
    <t>Norfolk</t>
  </si>
  <si>
    <t>E07000143</t>
  </si>
  <si>
    <t xml:space="preserve">     Breckland</t>
  </si>
  <si>
    <t>E07000144</t>
  </si>
  <si>
    <t xml:space="preserve">     Broadland</t>
  </si>
  <si>
    <t>E07000145</t>
  </si>
  <si>
    <t xml:space="preserve">     Great Yarmouth</t>
  </si>
  <si>
    <t>E07000146</t>
  </si>
  <si>
    <t xml:space="preserve">     King's Lynn and West Norfolk</t>
  </si>
  <si>
    <t>E07000147</t>
  </si>
  <si>
    <t xml:space="preserve">     North Norfolk</t>
  </si>
  <si>
    <t>E07000148</t>
  </si>
  <si>
    <t xml:space="preserve">     Norwich</t>
  </si>
  <si>
    <t>E07000149</t>
  </si>
  <si>
    <t xml:space="preserve">     South Norfolk</t>
  </si>
  <si>
    <t>E10000029</t>
  </si>
  <si>
    <t>Suffolk</t>
  </si>
  <si>
    <t>E07000200</t>
  </si>
  <si>
    <t xml:space="preserve">     Babergh</t>
  </si>
  <si>
    <t>E07000201</t>
  </si>
  <si>
    <t xml:space="preserve">     Forest Heath</t>
  </si>
  <si>
    <t>E07000202</t>
  </si>
  <si>
    <t xml:space="preserve">     Ipswich</t>
  </si>
  <si>
    <t>E07000203</t>
  </si>
  <si>
    <t xml:space="preserve">     Mid Suffolk</t>
  </si>
  <si>
    <t>E07000204</t>
  </si>
  <si>
    <t xml:space="preserve">     St Edmundsbury</t>
  </si>
  <si>
    <t>E07000205</t>
  </si>
  <si>
    <t xml:space="preserve">     Suffolk Coastal</t>
  </si>
  <si>
    <t>E07000206</t>
  </si>
  <si>
    <t xml:space="preserve">     Waveney</t>
  </si>
  <si>
    <t>London</t>
  </si>
  <si>
    <t>E13000002</t>
  </si>
  <si>
    <t>Inner London</t>
  </si>
  <si>
    <t>E09000007</t>
  </si>
  <si>
    <t xml:space="preserve">     Camden</t>
  </si>
  <si>
    <t>E09000001</t>
  </si>
  <si>
    <t xml:space="preserve">     City of London</t>
  </si>
  <si>
    <t>E09000012</t>
  </si>
  <si>
    <t xml:space="preserve">     Hackney</t>
  </si>
  <si>
    <t>E09000013</t>
  </si>
  <si>
    <t xml:space="preserve">     Hammersmith and Fulham</t>
  </si>
  <si>
    <t>E09000014</t>
  </si>
  <si>
    <t xml:space="preserve">     Haringey</t>
  </si>
  <si>
    <t>E09000019</t>
  </si>
  <si>
    <t xml:space="preserve">     Islington</t>
  </si>
  <si>
    <t>E09000020</t>
  </si>
  <si>
    <t xml:space="preserve">     Kensington and Chelsea</t>
  </si>
  <si>
    <t>E09000022</t>
  </si>
  <si>
    <t xml:space="preserve">     Lambeth</t>
  </si>
  <si>
    <t>E09000023</t>
  </si>
  <si>
    <t xml:space="preserve">     Lewisham</t>
  </si>
  <si>
    <t>E09000025</t>
  </si>
  <si>
    <t xml:space="preserve">     Newham</t>
  </si>
  <si>
    <t>E09000028</t>
  </si>
  <si>
    <t xml:space="preserve">     Southwark</t>
  </si>
  <si>
    <t>E09000030</t>
  </si>
  <si>
    <t xml:space="preserve">     Tower Hamlets</t>
  </si>
  <si>
    <t>E09000032</t>
  </si>
  <si>
    <t xml:space="preserve">     Wandsworth</t>
  </si>
  <si>
    <t>E09000033</t>
  </si>
  <si>
    <t xml:space="preserve">     Westminster</t>
  </si>
  <si>
    <t>Outer London</t>
  </si>
  <si>
    <t>E09000002</t>
  </si>
  <si>
    <t xml:space="preserve">     Barking and Dagenham</t>
  </si>
  <si>
    <t>E09000003</t>
  </si>
  <si>
    <t xml:space="preserve">     Barnet</t>
  </si>
  <si>
    <t>E09000004</t>
  </si>
  <si>
    <t xml:space="preserve">     Bexley</t>
  </si>
  <si>
    <t>E09000005</t>
  </si>
  <si>
    <t xml:space="preserve">     Brent</t>
  </si>
  <si>
    <t>E09000006</t>
  </si>
  <si>
    <t xml:space="preserve">     Bromley</t>
  </si>
  <si>
    <t>E09000008</t>
  </si>
  <si>
    <t xml:space="preserve">     Croydon</t>
  </si>
  <si>
    <t>E09000009</t>
  </si>
  <si>
    <t xml:space="preserve">     Ealing</t>
  </si>
  <si>
    <t>E09000010</t>
  </si>
  <si>
    <t xml:space="preserve">     Enfield</t>
  </si>
  <si>
    <t>E09000011</t>
  </si>
  <si>
    <t xml:space="preserve">     Greenwich</t>
  </si>
  <si>
    <t>E09000015</t>
  </si>
  <si>
    <t xml:space="preserve">     Harrow</t>
  </si>
  <si>
    <t>E09000016</t>
  </si>
  <si>
    <t xml:space="preserve">     Havering</t>
  </si>
  <si>
    <t>E09000017</t>
  </si>
  <si>
    <t xml:space="preserve">     Hillingdon</t>
  </si>
  <si>
    <t>E09000018</t>
  </si>
  <si>
    <t xml:space="preserve">     Hounslow</t>
  </si>
  <si>
    <t>E09000021</t>
  </si>
  <si>
    <t xml:space="preserve">     Kingston upon Thames</t>
  </si>
  <si>
    <t>E09000024</t>
  </si>
  <si>
    <t xml:space="preserve">     Merton</t>
  </si>
  <si>
    <t>E09000026</t>
  </si>
  <si>
    <t xml:space="preserve">     Redbridge</t>
  </si>
  <si>
    <t>E09000027</t>
  </si>
  <si>
    <t xml:space="preserve">     Richmond upon Thames</t>
  </si>
  <si>
    <t>E09000029</t>
  </si>
  <si>
    <t xml:space="preserve">     Sutton</t>
  </si>
  <si>
    <t>E09000031</t>
  </si>
  <si>
    <t xml:space="preserve">     Waltham Forest</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</si>
  <si>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</si>
  <si>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</si>
  <si>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</si>
  <si>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</si>
  <si>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</si>
  <si>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</si>
  <si>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</si>
  <si>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</si>
  <si>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</si>
  <si>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</si>
  <si>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</si>
  <si>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</si>
  <si>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</si>
  <si>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</si>
  <si>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</si>
  <si>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</si>
  <si>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</si>
  <si>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</si>
  <si>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</si>
  <si>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</si>
  <si>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</si>
  <si>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</si>
  <si>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</si>
  <si>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</si>
  <si>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</si>
  <si>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E10000002</t>
  </si>
  <si>
    <t>Buckinghamshire</t>
  </si>
  <si>
    <t>E07000004</t>
  </si>
  <si>
    <t xml:space="preserve">     Aylesbury Vale</t>
  </si>
  <si>
    <t>E07000005</t>
  </si>
  <si>
    <t xml:space="preserve">     Chiltern</t>
  </si>
  <si>
    <t>E07000006</t>
  </si>
  <si>
    <t xml:space="preserve">     South Bucks</t>
  </si>
  <si>
    <t>E07000007</t>
  </si>
  <si>
    <t xml:space="preserve">     Wycombe</t>
  </si>
  <si>
    <t>E10000011</t>
  </si>
  <si>
    <t>East Sussex</t>
  </si>
  <si>
    <t>E07000061</t>
  </si>
  <si>
    <t xml:space="preserve">     Eastbourne</t>
  </si>
  <si>
    <t>E07000062</t>
  </si>
  <si>
    <t xml:space="preserve">     Hastings</t>
  </si>
  <si>
    <t>E07000063</t>
  </si>
  <si>
    <t xml:space="preserve">     Lewes</t>
  </si>
  <si>
    <t>E07000064</t>
  </si>
  <si>
    <t xml:space="preserve">     Rother</t>
  </si>
  <si>
    <t>E07000065</t>
  </si>
  <si>
    <t xml:space="preserve">     Wealden</t>
  </si>
  <si>
    <t>E10000014</t>
  </si>
  <si>
    <t>Hampshire</t>
  </si>
  <si>
    <t>E07000084</t>
  </si>
  <si>
    <t xml:space="preserve">     Basingstoke and Deane</t>
  </si>
  <si>
    <t>E07000085</t>
  </si>
  <si>
    <t xml:space="preserve">     East Hampshire</t>
  </si>
  <si>
    <t>E07000086</t>
  </si>
  <si>
    <t xml:space="preserve">     Eastleigh</t>
  </si>
  <si>
    <t>E07000087</t>
  </si>
  <si>
    <t xml:space="preserve">     Fareham</t>
  </si>
  <si>
    <t>E07000088</t>
  </si>
  <si>
    <t xml:space="preserve">     Gosport</t>
  </si>
  <si>
    <t>E07000089</t>
  </si>
  <si>
    <t xml:space="preserve">     Hart</t>
  </si>
  <si>
    <t>E07000090</t>
  </si>
  <si>
    <t xml:space="preserve">     Havant</t>
  </si>
  <si>
    <t>E07000091</t>
  </si>
  <si>
    <t xml:space="preserve">     New Forest</t>
  </si>
  <si>
    <t>E07000092</t>
  </si>
  <si>
    <t xml:space="preserve">     Rushmoor</t>
  </si>
  <si>
    <t>E07000093</t>
  </si>
  <si>
    <t xml:space="preserve">     Test Valley</t>
  </si>
  <si>
    <t>E07000094</t>
  </si>
  <si>
    <t xml:space="preserve">     Winchester</t>
  </si>
  <si>
    <t>E10000016</t>
  </si>
  <si>
    <t>Kent</t>
  </si>
  <si>
    <t>E07000105</t>
  </si>
  <si>
    <t xml:space="preserve">     Ashford</t>
  </si>
  <si>
    <t>E07000106</t>
  </si>
  <si>
    <t xml:space="preserve">     Canterbury</t>
  </si>
  <si>
    <t>E07000107</t>
  </si>
  <si>
    <t xml:space="preserve">     Dartford</t>
  </si>
  <si>
    <t>E07000108</t>
  </si>
  <si>
    <t xml:space="preserve">     Dover</t>
  </si>
  <si>
    <t>E07000109</t>
  </si>
  <si>
    <t xml:space="preserve">     Gravesham</t>
  </si>
  <si>
    <t>E07000110</t>
  </si>
  <si>
    <t xml:space="preserve">     Maidstone</t>
  </si>
  <si>
    <t>E07000111</t>
  </si>
  <si>
    <t xml:space="preserve">     Sevenoaks</t>
  </si>
  <si>
    <t>E07000112</t>
  </si>
  <si>
    <t xml:space="preserve">     Shepway</t>
  </si>
  <si>
    <t>E07000113</t>
  </si>
  <si>
    <t xml:space="preserve">     Swale</t>
  </si>
  <si>
    <t>E07000114</t>
  </si>
  <si>
    <t xml:space="preserve">     Thanet</t>
  </si>
  <si>
    <t>E07000115</t>
  </si>
  <si>
    <t xml:space="preserve">     Tonbridge and Malling</t>
  </si>
  <si>
    <t>E07000116</t>
  </si>
  <si>
    <t xml:space="preserve">     Tunbridge Wells</t>
  </si>
  <si>
    <t>E10000025</t>
  </si>
  <si>
    <t>Oxfordshire</t>
  </si>
  <si>
    <t>E07000177</t>
  </si>
  <si>
    <t xml:space="preserve">     Cherwell</t>
  </si>
  <si>
    <t>E07000178</t>
  </si>
  <si>
    <t xml:space="preserve">     Oxford</t>
  </si>
  <si>
    <t>E07000179</t>
  </si>
  <si>
    <t xml:space="preserve">     South Oxfordshire</t>
  </si>
  <si>
    <t>E07000180</t>
  </si>
  <si>
    <t xml:space="preserve">     Vale of White Horse</t>
  </si>
  <si>
    <t>E07000181</t>
  </si>
  <si>
    <t xml:space="preserve">     West Oxfordshire</t>
  </si>
  <si>
    <t>E10000030</t>
  </si>
  <si>
    <t>Surrey</t>
  </si>
  <si>
    <t>E07000207</t>
  </si>
  <si>
    <t xml:space="preserve">     Elmbridge</t>
  </si>
  <si>
    <t>E07000208</t>
  </si>
  <si>
    <t xml:space="preserve">     Epsom and Ewell</t>
  </si>
  <si>
    <t>E07000209</t>
  </si>
  <si>
    <t xml:space="preserve">     Guildford</t>
  </si>
  <si>
    <t>E07000210</t>
  </si>
  <si>
    <t xml:space="preserve">     Mole Valley</t>
  </si>
  <si>
    <t>E07000211</t>
  </si>
  <si>
    <t xml:space="preserve">     Reigate and Banstead</t>
  </si>
  <si>
    <t>E07000212</t>
  </si>
  <si>
    <t xml:space="preserve">     Runnymede</t>
  </si>
  <si>
    <t>E07000213</t>
  </si>
  <si>
    <t xml:space="preserve">     Spelthorne</t>
  </si>
  <si>
    <t>E07000214</t>
  </si>
  <si>
    <t xml:space="preserve">     Surrey Heath</t>
  </si>
  <si>
    <t>E07000215</t>
  </si>
  <si>
    <t xml:space="preserve">     Tandridge</t>
  </si>
  <si>
    <t>E07000216</t>
  </si>
  <si>
    <t xml:space="preserve">     Waverley</t>
  </si>
  <si>
    <t>E07000217</t>
  </si>
  <si>
    <t xml:space="preserve">     Woking</t>
  </si>
  <si>
    <t>E10000032</t>
  </si>
  <si>
    <t>West Sussex</t>
  </si>
  <si>
    <t>E07000223</t>
  </si>
  <si>
    <t xml:space="preserve">     Adur</t>
  </si>
  <si>
    <t>E07000224</t>
  </si>
  <si>
    <t xml:space="preserve">     Arun</t>
  </si>
  <si>
    <t>E07000225</t>
  </si>
  <si>
    <t xml:space="preserve">     Chichester</t>
  </si>
  <si>
    <t>E07000226</t>
  </si>
  <si>
    <t xml:space="preserve">     Crawley</t>
  </si>
  <si>
    <t>E07000227</t>
  </si>
  <si>
    <t xml:space="preserve">     Horsham</t>
  </si>
  <si>
    <t>E07000228</t>
  </si>
  <si>
    <t xml:space="preserve">     Mid Sussex</t>
  </si>
  <si>
    <t>E07000229</t>
  </si>
  <si>
    <t xml:space="preserve">     Worthing</t>
  </si>
  <si>
    <t>South West</t>
  </si>
  <si>
    <t>E06000022</t>
  </si>
  <si>
    <t>Bath and North East Somerset</t>
  </si>
  <si>
    <t>E06000028</t>
  </si>
  <si>
    <t>Bournemouth</t>
  </si>
  <si>
    <t>E06000023</t>
  </si>
  <si>
    <t>Bristol</t>
  </si>
  <si>
    <t>E06000052</t>
  </si>
  <si>
    <t>Cornwall</t>
  </si>
  <si>
    <t>E06000053</t>
  </si>
  <si>
    <t>Isles of Scilly</t>
  </si>
  <si>
    <t>E06000024</t>
  </si>
  <si>
    <t>North Somerset</t>
  </si>
  <si>
    <t>E06000026</t>
  </si>
  <si>
    <t>Plymouth</t>
  </si>
  <si>
    <t>E06000029</t>
  </si>
  <si>
    <t>Poole</t>
  </si>
  <si>
    <t>E06000025</t>
  </si>
  <si>
    <t>South Gloucestershire</t>
  </si>
  <si>
    <t>E06000030</t>
  </si>
  <si>
    <t>Swindon</t>
  </si>
  <si>
    <t>E06000027</t>
  </si>
  <si>
    <t>Torbay</t>
  </si>
  <si>
    <t>E06000054</t>
  </si>
  <si>
    <t>Wiltshire</t>
  </si>
  <si>
    <t>E10000008</t>
  </si>
  <si>
    <t>Devon</t>
  </si>
  <si>
    <t>E07000040</t>
  </si>
  <si>
    <t xml:space="preserve">     East Devon</t>
  </si>
  <si>
    <t>E07000041</t>
  </si>
  <si>
    <t xml:space="preserve">     Exeter</t>
  </si>
  <si>
    <t>E07000042</t>
  </si>
  <si>
    <t xml:space="preserve">     Mid Devon</t>
  </si>
  <si>
    <t>E07000043</t>
  </si>
  <si>
    <t xml:space="preserve">     North Devon</t>
  </si>
  <si>
    <t>E07000044</t>
  </si>
  <si>
    <t xml:space="preserve">     South Hams</t>
  </si>
  <si>
    <t>E07000045</t>
  </si>
  <si>
    <t xml:space="preserve">     Teignbridge</t>
  </si>
  <si>
    <t>E07000046</t>
  </si>
  <si>
    <t xml:space="preserve">     Torridge</t>
  </si>
  <si>
    <t>E07000047</t>
  </si>
  <si>
    <t xml:space="preserve">     West Devon</t>
  </si>
  <si>
    <t>E10000009</t>
  </si>
  <si>
    <t>Dorset</t>
  </si>
  <si>
    <t>E07000048</t>
  </si>
  <si>
    <t xml:space="preserve">     Christchurch</t>
  </si>
  <si>
    <t>E07000049</t>
  </si>
  <si>
    <t xml:space="preserve">     East Dorset</t>
  </si>
  <si>
    <t>E07000050</t>
  </si>
  <si>
    <t xml:space="preserve">     North Dorset</t>
  </si>
  <si>
    <t>E07000051</t>
  </si>
  <si>
    <t xml:space="preserve">     Purbeck</t>
  </si>
  <si>
    <t>E07000052</t>
  </si>
  <si>
    <t xml:space="preserve">     West Dorset</t>
  </si>
  <si>
    <t>E07000053</t>
  </si>
  <si>
    <t xml:space="preserve">     Weymouth and Portland</t>
  </si>
  <si>
    <t>E10000013</t>
  </si>
  <si>
    <t>Gloucestershire</t>
  </si>
  <si>
    <t>E07000078</t>
  </si>
  <si>
    <t xml:space="preserve">     Cheltenham</t>
  </si>
  <si>
    <t>E07000079</t>
  </si>
  <si>
    <t xml:space="preserve">     Cotswold</t>
  </si>
  <si>
    <t>E07000080</t>
  </si>
  <si>
    <t xml:space="preserve">     Forest of Dean</t>
  </si>
  <si>
    <t>E07000081</t>
  </si>
  <si>
    <t xml:space="preserve">     Gloucester</t>
  </si>
  <si>
    <t>E07000082</t>
  </si>
  <si>
    <t xml:space="preserve">     Stroud</t>
  </si>
  <si>
    <t>E07000083</t>
  </si>
  <si>
    <t xml:space="preserve">     Tewkesbury</t>
  </si>
  <si>
    <t>E10000027</t>
  </si>
  <si>
    <t>Somerset</t>
  </si>
  <si>
    <t>E07000187</t>
  </si>
  <si>
    <t xml:space="preserve">     Mendip</t>
  </si>
  <si>
    <t>E07000188</t>
  </si>
  <si>
    <t xml:space="preserve">     Sedgemoor</t>
  </si>
  <si>
    <t>E07000189</t>
  </si>
  <si>
    <t xml:space="preserve">     South Somerset</t>
  </si>
  <si>
    <t>E07000190</t>
  </si>
  <si>
    <t xml:space="preserve">     Taunton Deane</t>
  </si>
  <si>
    <t>E07000191</t>
  </si>
  <si>
    <t xml:space="preserve">     West Somerset</t>
  </si>
  <si>
    <t>Annual</t>
  </si>
  <si>
    <t>Code</t>
  </si>
  <si>
    <t>Median</t>
  </si>
  <si>
    <t>Mean</t>
  </si>
  <si>
    <t>Local authority</t>
  </si>
  <si>
    <t>Band A</t>
  </si>
  <si>
    <t>Band B</t>
  </si>
  <si>
    <t>Band C</t>
  </si>
  <si>
    <t>Band D</t>
  </si>
  <si>
    <t>Band E</t>
  </si>
  <si>
    <t>Band F</t>
  </si>
  <si>
    <t>Band G</t>
  </si>
  <si>
    <t>Band H</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</si>
  <si>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</si>
  <si>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</si>
  <si>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</si>
  <si>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</si>
  <si>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</si>
  <si>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</si>
  <si>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</si>
  <si>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</si>
  <si>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</si>
  <si>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</si>
  <si>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</si>
  <si>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</si>
  <si>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</si>
  <si>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</si>
  <si>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</si>
  <si>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</si>
  <si>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</si>
  <si>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</si>
  <si>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</si>
  <si>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</si>
  <si>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Kingston-upon-Thames</t>
  </si>
  <si>
    <t>Lambeth</t>
  </si>
  <si>
    <t>Lewisham</t>
  </si>
  <si>
    <t>Merton</t>
  </si>
  <si>
    <t>Newham</t>
  </si>
  <si>
    <t>Redbridge</t>
  </si>
  <si>
    <t>Richmond-upon-Thames</t>
  </si>
  <si>
    <t>Southwark</t>
  </si>
  <si>
    <t>Sutton</t>
  </si>
  <si>
    <t>Tower Hamlets</t>
  </si>
  <si>
    <t>Waltham Forest</t>
  </si>
  <si>
    <t>Wandsworth</t>
  </si>
  <si>
    <t>Westminster</t>
  </si>
  <si>
    <t>Area</t>
  </si>
  <si>
    <t>00AA</t>
  </si>
  <si>
    <t>00AB</t>
  </si>
  <si>
    <t>Barking and Dagenham</t>
  </si>
  <si>
    <t>00AC</t>
  </si>
  <si>
    <t>00AD</t>
  </si>
  <si>
    <t>00AE</t>
  </si>
  <si>
    <t>00AF</t>
  </si>
  <si>
    <t>00AG</t>
  </si>
  <si>
    <t>00AH</t>
  </si>
  <si>
    <t>00AJ</t>
  </si>
  <si>
    <t>00AK</t>
  </si>
  <si>
    <t>00AL</t>
  </si>
  <si>
    <t>00AM</t>
  </si>
  <si>
    <t>00AN</t>
  </si>
  <si>
    <t>Hammersmith and Fulham</t>
  </si>
  <si>
    <t>00AP</t>
  </si>
  <si>
    <t>00AQ</t>
  </si>
  <si>
    <t>00AR</t>
  </si>
  <si>
    <t>00AS</t>
  </si>
  <si>
    <t>00AT</t>
  </si>
  <si>
    <t>00AU</t>
  </si>
  <si>
    <t>00AW</t>
  </si>
  <si>
    <t>Kensington and Chelsea</t>
  </si>
  <si>
    <t>00AX</t>
  </si>
  <si>
    <t>Kingston upon Thames</t>
  </si>
  <si>
    <t>00AY</t>
  </si>
  <si>
    <t>00AZ</t>
  </si>
  <si>
    <t>00BA</t>
  </si>
  <si>
    <t>00BB</t>
  </si>
  <si>
    <t>00BC</t>
  </si>
  <si>
    <t>00BD</t>
  </si>
  <si>
    <t>Richmond upon Thames</t>
  </si>
  <si>
    <t>00BE</t>
  </si>
  <si>
    <t>00BF</t>
  </si>
  <si>
    <t>00BG</t>
  </si>
  <si>
    <t>00BH</t>
  </si>
  <si>
    <t>00BJ</t>
  </si>
  <si>
    <t>00BK</t>
  </si>
  <si>
    <t>Column1</t>
  </si>
  <si>
    <t>Column2</t>
  </si>
  <si>
    <t>Column3</t>
  </si>
  <si>
    <t>Overall Weekly Pay (£)</t>
  </si>
  <si>
    <t>Part-Time Weekly Pay (£)</t>
  </si>
  <si>
    <t>Full-Time Weekly Pay (£)</t>
  </si>
  <si>
    <t>Male Weekly Pay (£)</t>
  </si>
  <si>
    <t>Female Weekly Pay (£)</t>
  </si>
  <si>
    <t>Column4</t>
  </si>
  <si>
    <t>Column5</t>
  </si>
  <si>
    <t>Column6</t>
  </si>
  <si>
    <t>Borough</t>
  </si>
  <si>
    <t>Helper</t>
  </si>
  <si>
    <t>Columns</t>
  </si>
  <si>
    <t>Grand Total</t>
  </si>
  <si>
    <t>Column Labels</t>
  </si>
  <si>
    <t>Average of Part-Time Weekly Pay (£)</t>
  </si>
  <si>
    <t>Average of Full-Time Weekly Pay (£)</t>
  </si>
  <si>
    <t>Zone</t>
  </si>
  <si>
    <t>Zones 4-5</t>
  </si>
  <si>
    <t>Zones 3-4</t>
  </si>
  <si>
    <t>Zones 4-6</t>
  </si>
  <si>
    <t>Zones 3-6</t>
  </si>
  <si>
    <t>Zones 1-3</t>
  </si>
  <si>
    <t>Zone 1 only</t>
  </si>
  <si>
    <t>Zones 2-5</t>
  </si>
  <si>
    <t>Zones 2-4</t>
  </si>
  <si>
    <t>Zone 2 only</t>
  </si>
  <si>
    <t>Zones 5-6</t>
  </si>
  <si>
    <t>Zone 6 only</t>
  </si>
  <si>
    <t>Zones 2-6</t>
  </si>
  <si>
    <t>Zones 1-2</t>
  </si>
  <si>
    <t>Zone 4 only</t>
  </si>
  <si>
    <t>Zones 3-5</t>
  </si>
  <si>
    <t>Column7</t>
  </si>
  <si>
    <t>Column8</t>
  </si>
  <si>
    <t>Column9</t>
  </si>
  <si>
    <t>Pay as you go caps</t>
  </si>
  <si>
    <t>Travelcards</t>
  </si>
  <si>
    <t>Daily peak</t>
  </si>
  <si>
    <t>Daily off-peak</t>
  </si>
  <si>
    <t>Monday to Sunday</t>
  </si>
  <si>
    <t>Day anytime</t>
  </si>
  <si>
    <t>Day off-peak</t>
  </si>
  <si>
    <t>7 Day</t>
  </si>
  <si>
    <t>Monthly</t>
  </si>
  <si>
    <t>£8.90</t>
  </si>
  <si>
    <t>£44.70</t>
  </si>
  <si>
    <t>£16.60</t>
  </si>
  <si>
    <t>£171.70</t>
  </si>
  <si>
    <t>£1,788</t>
  </si>
  <si>
    <t>£10.50</t>
  </si>
  <si>
    <t>£52.50</t>
  </si>
  <si>
    <t>£201.60</t>
  </si>
  <si>
    <t>Zones 1-4</t>
  </si>
  <si>
    <t>£12.80</t>
  </si>
  <si>
    <t>£64.20</t>
  </si>
  <si>
    <t>£246.60</t>
  </si>
  <si>
    <t>£2,568</t>
  </si>
  <si>
    <t>Zones 1-5</t>
  </si>
  <si>
    <t>£15.30</t>
  </si>
  <si>
    <t>£76.40</t>
  </si>
  <si>
    <t>£23.60</t>
  </si>
  <si>
    <t>£293.40</t>
  </si>
  <si>
    <t>£3,056</t>
  </si>
  <si>
    <t>Zones 1-6</t>
  </si>
  <si>
    <t>£16.30</t>
  </si>
  <si>
    <t>£81.60</t>
  </si>
  <si>
    <t>£313.40</t>
  </si>
  <si>
    <t>£3,264</t>
  </si>
  <si>
    <t>Zones 1-7</t>
  </si>
  <si>
    <t>£17.80</t>
  </si>
  <si>
    <t>£88.90</t>
  </si>
  <si>
    <t>£29.80</t>
  </si>
  <si>
    <t>£341.40</t>
  </si>
  <si>
    <t>£3,556</t>
  </si>
  <si>
    <t>Zones 1-8</t>
  </si>
  <si>
    <t>£21.00</t>
  </si>
  <si>
    <t>£104.90</t>
  </si>
  <si>
    <t>£402.90</t>
  </si>
  <si>
    <t>£4,196</t>
  </si>
  <si>
    <t>Zones 1-9</t>
  </si>
  <si>
    <t>£23.30</t>
  </si>
  <si>
    <t>£116.40</t>
  </si>
  <si>
    <t>£447.00</t>
  </si>
  <si>
    <t>£4,656</t>
  </si>
  <si>
    <t>£33.50</t>
  </si>
  <si>
    <t>£128.70</t>
  </si>
  <si>
    <t>£1,340</t>
  </si>
  <si>
    <t>Zones 2-3</t>
  </si>
  <si>
    <t>£37.10</t>
  </si>
  <si>
    <t>£142.50</t>
  </si>
  <si>
    <t>£1,484</t>
  </si>
  <si>
    <t>£44.50</t>
  </si>
  <si>
    <t>£170.90</t>
  </si>
  <si>
    <t>£1,780</t>
  </si>
  <si>
    <t>£55.90</t>
  </si>
  <si>
    <t>£214.70</t>
  </si>
  <si>
    <t>Zones 2-7</t>
  </si>
  <si>
    <t>£57.90</t>
  </si>
  <si>
    <t>£222.40</t>
  </si>
  <si>
    <t>£2,316</t>
  </si>
  <si>
    <t>Zones 2-8</t>
  </si>
  <si>
    <t>£78.90</t>
  </si>
  <si>
    <t>£303.00</t>
  </si>
  <si>
    <t>£3,156</t>
  </si>
  <si>
    <t>Zones 2-9</t>
  </si>
  <si>
    <t>Zone 3 only</t>
  </si>
  <si>
    <t>Zones 3-7</t>
  </si>
  <si>
    <t>Zones 3-8</t>
  </si>
  <si>
    <t>Zones 3-9</t>
  </si>
  <si>
    <t>Zones 4-7</t>
  </si>
  <si>
    <t>£41.90</t>
  </si>
  <si>
    <t>£160.90</t>
  </si>
  <si>
    <t>£1,676</t>
  </si>
  <si>
    <t>Zones 4-8</t>
  </si>
  <si>
    <t>£70.70</t>
  </si>
  <si>
    <t>£271.50</t>
  </si>
  <si>
    <t>£2,828</t>
  </si>
  <si>
    <t>Zones 4-9</t>
  </si>
  <si>
    <t>Zone 5 only</t>
  </si>
  <si>
    <t>Zones 5-7</t>
  </si>
  <si>
    <t>Zones 5-8</t>
  </si>
  <si>
    <t>Zones 5-9</t>
  </si>
  <si>
    <t>Zones 6-7</t>
  </si>
  <si>
    <t>Zones 6-8</t>
  </si>
  <si>
    <t>Zones 6-9</t>
  </si>
  <si>
    <t>Zone 7 only</t>
  </si>
  <si>
    <t>Zones 7-8</t>
  </si>
  <si>
    <t>Zones 7-9</t>
  </si>
  <si>
    <t>Zone 8 only</t>
  </si>
  <si>
    <t>Zones 8-9</t>
  </si>
  <si>
    <t>BOROUGH</t>
  </si>
  <si>
    <t>Summary of monthly rents recorded between July 2024 to June 2025 by borough and bedroom category for London [note 1, 2, 3, 4 ,5 ,6 ,7]</t>
  </si>
  <si>
    <t>This worksheet contains one table. Some cells refer to notes that can be found within the notes worksheet.</t>
  </si>
  <si>
    <t>Bedroom Category</t>
  </si>
  <si>
    <t>Count of rents</t>
  </si>
  <si>
    <t>Lower quartile</t>
  </si>
  <si>
    <t>Upper quartile</t>
  </si>
  <si>
    <t>Room</t>
  </si>
  <si>
    <t>..</t>
  </si>
  <si>
    <t>Studio</t>
  </si>
  <si>
    <t>-</t>
  </si>
  <si>
    <t>One Bedroom</t>
  </si>
  <si>
    <t>Two Bedrooms</t>
  </si>
  <si>
    <t>Three Bedrooms</t>
  </si>
  <si>
    <t>Four or More Bedrooms</t>
  </si>
  <si>
    <t>Sum of Median</t>
  </si>
  <si>
    <t>Single male housing affordability</t>
  </si>
  <si>
    <t>Year</t>
  </si>
  <si>
    <t>Public transport</t>
  </si>
  <si>
    <t>Private transport</t>
  </si>
  <si>
    <t>Cycle</t>
  </si>
  <si>
    <t>Walk </t>
  </si>
  <si>
    <t>Weighted average Commuting Time</t>
  </si>
  <si>
    <t>New Code</t>
  </si>
  <si>
    <t>Old Code</t>
  </si>
  <si>
    <t>[x]</t>
  </si>
  <si>
    <t>Median Earning to House Price Ratio</t>
  </si>
  <si>
    <t>% of boroughs affordable for a single male (Room/1-bed)</t>
  </si>
  <si>
    <t>% of boroughs affordable for a single female (Room/1-bed)</t>
  </si>
  <si>
    <t>% of boroughs affordable for dual-income couple (2-bed)</t>
  </si>
  <si>
    <t>Median House Price : Salary Ratio</t>
  </si>
  <si>
    <t>Average Commuting Timeto nearest 5000 jobs employment centre (min)</t>
  </si>
  <si>
    <t>Average gender pay gap %</t>
  </si>
  <si>
    <t>% of boroughs affordable for dual-income family (3-bed)</t>
  </si>
  <si>
    <t>Median Rent to Income Ratio</t>
  </si>
  <si>
    <t>Average Council Tax Burden (as % of pay)</t>
  </si>
  <si>
    <t>Average of Single male housing affordability</t>
  </si>
  <si>
    <t>Average of Single Female housing affordability</t>
  </si>
  <si>
    <t>Average of Couple Affordability</t>
  </si>
  <si>
    <t>Average of Family Affordability</t>
  </si>
  <si>
    <t>Sum of Male Weekly Pay (£)</t>
  </si>
  <si>
    <t>Sum of Female Weekly Pay (£)</t>
  </si>
  <si>
    <t>Average of Overall Weekly Pay (£)</t>
  </si>
  <si>
    <t>Overall Affordability</t>
  </si>
  <si>
    <t>Average rent affordability</t>
  </si>
  <si>
    <t>Family Rent Affordability</t>
  </si>
  <si>
    <t>Couple Rent Affordability</t>
  </si>
  <si>
    <t>Single Female Rent housing affordability</t>
  </si>
  <si>
    <t>Annual TfL Fare Price</t>
  </si>
  <si>
    <t xml:space="preserve">Overall Affordability Index  to Commute Time Correlation coefficient </t>
  </si>
  <si>
    <t>Introduction</t>
  </si>
  <si>
    <t>This project investigates housing affordability in London at the borough level. Using income, rent, council tax, and transport accessibility data, I developed an Overall Affordability Index that measures the share of gross income required to cover essential living costs.</t>
  </si>
  <si>
    <t>The analysis examines differences by gender, employment type, and household structure, and explores the trade-off between affordability and commuting time.</t>
  </si>
  <si>
    <t>Data &amp; Methodology</t>
  </si>
  <si>
    <r>
      <t>Income Data</t>
    </r>
    <r>
      <rPr>
        <sz val="11"/>
        <color theme="1"/>
        <rFont val="Aptos Narrow"/>
        <family val="2"/>
        <scheme val="minor"/>
      </rPr>
      <t>: Weekly pay by borough (overall, male, female, part-time, full-time).</t>
    </r>
  </si>
  <si>
    <r>
      <t>Housing Data</t>
    </r>
    <r>
      <rPr>
        <sz val="11"/>
        <color theme="1"/>
        <rFont val="Aptos Narrow"/>
        <family val="2"/>
        <scheme val="minor"/>
      </rPr>
      <t>: Median rents by bedroom category (room, studio, 1–3 bed).</t>
    </r>
  </si>
  <si>
    <r>
      <t>Council Tax</t>
    </r>
    <r>
      <rPr>
        <sz val="11"/>
        <color theme="1"/>
        <rFont val="Aptos Narrow"/>
        <family val="2"/>
        <scheme val="minor"/>
      </rPr>
      <t>: Borough-level band data, mapped to property sizes.</t>
    </r>
  </si>
  <si>
    <r>
      <t>Transport</t>
    </r>
    <r>
      <rPr>
        <sz val="11"/>
        <color theme="1"/>
        <rFont val="Aptos Narrow"/>
        <family val="2"/>
        <scheme val="minor"/>
      </rPr>
      <t>: Average commuting time to reach 5,000+ jobs; zone-based costs considered.</t>
    </r>
  </si>
  <si>
    <r>
      <t>Composite KPI</t>
    </r>
    <r>
      <rPr>
        <sz val="11"/>
        <color theme="1"/>
        <rFont val="Aptos Narrow"/>
        <family val="2"/>
        <scheme val="minor"/>
      </rPr>
      <t>:</t>
    </r>
    <r>
      <rPr>
        <b/>
        <sz val="11"/>
        <color theme="1"/>
        <rFont val="Aptos Narrow"/>
        <family val="2"/>
        <scheme val="minor"/>
      </rPr>
      <t xml:space="preserve"> </t>
    </r>
  </si>
  <si>
    <t>Overall Affordability Index=Gross IncomeRent + Council Tax + Travel Cost​</t>
  </si>
  <si>
    <t>Lower values indicate greater affordability.</t>
  </si>
  <si>
    <r>
      <t xml:space="preserve">Benchmarks: Rent-to-income below </t>
    </r>
    <r>
      <rPr>
        <b/>
        <sz val="11"/>
        <color theme="1"/>
        <rFont val="Aptos Narrow"/>
        <family val="2"/>
        <scheme val="minor"/>
      </rPr>
      <t>30%</t>
    </r>
    <r>
      <rPr>
        <sz val="11"/>
        <color theme="1"/>
        <rFont val="Aptos Narrow"/>
        <family val="2"/>
        <scheme val="minor"/>
      </rPr>
      <t xml:space="preserve"> is conventionally considered “affordable.”</t>
    </r>
  </si>
  <si>
    <t>Key Results Summary</t>
  </si>
  <si>
    <t>Discussion and Conclusion</t>
  </si>
  <si>
    <t>Women are paid less across all broughs in London, which leads to no boroughs being rent affordable for one bedroom room for any of the the boroughs corresponding median earning female workers.</t>
  </si>
  <si>
    <t xml:space="preserve">Only 13% of single median earning male can afford a one bed room. </t>
  </si>
  <si>
    <t>This is if the 30% housing affordability rule is followed, but reality may be worse due to usage of gross median income instead of income after tax in the calculations.</t>
  </si>
  <si>
    <t>The original data gross income salary data was collected by ONS and it was a sample size of only 1% of earners data from HMRC, which may skew the results. A larger sample size data would provide far accurate results.</t>
  </si>
  <si>
    <t>As commute time increases, affordability (your index) tends to improve. Hence, people who move further out from central London get cheaper housing, but they “pay” with longer travel times.</t>
  </si>
  <si>
    <t>Overall, rent affordability is better for the median dual income household with no kids but according to the 30% rule but in none borough, an average dual income couple could afford a 3-bedroom house.</t>
  </si>
  <si>
    <t>Median rent to income ratio of 0.41 suggest London as a whole is unaffordable by the 30% rule for the average Londoner. And part time workers and single individuals, especially women, are most strained.</t>
  </si>
  <si>
    <t>The median house price is around 12 times greater than the median salary, meaning houses are also unaffordable to buy, especially for younger people.</t>
  </si>
  <si>
    <t>CONCLUSIONS</t>
  </si>
  <si>
    <t>London’s housing market is structurally unaffordable for most residents. Single renters cannot meet the 30% affordability threshold anywhere, and even dual-income households struggle to secure adequate housing without sacrificing a large share of income.</t>
  </si>
  <si>
    <t>Gender inequality and the part-time penalty intensify the problem. Council tax and transport costs, which are not tied to income, further disadvantage lower earners.</t>
  </si>
  <si>
    <t>Policy Implication: Housing affordability in London cannot be solved by income alone; it requires coordinated intervention in rents, taxation, and transport costs.</t>
  </si>
  <si>
    <t>The Cost of Living in London: Affordability Across Boroughs by Rent, Income, and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</si>
</sst>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_-* #,##0_-;\-* #,##0_-;_-* &quot;-&quot;??_-;_-@_-"/>
    <numFmt numFmtId="165" formatCode="_(* #,##0.00_);_(* \(#,##0.00\);_(* &quot;-&quot;??_);_(@_)"/>
    <numFmt numFmtId="166" formatCode="0.0"/>
    <numFmt numFmtId="167" formatCode="&quot;£&quot;#,##0"/>
  </numFmts>
  <fonts count="19">
    <font>
      <sz val="11"/>
      <color theme="1"/>
      <name val="Aptos Narrow"/>
      <family val="2"/>
      <scheme val="minor"/>
    </font>
    <font>
      <sz val="11"/>
      <color theme="1"/>
      <name val="Aptos Narrow"/>
      <family val="2"/>
      <scheme val="minor"/>
    </font>
    <font>
      <b/>
      <sz val="11"/>
      <color theme="3"/>
      <name val="Aptos Narrow"/>
      <family val="2"/>
      <scheme val="minor"/>
    </font>
    <font>
      <b/>
      <sz val="11"/>
      <color theme="1"/>
      <name val="Aptos Narrow"/>
      <family val="2"/>
      <scheme val="minor"/>
    </font>
    <font>
      <b/>
      <sz val="11"/>
      <color rgb="FF000000"/>
      <name val="Arial"/>
      <family val="2"/>
    </font>
    <font>
      <sz val="11"/>
      <color rgb="FF000000"/>
      <name val="Arial"/>
      <family val="2"/>
    </font>
    <font>
      <sz val="11"/>
      <color rgb="FF000000"/>
      <name val="Calibri"/>
      <family val="2"/>
    </font>
    <font>
      <sz val="10"/>
      <color rgb="FF000000"/>
      <name val="Arial"/>
      <family val="2"/>
    </font>
    <font>
      <sz val="12"/>
      <name val="Arial"/>
      <family val="2"/>
    </font>
    <font>
      <b/>
      <sz val="10"/>
      <name val="Arial"/>
      <family val="2"/>
    </font>
    <font>
      <sz val="10"/>
      <color indexed="8"/>
      <name val="Arial"/>
      <family val="2"/>
    </font>
    <font>
      <sz val="10"/>
      <name val="Arial"/>
      <family val="2"/>
    </font>
    <font>
      <sz val="10"/>
      <name val="arial"/>
    </font>
    <font>
      <sz val="10"/>
      <color rgb="FFFF0000"/>
      <name val="Arial"/>
      <family val="2"/>
    </font>
    <font>
      <b/>
      <sz val="16"/>
      <name val="Arial"/>
      <family val="2"/>
    </font>
    <font>
      <b/>
      <sz val="8"/>
      <color rgb="FF2D3039"/>
      <name val="Inherit"/>
    </font>
    <font>
      <sz val="8"/>
      <color rgb="FF2D3039"/>
      <name val="Inherit"/>
    </font>
    <font>
      <b/>
      <sz val="20"/>
      <color theme="1"/>
      <name val="Aptos Narrow"/>
      <family val="2"/>
      <scheme val="minor"/>
    </font>
    <font>
      <b/>
      <sz val="28"/>
      <color theme="1"/>
      <name val="Aptos Narrow"/>
      <family val="2"/>
      <scheme val="minor"/>
    </font>
  </fonts>
  <fills count="10">
    <fill>
      <patternFill patternType="none"/>
    </fill>
    <fill>
      <patternFill patternType="gray125"/>
    </fill>
    <fill>
      <patternFill patternType="solid">
        <fgColor rgb="FFFFFFFF"/>
        <bgColor rgb="FFFFFFFF"/>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FFFFFF"/>
        <bgColor indexed="64"/>
      </patternFill>
    </fill>
    <fill>
      <patternFill patternType="solid">
        <fgColor rgb="FFF7F7F7"/>
        <bgColor indexed="64"/>
      </patternFill>
    </fill>
    <fill>
      <patternFill patternType="solid">
        <fgColor theme="0"/>
        <bgColor indexed="64"/>
      </patternFill>
    </fill>
    <fill>
      <patternFill patternType="solid">
        <fgColor theme="3" tint="0.499984740745262"/>
        <bgColor indexed="64"/>
      </patternFill>
    </fill>
    <fill>
      <patternFill patternType="solid">
        <fgColor theme="3" tint="0.89999084444715716"/>
        <bgColor indexed="64"/>
      </patternFill>
    </fill>
  </fills>
  <borders count="16">
    <border>
      <left/>
      <right/>
      <top/>
      <bottom/>
      <diagonal/>
    </border>
    <border>
      <left/>
      <right/>
      <top/>
      <bottom style="medium">
        <color theme="4" tint="0.39997558519241921"/>
      </bottom>
      <diagonal/>
    </border>
    <border>
      <left/>
      <right/>
      <top/>
      <bottom style="medium">
        <color rgb="FF000000"/>
      </bottom>
      <diagonal/>
    </border>
    <border>
      <left/>
      <right/>
      <top/>
      <bottom style="thin">
        <color rgb="FFC0C0C0"/>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9" tint="0.39997558519241921"/>
      </left>
      <right/>
      <top style="thin">
        <color theme="9" tint="0.39997558519241921"/>
      </top>
      <bottom style="thin">
        <color theme="9" tint="0.3999755851924192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2">
    <xf numFmtId="0" fontId="0" fillId="0" borderId="0"/>
    <xf numFmtId="43" fontId="1" fillId="0" borderId="0" applyFont="0" applyFill="0" applyBorder="0" applyAlignment="0" applyProtection="0"/>
    <xf numFmtId="0" fontId="2" fillId="0" borderId="1" applyNumberFormat="0" applyFill="0" applyAlignment="0" applyProtection="0"/>
    <xf numFmtId="0" fontId="6" fillId="0" borderId="0" applyNumberFormat="0" applyBorder="0" applyProtection="0"/>
    <xf numFmtId="9" fontId="7" fillId="0" borderId="0" applyFont="0" applyFill="0" applyBorder="0" applyAlignment="0" applyProtection="0"/>
    <xf numFmtId="0" fontId="1" fillId="0" borderId="0"/>
    <xf numFmtId="165" fontId="11" fillId="0" borderId="0" applyFont="0" applyFill="0" applyBorder="0" applyAlignment="0" applyProtection="0"/>
    <xf numFmtId="0" fontId="9" fillId="0" borderId="0"/>
    <xf numFmtId="0" fontId="11" fillId="0" borderId="0"/>
    <xf numFmtId="0" fontId="14" fillId="0" borderId="0"/>
    <xf numFmtId="0" fontId="10" fillId="0" borderId="0"/>
    <xf numFmtId="9" fontId="1" fillId="0" borderId="0" applyFont="0" applyFill="0" applyBorder="0" applyAlignment="0" applyProtection="0"/>
  </cellStyleXfs>
  <cellXfs count="86">
    <xf numFmtId="0" fontId="0" fillId="0" borderId="0" xfId="0"/>
    <xf numFmtId="0" fontId="4" fillId="2" borderId="2" xfId="0" applyFont="1" applyFill="1" applyBorder="1"/>
    <xf numFmtId="0" fontId="4" fillId="2" borderId="2" xfId="0" applyFont="1" applyFill="1" applyBorder="1" applyAlignment="1">
      <alignment horizontal="right"/>
    </xf>
    <xf numFmtId="0" fontId="4" fillId="2" borderId="3" xfId="0" applyFont="1" applyFill="1" applyBorder="1" applyAlignment="1">
      <alignment horizontal="right"/>
    </xf>
    <xf numFmtId="1" fontId="4" fillId="2" borderId="2" xfId="0" applyNumberFormat="1" applyFont="1" applyFill="1" applyBorder="1" applyAlignment="1">
      <alignment horizontal="right"/>
    </xf>
    <xf numFmtId="0" fontId="5" fillId="2" borderId="0" xfId="0" applyFont="1" applyFill="1"/>
    <xf numFmtId="3" fontId="5" fillId="2" borderId="0" xfId="3" applyNumberFormat="1" applyFont="1" applyFill="1" applyAlignment="1">
      <alignment horizontal="right"/>
    </xf>
    <xf numFmtId="3" fontId="5" fillId="2" borderId="0" xfId="1" applyNumberFormat="1" applyFont="1" applyFill="1" applyAlignment="1">
      <alignment horizontal="right"/>
    </xf>
    <xf numFmtId="3" fontId="5" fillId="2" borderId="4" xfId="3" applyNumberFormat="1" applyFont="1" applyFill="1" applyBorder="1" applyAlignment="1">
      <alignment horizontal="right"/>
    </xf>
    <xf numFmtId="1" fontId="5" fillId="2" borderId="0" xfId="0" applyNumberFormat="1" applyFont="1" applyFill="1"/>
    <xf numFmtId="3" fontId="5" fillId="2" borderId="0" xfId="0" applyNumberFormat="1" applyFont="1" applyFill="1" applyAlignment="1">
      <alignment horizontal="right"/>
    </xf>
    <xf numFmtId="3" fontId="5" fillId="2" borderId="0" xfId="4" applyNumberFormat="1" applyFont="1" applyFill="1" applyAlignment="1">
      <alignment horizontal="right"/>
    </xf>
    <xf numFmtId="3" fontId="5" fillId="2" borderId="0" xfId="0" applyNumberFormat="1" applyFont="1" applyFill="1"/>
    <xf numFmtId="1" fontId="5" fillId="2" borderId="2" xfId="3" applyNumberFormat="1" applyFont="1" applyFill="1" applyBorder="1"/>
    <xf numFmtId="0" fontId="5" fillId="2" borderId="2" xfId="0" applyFont="1" applyFill="1" applyBorder="1"/>
    <xf numFmtId="3" fontId="5" fillId="2" borderId="2" xfId="3" applyNumberFormat="1" applyFont="1" applyFill="1" applyBorder="1"/>
    <xf numFmtId="3" fontId="5" fillId="2" borderId="2" xfId="3" applyNumberFormat="1" applyFont="1" applyFill="1" applyBorder="1" applyAlignment="1">
      <alignment horizontal="right"/>
    </xf>
    <xf numFmtId="3" fontId="5" fillId="2" borderId="2" xfId="4" applyNumberFormat="1" applyFont="1" applyFill="1" applyBorder="1" applyAlignment="1">
      <alignment horizontal="right"/>
    </xf>
    <xf numFmtId="3" fontId="5" fillId="2" borderId="2" xfId="0" applyNumberFormat="1" applyFont="1" applyFill="1" applyBorder="1" applyAlignment="1">
      <alignment horizontal="right"/>
    </xf>
    <xf numFmtId="3" fontId="5" fillId="2" borderId="2" xfId="0" applyNumberFormat="1" applyFont="1" applyFill="1" applyBorder="1"/>
    <xf numFmtId="1" fontId="5" fillId="2" borderId="2" xfId="0" applyNumberFormat="1" applyFont="1" applyFill="1" applyBorder="1"/>
    <xf numFmtId="0" fontId="9" fillId="0" borderId="0" xfId="0" applyFont="1"/>
    <xf numFmtId="0" fontId="9" fillId="0" borderId="5" xfId="0" applyFont="1" applyBorder="1"/>
    <xf numFmtId="1" fontId="9" fillId="0" borderId="5" xfId="0" applyNumberFormat="1" applyFont="1" applyBorder="1" applyAlignment="1">
      <alignment horizontal="right"/>
    </xf>
    <xf numFmtId="2" fontId="0" fillId="0" borderId="0" xfId="0" applyNumberFormat="1"/>
    <xf numFmtId="164" fontId="11" fillId="0" borderId="0" xfId="6" applyNumberFormat="1" applyFont="1" applyFill="1" applyBorder="1" applyAlignment="1">
      <alignment horizontal="right"/>
    </xf>
    <xf numFmtId="0" fontId="0" fillId="0" borderId="6" xfId="0" applyBorder="1"/>
    <xf numFmtId="164" fontId="11" fillId="0" borderId="6" xfId="6" applyNumberFormat="1" applyFont="1" applyFill="1" applyBorder="1" applyAlignment="1">
      <alignment horizontal="right"/>
    </xf>
    <xf numFmtId="0" fontId="11" fillId="0" borderId="0" xfId="0" applyFont="1" applyAlignment="1">
      <alignment horizontal="left"/>
    </xf>
    <xf numFmtId="0" fontId="11" fillId="0" borderId="0" xfId="8" applyAlignment="1">
      <alignment horizontal="left" vertical="center"/>
    </xf>
    <xf numFmtId="0" fontId="11" fillId="0" borderId="0" xfId="0" applyFont="1"/>
    <xf numFmtId="166" fontId="12" fillId="0" borderId="0" xfId="0" applyNumberFormat="1" applyFont="1" applyAlignment="1">
      <alignment horizontal="right"/>
    </xf>
    <xf numFmtId="0" fontId="3" fillId="0" borderId="0" xfId="0" applyFont="1"/>
    <xf numFmtId="0" fontId="9" fillId="0" borderId="6" xfId="7" applyBorder="1" applyAlignment="1">
      <alignment horizontal="center" vertical="center" wrapText="1"/>
    </xf>
    <xf numFmtId="166" fontId="13" fillId="0" borderId="0" xfId="0" applyNumberFormat="1" applyFont="1" applyAlignment="1">
      <alignment horizontal="right"/>
    </xf>
    <xf numFmtId="0" fontId="0" fillId="0" borderId="0" xfId="0" pivotButton="1"/>
    <xf numFmtId="0" fontId="3" fillId="3" borderId="7" xfId="0" applyFont="1" applyFill="1" applyBorder="1"/>
    <xf numFmtId="0" fontId="0" fillId="0" borderId="0" xfId="0" applyAlignment="1">
      <alignment horizontal="left"/>
    </xf>
    <xf numFmtId="0" fontId="4" fillId="2" borderId="0" xfId="0" applyFont="1" applyFill="1" applyAlignment="1">
      <alignment horizontal="right"/>
    </xf>
    <xf numFmtId="3" fontId="5" fillId="2" borderId="0" xfId="3" applyNumberFormat="1" applyFont="1" applyFill="1" applyBorder="1" applyAlignment="1">
      <alignment horizontal="right"/>
    </xf>
    <xf numFmtId="0" fontId="14" fillId="0" borderId="0" xfId="9" applyAlignment="1">
      <alignment horizontal="left"/>
    </xf>
    <xf numFmtId="0" fontId="8" fillId="0" borderId="0" xfId="0" applyFont="1" applyAlignment="1">
      <alignment horizontal="right"/>
    </xf>
    <xf numFmtId="0" fontId="8" fillId="0" borderId="0" xfId="0" applyFont="1"/>
    <xf numFmtId="0" fontId="8" fillId="0" borderId="0" xfId="9" applyFont="1" applyAlignment="1">
      <alignment horizontal="left"/>
    </xf>
    <xf numFmtId="0" fontId="2" fillId="0" borderId="1" xfId="2" applyAlignment="1">
      <alignment wrapText="1"/>
    </xf>
    <xf numFmtId="0" fontId="2" fillId="0" borderId="1" xfId="2" applyAlignment="1">
      <alignment horizontal="right" wrapText="1"/>
    </xf>
    <xf numFmtId="49" fontId="8" fillId="0" borderId="0" xfId="0" applyNumberFormat="1" applyFont="1" applyAlignment="1">
      <alignment horizontal="left"/>
    </xf>
    <xf numFmtId="166" fontId="8" fillId="0" borderId="0" xfId="5" applyNumberFormat="1" applyFont="1" applyAlignment="1">
      <alignment horizontal="left"/>
    </xf>
    <xf numFmtId="164" fontId="8" fillId="0" borderId="0" xfId="1" applyNumberFormat="1" applyFont="1" applyAlignment="1">
      <alignment horizontal="right"/>
    </xf>
    <xf numFmtId="49" fontId="8" fillId="0" borderId="0" xfId="0" applyNumberFormat="1" applyFont="1"/>
    <xf numFmtId="164" fontId="0" fillId="0" borderId="0" xfId="0" applyNumberFormat="1"/>
    <xf numFmtId="43" fontId="0" fillId="0" borderId="0" xfId="0" applyNumberFormat="1"/>
    <xf numFmtId="0" fontId="3" fillId="3" borderId="0" xfId="0" applyFont="1" applyFill="1"/>
    <xf numFmtId="0" fontId="15" fillId="6" borderId="0" xfId="0" applyFont="1" applyFill="1" applyAlignment="1">
      <alignment horizontal="left" vertical="top" wrapText="1"/>
    </xf>
    <xf numFmtId="0" fontId="16" fillId="6" borderId="0" xfId="0" applyFont="1" applyFill="1" applyAlignment="1">
      <alignment vertical="top" wrapText="1"/>
    </xf>
    <xf numFmtId="9" fontId="16" fillId="6" borderId="0" xfId="0" applyNumberFormat="1" applyFont="1" applyFill="1" applyAlignment="1">
      <alignment vertical="top" wrapText="1"/>
    </xf>
    <xf numFmtId="10" fontId="16" fillId="6" borderId="0" xfId="0" applyNumberFormat="1" applyFont="1" applyFill="1" applyAlignment="1">
      <alignment vertical="top" wrapText="1"/>
    </xf>
    <xf numFmtId="0" fontId="16" fillId="5" borderId="0" xfId="0" applyFont="1" applyFill="1" applyAlignment="1">
      <alignment vertical="top" wrapText="1"/>
    </xf>
    <xf numFmtId="9" fontId="16" fillId="5" borderId="0" xfId="0" applyNumberFormat="1" applyFont="1" applyFill="1" applyAlignment="1">
      <alignment vertical="top" wrapText="1"/>
    </xf>
    <xf numFmtId="10" fontId="16" fillId="5" borderId="0" xfId="0" applyNumberFormat="1" applyFont="1" applyFill="1" applyAlignment="1">
      <alignment vertical="top" wrapText="1"/>
    </xf>
    <xf numFmtId="0" fontId="9" fillId="0" borderId="0" xfId="10" applyFont="1" applyAlignment="1">
      <alignment horizontal="right"/>
    </xf>
    <xf numFmtId="3" fontId="11" fillId="0" borderId="0" xfId="0" applyNumberFormat="1" applyFont="1" applyAlignment="1">
      <alignment horizontal="left" vertical="center"/>
    </xf>
    <xf numFmtId="2" fontId="11" fillId="0" borderId="0" xfId="10" applyNumberFormat="1" applyFont="1" applyAlignment="1">
      <alignment horizontal="right" wrapText="1"/>
    </xf>
    <xf numFmtId="49" fontId="11" fillId="0" borderId="0" xfId="0" applyNumberFormat="1" applyFont="1" applyAlignment="1">
      <alignment horizontal="left" vertical="center"/>
    </xf>
    <xf numFmtId="2" fontId="11" fillId="0" borderId="0" xfId="0" applyNumberFormat="1" applyFont="1" applyAlignment="1">
      <alignment horizontal="right"/>
    </xf>
    <xf numFmtId="6" fontId="0" fillId="0" borderId="0" xfId="0" applyNumberFormat="1"/>
    <xf numFmtId="167" fontId="0" fillId="0" borderId="0" xfId="0" applyNumberFormat="1"/>
    <xf numFmtId="0" fontId="0" fillId="0" borderId="9" xfId="0" applyBorder="1"/>
    <xf numFmtId="0" fontId="3" fillId="4" borderId="8" xfId="0" applyFont="1" applyFill="1" applyBorder="1" applyAlignment="1">
      <alignment horizontal="left"/>
    </xf>
    <xf numFmtId="167" fontId="3" fillId="3" borderId="0" xfId="0" applyNumberFormat="1" applyFont="1" applyFill="1" applyAlignment="1">
      <alignment horizontal="right"/>
    </xf>
    <xf numFmtId="167" fontId="0" fillId="0" borderId="0" xfId="0" applyNumberFormat="1" applyAlignment="1">
      <alignment horizontal="right"/>
    </xf>
    <xf numFmtId="0" fontId="3" fillId="7" borderId="14" xfId="0" applyFont="1" applyFill="1" applyBorder="1"/>
    <xf numFmtId="0" fontId="0" fillId="7" borderId="0" xfId="0" applyFill="1"/>
    <xf numFmtId="0" fontId="3" fillId="7" borderId="0" xfId="0" applyFont="1" applyFill="1"/>
    <xf numFmtId="0" fontId="3" fillId="7" borderId="10" xfId="0" applyFont="1" applyFill="1" applyBorder="1"/>
    <xf numFmtId="9" fontId="3" fillId="7" borderId="11" xfId="11" applyFont="1" applyFill="1" applyBorder="1"/>
    <xf numFmtId="0" fontId="3" fillId="7" borderId="12" xfId="0" applyFont="1" applyFill="1" applyBorder="1"/>
    <xf numFmtId="9" fontId="3" fillId="7" borderId="13" xfId="11" applyFont="1" applyFill="1" applyBorder="1"/>
    <xf numFmtId="2" fontId="3" fillId="7" borderId="13" xfId="0" applyNumberFormat="1" applyFont="1" applyFill="1" applyBorder="1"/>
    <xf numFmtId="2" fontId="3" fillId="7" borderId="15" xfId="0" applyNumberFormat="1" applyFont="1" applyFill="1" applyBorder="1"/>
    <xf numFmtId="0" fontId="17" fillId="9" borderId="0" xfId="0" applyFont="1" applyFill="1" applyAlignment="1">
      <alignment horizontal="center"/>
    </xf>
    <xf numFmtId="0" fontId="18" fillId="8" borderId="0" xfId="0" applyFont="1" applyFill="1" applyAlignment="1">
      <alignment horizontal="center"/>
    </xf>
    <xf numFmtId="0" fontId="9" fillId="0" borderId="0" xfId="7" applyAlignment="1">
      <alignment horizontal="center" vertical="center" wrapText="1"/>
    </xf>
    <xf numFmtId="0" fontId="9" fillId="0" borderId="6" xfId="7" applyBorder="1" applyAlignment="1">
      <alignment horizontal="center" vertical="center" wrapText="1"/>
    </xf>
    <xf numFmtId="0" fontId="3" fillId="3" borderId="0" xfId="0" applyFont="1" applyFill="1" applyAlignment="1">
      <alignment horizontal="center"/>
    </xf>
    <xf numFmtId="167" fontId="3" fillId="3" borderId="0" xfId="0" applyNumberFormat="1" applyFont="1" applyFill="1" applyAlignment="1">
      <alignment horizontal="center"/>
    </xf>
  </cellXfs>
  <cellStyles count="12">
    <cellStyle name="Comma" xfId="1" builtinId="3"/>
    <cellStyle name="Comma 2" xfId="6" xr:uid="{BD489180-D928-40DF-82F2-218D0D82BEAC}"/>
    <cellStyle name="Heading 1 2" xfId="9" xr:uid="{D2828B04-09AD-45CD-8EA2-37509B03868D}"/>
    <cellStyle name="Heading 3" xfId="2" builtinId="18"/>
    <cellStyle name="Headings" xfId="7" xr:uid="{0344050D-3105-4492-8E36-2B5ABD87ECFC}"/>
    <cellStyle name="Normal" xfId="0" builtinId="0"/>
    <cellStyle name="Normal 2" xfId="5" xr:uid="{A4A6B161-2BB0-4FB5-9A7C-C1E8C2849D05}"/>
    <cellStyle name="Normal_GOR data" xfId="10" xr:uid="{B47B53A9-670F-449C-A5CE-D2F1E18E1C88}"/>
    <cellStyle name="Normal_LSOA_EMPLO" xfId="3" xr:uid="{50E0B6EF-5DBE-4EB2-B622-7A2AE706CCBE}"/>
    <cellStyle name="Per cent" xfId="11" builtinId="5"/>
    <cellStyle name="Percent" xfId="4" xr:uid="{424B4362-8921-47BE-B907-9D8F5679E0EB}"/>
    <cellStyle name="Row_Headings" xfId="8" xr:uid="{E71667C4-BD39-48F9-B08A-42562CB4FD2E}"/>
  </cellStyles>
  <dxfs count="150">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rgb="FFFFFFFF"/>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dxf>
    <dxf>
      <font>
        <b/>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alignment horizontal="right" vertical="bottom" textRotation="0" wrapText="0" indent="0" justifyLastLine="0" shrinkToFit="0" readingOrder="0"/>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6" formatCode="0.0"/>
      <alignment horizontal="left" vertical="bottom"/>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4" formatCode="_-* #,##0_-;\-* #,##0_-;_-* &quot;-&quot;??_-;_-@_-"/>
      <alignment horizontal="right" vertical="bottom"/>
    </dxf>
    <dxf>
      <font>
        <strike val="0"/>
        <condense val="0"/>
        <extend val="0"/>
        <outline val="0"/>
        <shadow val="0"/>
        <vertAlign val="baseline"/>
        <sz val="12"/>
        <color auto="1"/>
        <name val="Arial"/>
        <family val="2"/>
      </font>
      <numFmt numFmtId="166" formatCode="0.0"/>
      <alignment horizontal="left" vertical="bottom"/>
    </dxf>
    <dxf>
      <font>
        <strike val="0"/>
        <condense val="0"/>
        <extend val="0"/>
        <outline val="0"/>
        <shadow val="0"/>
        <vertAlign val="baseline"/>
        <sz val="12"/>
        <color auto="1"/>
        <name val="Arial"/>
        <family val="2"/>
      </font>
      <numFmt numFmtId="30" formatCode="@"/>
      <alignment horizontal="left" vertical="bottom"/>
    </dxf>
    <dxf>
      <border outline="0">
        <left/>
        <right/>
        <top style="thin">
          <color indexed="64"/>
        </top>
        <bottom/>
      </border>
    </dxf>
    <dxf>
      <font>
        <strike val="0"/>
        <condense val="0"/>
        <extend val="0"/>
        <outline val="0"/>
        <shadow val="0"/>
        <vertAlign val="baseline"/>
        <sz val="12"/>
        <color auto="1"/>
        <name val="Arial"/>
        <family val="2"/>
      </font>
      <alignment horizontal="right" vertical="bottom"/>
    </dxf>
    <dxf>
      <border outline="0">
        <left/>
        <right/>
        <top/>
        <bottom style="thin">
          <color indexed="64"/>
        </bottom>
      </border>
    </dxf>
    <dxf>
      <alignment horizontal="general" vertical="bottom"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Affordable areas</a:t>
            </a:r>
            <a:r>
              <a:rPr lang="en-US" baseline="0"/>
              <a:t> by rent, council tax and transport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'Final Dataset'!$B$70</c:f>
              <c:strCache>
                <c:ptCount val="1"/>
                <c:pt idx="0">
                  <c:v>Overall Affordability</c:v>
                </c:pt>
              </c:strCache>
            </c:strRef>
          </c:tx>
          <c:spPr>
            <a:solidFill>
              <a:schemeClr val="accent1"/>
            </a:solidFill>
            <a:ln>
              <a:noFill/>
            </a:ln>
            <a:effectLst/>
          </c:spPr>
          <c:invertIfNegative val="0"/>
          <c:cat>
            <c:strRef>
              <c:extLst>
                <c:ext xmlns:c15="http://schemas.microsoft.com/office/drawing/2012/chart" uri="{02D57815-91ED-43cb-92C2-25804820EDAC}">
                  <c15:fullRef>
                    <c15:sqref>'Final Dataset'!$A$71:$A$76</c15:sqref>
                  </c15:fullRef>
                </c:ext>
              </c:extLst>
              <c:f>'Final Dataset'!$A$72:$A$76</c:f>
              <c:strCache>
                <c:ptCount val="5"/>
                <c:pt idx="0">
                  <c:v>Kensington and Chelsea</c:v>
                </c:pt>
                <c:pt idx="1">
                  <c:v>Westminster</c:v>
                </c:pt>
                <c:pt idx="2">
                  <c:v>Camden</c:v>
                </c:pt>
                <c:pt idx="3">
                  <c:v>Hackney</c:v>
                </c:pt>
                <c:pt idx="4">
                  <c:v>Newham</c:v>
                </c:pt>
              </c:strCache>
            </c:strRef>
          </c:cat>
          <c:val>
            <c:numRef>
              <c:extLst>
                <c:ext xmlns:c15="http://schemas.microsoft.com/office/drawing/2012/chart" uri="{02D57815-91ED-43cb-92C2-25804820EDAC}">
                  <c15:fullRef>
                    <c15:sqref>'Final Dataset'!$B$71:$B$76</c15:sqref>
                  </c15:fullRef>
                </c:ext>
              </c:extLst>
              <c:f>'Final Dataset'!$B$72:$B$76</c:f>
              <c:numCache>
                <c:formatCode>_(* #,##0.00_);_(* \(#,##0.00\);_(* "-"??_);_(@_)</c:formatCode>
                <c:ptCount val="5"/>
                <c:pt idx="0">
                  <c:v>0.9731784656215281</c:v>
                </c:pt>
                <c:pt idx="1">
                  <c:v>0.89656930884400365</c:v>
                </c:pt>
                <c:pt idx="2">
                  <c:v>0.80471318158100691</c:v>
                </c:pt>
                <c:pt idx="3">
                  <c:v>0.78899918032786887</c:v>
                </c:pt>
                <c:pt idx="4">
                  <c:v>0.7641512030193427</c:v>
                </c:pt>
              </c:numCache>
            </c:numRef>
          </c:val>
          <c:extLst>
            <c:ext xmlns:c16="http://schemas.microsoft.com/office/drawing/2014/chart" uri="{C3380CC4-5D6E-409C-BE32-E72D297353CC}">
              <c16:uniqueId val="{00000000-F84B-4536-9BCE-723FC58E14B9}"/>
            </c:ext>
          </c:extLst>
        </c:ser>
        <c:dLbls>
          <c:showLegendKey val="0"/>
          <c:showVal val="0"/>
          <c:showCatName val="0"/>
          <c:showSerName val="0"/>
          <c:showPercent val="0"/>
          <c:showBubbleSize val="0"/>
        </c:dLbls>
        <c:gapWidth val="219"/>
        <c:overlap val="-27"/>
        <c:axId val="2121948543"/>
        <c:axId val="2121946143"/>
      </c:barChart>
      <c:catAx>
        <c:axId val="212194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Borough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46143"/>
        <c:crosses val="autoZero"/>
        <c:auto val="1"/>
        <c:lblAlgn val="ctr"/>
        <c:lblOffset val="100"/>
        <c:noMultiLvlLbl val="0"/>
      </c:catAx>
      <c:valAx>
        <c:axId val="212194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Affordability</a:t>
                </a:r>
                <a:r>
                  <a:rPr lang="en-GB" baseline="0"/>
                  <a:t> Index</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48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Overall Affordability vs Commuting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'Final Dataset'!$AG$1</c:f>
              <c:strCache>
                <c:ptCount val="1"/>
                <c:pt idx="0">
                  <c:v>Overall Affordability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0"/>
            <c:dispEq val="0"/>
          </c:trendline>
          <c:xVal>
            <c:numRef>
              <c:f>'Final Dataset'!$AE$2:$AE$34</c:f>
              <c:numCache>
                <c:formatCode>General</c:formatCode>
                <c:ptCount val="32"/>
                <c:pt idx="0">
                  <c:v>10.189326629532381</c:v>
                </c:pt>
                <c:pt idx="1">
                  <c:v>8.9686680626284989</c:v>
                </c:pt>
                <c:pt idx="2">
                  <c:v>9.8955559366621841</c:v>
                </c:pt>
                <c:pt idx="3">
                  <c:v>18.114896521468292</c:v>
                </c:pt>
                <c:pt idx="4">
                  <c:v>14.307990699291119</c:v>
                </c:pt>
                <c:pt idx="5">
                  <c:v>19.495984024342413</c:v>
                </c:pt>
                <c:pt idx="6">
                  <c:v>12.486737517987649</c:v>
                </c:pt>
                <c:pt idx="7">
                  <c:v>9.6803507384789924</c:v>
                </c:pt>
                <c:pt idx="8">
                  <c:v>29.187759938341507</c:v>
                </c:pt>
                <c:pt idx="9">
                  <c:v>18.567404813500001</c:v>
                </c:pt>
                <c:pt idx="10">
                  <c:v>20.888458702368101</c:v>
                </c:pt>
                <c:pt idx="11">
                  <c:v>14.619455192301411</c:v>
                </c:pt>
                <c:pt idx="12">
                  <c:v>21.192989864917891</c:v>
                </c:pt>
                <c:pt idx="13">
                  <c:v>10.776877012497748</c:v>
                </c:pt>
                <c:pt idx="14">
                  <c:v>17.025092928725851</c:v>
                </c:pt>
                <c:pt idx="15">
                  <c:v>13.194650130494384</c:v>
                </c:pt>
                <c:pt idx="16">
                  <c:v>18.868009525724041</c:v>
                </c:pt>
                <c:pt idx="17">
                  <c:v>19.894294300170625</c:v>
                </c:pt>
                <c:pt idx="18">
                  <c:v>19.705960475545513</c:v>
                </c:pt>
                <c:pt idx="19">
                  <c:v>16.223972159122066</c:v>
                </c:pt>
                <c:pt idx="20">
                  <c:v>23.511642294892162</c:v>
                </c:pt>
                <c:pt idx="21">
                  <c:v>15.558574534324807</c:v>
                </c:pt>
                <c:pt idx="22">
                  <c:v>18.742463592143984</c:v>
                </c:pt>
                <c:pt idx="23">
                  <c:v>18.5457257506975</c:v>
                </c:pt>
                <c:pt idx="24">
                  <c:v>18.043494431717768</c:v>
                </c:pt>
                <c:pt idx="25">
                  <c:v>14.633172449686962</c:v>
                </c:pt>
                <c:pt idx="26">
                  <c:v>17.548865312354376</c:v>
                </c:pt>
                <c:pt idx="27">
                  <c:v>16.808326921089886</c:v>
                </c:pt>
                <c:pt idx="28">
                  <c:v>21.127713811065984</c:v>
                </c:pt>
                <c:pt idx="29">
                  <c:v>31.140682556202528</c:v>
                </c:pt>
                <c:pt idx="30">
                  <c:v>20.351370482284203</c:v>
                </c:pt>
                <c:pt idx="31">
                  <c:v>15.945712499673657</c:v>
                </c:pt>
              </c:numCache>
            </c:numRef>
          </c:xVal>
          <c:yVal>
            <c:numRef>
              <c:f>'Final Dataset'!$AG$2:$AG$34</c:f>
              <c:numCache>
                <c:formatCode>_(* #,##0.00_);_(* \(#,##0.00\);_(* "-"??_);_(@_)</c:formatCode>
                <c:ptCount val="32"/>
                <c:pt idx="0">
                  <c:v>0.9731784656215281</c:v>
                </c:pt>
                <c:pt idx="1">
                  <c:v>0.89656930884400365</c:v>
                </c:pt>
                <c:pt idx="2">
                  <c:v>0.80471318158100691</c:v>
                </c:pt>
                <c:pt idx="3">
                  <c:v>0.78899918032786887</c:v>
                </c:pt>
                <c:pt idx="4">
                  <c:v>0.7641512030193427</c:v>
                </c:pt>
                <c:pt idx="5">
                  <c:v>0.75176329018602195</c:v>
                </c:pt>
                <c:pt idx="6">
                  <c:v>0.74659994452662715</c:v>
                </c:pt>
                <c:pt idx="7">
                  <c:v>0.7223176233963905</c:v>
                </c:pt>
                <c:pt idx="8">
                  <c:v>0.72169738863287258</c:v>
                </c:pt>
                <c:pt idx="9">
                  <c:v>0.72071130418230278</c:v>
                </c:pt>
                <c:pt idx="10">
                  <c:v>0.68901930003894096</c:v>
                </c:pt>
                <c:pt idx="11">
                  <c:v>0.68762987259214314</c:v>
                </c:pt>
                <c:pt idx="12">
                  <c:v>0.68171544380324278</c:v>
                </c:pt>
                <c:pt idx="13">
                  <c:v>0.67801007096639532</c:v>
                </c:pt>
                <c:pt idx="14">
                  <c:v>0.67655845038040308</c:v>
                </c:pt>
                <c:pt idx="15">
                  <c:v>0.66951401217347195</c:v>
                </c:pt>
                <c:pt idx="16">
                  <c:v>0.65022663877266385</c:v>
                </c:pt>
                <c:pt idx="17">
                  <c:v>0.6469062725678324</c:v>
                </c:pt>
                <c:pt idx="18">
                  <c:v>0.63963222471350267</c:v>
                </c:pt>
                <c:pt idx="19">
                  <c:v>0.62661360002063338</c:v>
                </c:pt>
                <c:pt idx="20">
                  <c:v>0.62635605417138551</c:v>
                </c:pt>
                <c:pt idx="21">
                  <c:v>0.62070630081300804</c:v>
                </c:pt>
                <c:pt idx="22">
                  <c:v>0.61684157476580104</c:v>
                </c:pt>
                <c:pt idx="23">
                  <c:v>0.61617668311988605</c:v>
                </c:pt>
                <c:pt idx="24">
                  <c:v>0.61411963996763752</c:v>
                </c:pt>
                <c:pt idx="25">
                  <c:v>0.60934349509669139</c:v>
                </c:pt>
                <c:pt idx="26">
                  <c:v>0.60737192884677904</c:v>
                </c:pt>
                <c:pt idx="27">
                  <c:v>0.58172410252693629</c:v>
                </c:pt>
                <c:pt idx="28">
                  <c:v>0.55711639467266938</c:v>
                </c:pt>
                <c:pt idx="29">
                  <c:v>0.55518355257020247</c:v>
                </c:pt>
                <c:pt idx="30">
                  <c:v>0.5535985373630945</c:v>
                </c:pt>
                <c:pt idx="31">
                  <c:v>0.54223788939206796</c:v>
                </c:pt>
              </c:numCache>
            </c:numRef>
          </c:yVal>
          <c:smooth val="0"/>
          <c:extLst>
            <c:ext xmlns:c16="http://schemas.microsoft.com/office/drawing/2014/chart" uri="{C3380CC4-5D6E-409C-BE32-E72D297353CC}">
              <c16:uniqueId val="{00000004-9D7F-4F09-A284-E4A2FDE065AD}"/>
            </c:ext>
          </c:extLst>
        </c:ser>
        <c:dLbls>
          <c:showLegendKey val="0"/>
          <c:showVal val="0"/>
          <c:showCatName val="0"/>
          <c:showSerName val="0"/>
          <c:showPercent val="0"/>
          <c:showBubbleSize val="0"/>
        </c:dLbls>
        <c:axId val="428015727"/>
        <c:axId val="428015247"/>
      </c:scatterChart>
      <c:valAx>
        <c:axId val="428015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Commuting Time (min)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5247"/>
        <c:crosses val="autoZero"/>
        <c:crossBetween val="midCat"/>
      </c:valAx>
      <c:valAx>
        <c:axId val="42801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Affordability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57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Tables!PivotTable25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Rent</a:t>
            </a:r>
            <a:r>
              <a:rPr lang="en-GB" baseline="0"/>
              <a:t> Affordability Ratio by Demographic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c:f>
              <c:strCache>
                <c:ptCount val="1"/>
                <c:pt idx="0">
                  <c:v>Average of Single male housing 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c:f>
              <c:strCache>
                <c:ptCount val="1"/>
                <c:pt idx="0">
                  <c:v>Total</c:v>
                </c:pt>
              </c:strCache>
            </c:strRef>
          </c:cat>
          <c:val>
            <c:numRef>
              <c:f>'Pivot Tables'!$A$2</c:f>
              <c:numCache>
                <c:formatCode>0.00</c:formatCode>
                <c:ptCount val="1"/>
                <c:pt idx="0">
                  <c:v>0.38610631613159691</c:v>
                </c:pt>
              </c:numCache>
            </c:numRef>
          </c:val>
          <c:extLst>
            <c:ext xmlns:c16="http://schemas.microsoft.com/office/drawing/2014/chart" uri="{C3380CC4-5D6E-409C-BE32-E72D297353CC}">
              <c16:uniqueId val="{00000000-6360-45B1-90F9-88C27522DFFA}"/>
            </c:ext>
          </c:extLst>
        </c:ser>
        <c:ser>
          <c:idx val="1"/>
          <c:order val="1"/>
          <c:tx>
            <c:strRef>
              <c:f>'Pivot Tables'!$B$1</c:f>
              <c:strCache>
                <c:ptCount val="1"/>
                <c:pt idx="0">
                  <c:v>Average of Single Female housing affordability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c:f>
              <c:strCache>
                <c:ptCount val="1"/>
                <c:pt idx="0">
                  <c:v>Total</c:v>
                </c:pt>
              </c:strCache>
            </c:strRef>
          </c:cat>
          <c:val>
            <c:numRef>
              <c:f>'Pivot Tables'!$B$2</c:f>
              <c:numCache>
                <c:formatCode>0.00</c:formatCode>
                <c:ptCount val="1"/>
                <c:pt idx="0">
                  <c:v>0.47977543646460397</c:v>
                </c:pt>
              </c:numCache>
            </c:numRef>
          </c:val>
          <c:extLst>
            <c:ext xmlns:c16="http://schemas.microsoft.com/office/drawing/2014/chart" uri="{C3380CC4-5D6E-409C-BE32-E72D297353CC}">
              <c16:uniqueId val="{00000001-6360-45B1-90F9-88C27522DFFA}"/>
            </c:ext>
          </c:extLst>
        </c:ser>
        <c:ser>
          <c:idx val="2"/>
          <c:order val="2"/>
          <c:tx>
            <c:strRef>
              <c:f>'Pivot Tables'!$C$1</c:f>
              <c:strCache>
                <c:ptCount val="1"/>
                <c:pt idx="0">
                  <c:v>Average of Couple Affordability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c:f>
              <c:strCache>
                <c:ptCount val="1"/>
                <c:pt idx="0">
                  <c:v>Total</c:v>
                </c:pt>
              </c:strCache>
            </c:strRef>
          </c:cat>
          <c:val>
            <c:numRef>
              <c:f>'Pivot Tables'!$C$2</c:f>
              <c:numCache>
                <c:formatCode>0.00</c:formatCode>
                <c:ptCount val="1"/>
                <c:pt idx="0">
                  <c:v>0.34273263968648005</c:v>
                </c:pt>
              </c:numCache>
            </c:numRef>
          </c:val>
          <c:extLst>
            <c:ext xmlns:c16="http://schemas.microsoft.com/office/drawing/2014/chart" uri="{C3380CC4-5D6E-409C-BE32-E72D297353CC}">
              <c16:uniqueId val="{00000002-6360-45B1-90F9-88C27522DFFA}"/>
            </c:ext>
          </c:extLst>
        </c:ser>
        <c:ser>
          <c:idx val="3"/>
          <c:order val="3"/>
          <c:tx>
            <c:strRef>
              <c:f>'Pivot Tables'!$D$1</c:f>
              <c:strCache>
                <c:ptCount val="1"/>
                <c:pt idx="0">
                  <c:v>Average of Family Affordability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c:f>
              <c:strCache>
                <c:ptCount val="1"/>
                <c:pt idx="0">
                  <c:v>Total</c:v>
                </c:pt>
              </c:strCache>
            </c:strRef>
          </c:cat>
          <c:val>
            <c:numRef>
              <c:f>'Pivot Tables'!$D$2</c:f>
              <c:numCache>
                <c:formatCode>0.00</c:formatCode>
                <c:ptCount val="1"/>
                <c:pt idx="0">
                  <c:v>0.44492103304876296</c:v>
                </c:pt>
              </c:numCache>
            </c:numRef>
          </c:val>
          <c:extLst>
            <c:ext xmlns:c16="http://schemas.microsoft.com/office/drawing/2014/chart" uri="{C3380CC4-5D6E-409C-BE32-E72D297353CC}">
              <c16:uniqueId val="{00000003-6360-45B1-90F9-88C27522DFFA}"/>
            </c:ext>
          </c:extLst>
        </c:ser>
        <c:dLbls>
          <c:dLblPos val="outEnd"/>
          <c:showLegendKey val="0"/>
          <c:showVal val="1"/>
          <c:showCatName val="0"/>
          <c:showSerName val="0"/>
          <c:showPercent val="0"/>
          <c:showBubbleSize val="0"/>
        </c:dLbls>
        <c:gapWidth val="75"/>
        <c:overlap val="-25"/>
        <c:axId val="346637311"/>
        <c:axId val="346634911"/>
      </c:barChart>
      <c:catAx>
        <c:axId val="34663731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Demographic</a:t>
                </a:r>
              </a:p>
            </c:rich>
          </c:tx>
          <c:layout>
            <c:manualLayout>
              <c:xMode val="edge"/>
              <c:yMode val="edge"/>
              <c:x val="0.4668070745323652"/>
              <c:y val="0.801472353431277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46634911"/>
        <c:crosses val="autoZero"/>
        <c:auto val="1"/>
        <c:lblAlgn val="ctr"/>
        <c:lblOffset val="100"/>
        <c:noMultiLvlLbl val="0"/>
      </c:catAx>
      <c:valAx>
        <c:axId val="34663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Affordability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37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Tables!PivotTable28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Full-Time vs Part Time</a:t>
            </a:r>
            <a:r>
              <a:rPr lang="en-GB" baseline="0"/>
              <a:t> Weekly Income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Tables'!$A$4</c:f>
              <c:strCache>
                <c:ptCount val="1"/>
                <c:pt idx="0">
                  <c:v>Average of Full-Time Weekly Pay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c:f>
              <c:strCache>
                <c:ptCount val="1"/>
                <c:pt idx="0">
                  <c:v>Total</c:v>
                </c:pt>
              </c:strCache>
            </c:strRef>
          </c:cat>
          <c:val>
            <c:numRef>
              <c:f>'Pivot Tables'!$A$5</c:f>
              <c:numCache>
                <c:formatCode>0.00</c:formatCode>
                <c:ptCount val="1"/>
                <c:pt idx="0">
                  <c:v>855.71249999999998</c:v>
                </c:pt>
              </c:numCache>
            </c:numRef>
          </c:val>
          <c:extLst>
            <c:ext xmlns:c16="http://schemas.microsoft.com/office/drawing/2014/chart" uri="{C3380CC4-5D6E-409C-BE32-E72D297353CC}">
              <c16:uniqueId val="{00000000-318C-4FBB-AF85-18EB58CEA486}"/>
            </c:ext>
          </c:extLst>
        </c:ser>
        <c:ser>
          <c:idx val="1"/>
          <c:order val="1"/>
          <c:tx>
            <c:strRef>
              <c:f>'Pivot Tables'!$B$4</c:f>
              <c:strCache>
                <c:ptCount val="1"/>
                <c:pt idx="0">
                  <c:v>Average of Part-Time Weekly Pay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c:f>
              <c:strCache>
                <c:ptCount val="1"/>
                <c:pt idx="0">
                  <c:v>Total</c:v>
                </c:pt>
              </c:strCache>
            </c:strRef>
          </c:cat>
          <c:val>
            <c:numRef>
              <c:f>'Pivot Tables'!$B$5</c:f>
              <c:numCache>
                <c:formatCode>0.00</c:formatCode>
                <c:ptCount val="1"/>
                <c:pt idx="0">
                  <c:v>259.82069422603303</c:v>
                </c:pt>
              </c:numCache>
            </c:numRef>
          </c:val>
          <c:extLst>
            <c:ext xmlns:c16="http://schemas.microsoft.com/office/drawing/2014/chart" uri="{C3380CC4-5D6E-409C-BE32-E72D297353CC}">
              <c16:uniqueId val="{00000001-318C-4FBB-AF85-18EB58CEA486}"/>
            </c:ext>
          </c:extLst>
        </c:ser>
        <c:dLbls>
          <c:dLblPos val="outEnd"/>
          <c:showLegendKey val="0"/>
          <c:showVal val="1"/>
          <c:showCatName val="0"/>
          <c:showSerName val="0"/>
          <c:showPercent val="0"/>
          <c:showBubbleSize val="0"/>
        </c:dLbls>
        <c:gapWidth val="219"/>
        <c:overlap val="-27"/>
        <c:axId val="484224127"/>
        <c:axId val="484219327"/>
      </c:barChart>
      <c:catAx>
        <c:axId val="48422412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Wortk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84219327"/>
        <c:crosses val="autoZero"/>
        <c:auto val="1"/>
        <c:lblAlgn val="ctr"/>
        <c:lblOffset val="100"/>
        <c:noMultiLvlLbl val="0"/>
      </c:catAx>
      <c:valAx>
        <c:axId val="48421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224127"/>
        <c:crosses val="autoZero"/>
        <c:crossBetween val="between"/>
      </c:valAx>
      <c:spPr>
        <a:noFill/>
        <a:ln>
          <a:noFill/>
        </a:ln>
        <a:effectLst/>
      </c:spPr>
    </c:plotArea>
    <c:legend>
      <c:legendPos val="r"/>
      <c:layout>
        <c:manualLayout>
          <c:xMode val="edge"/>
          <c:yMode val="edge"/>
          <c:x val="0.6625625169003414"/>
          <c:y val="0.19824997477231321"/>
          <c:w val="0.32041266324868034"/>
          <c:h val="0.19540534516465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Tables!PivotTable29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Weekly Income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Tables'!$A$7</c:f>
              <c:strCache>
                <c:ptCount val="1"/>
                <c:pt idx="0">
                  <c:v>Sum of Female Weekly Pay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c:f>
              <c:strCache>
                <c:ptCount val="1"/>
                <c:pt idx="0">
                  <c:v>Total</c:v>
                </c:pt>
              </c:strCache>
            </c:strRef>
          </c:cat>
          <c:val>
            <c:numRef>
              <c:f>'Pivot Tables'!$A$8</c:f>
              <c:numCache>
                <c:formatCode>0.00</c:formatCode>
                <c:ptCount val="1"/>
                <c:pt idx="0">
                  <c:v>21069.599999999995</c:v>
                </c:pt>
              </c:numCache>
            </c:numRef>
          </c:val>
          <c:extLst>
            <c:ext xmlns:c16="http://schemas.microsoft.com/office/drawing/2014/chart" uri="{C3380CC4-5D6E-409C-BE32-E72D297353CC}">
              <c16:uniqueId val="{00000000-1211-4B20-A550-9B5930DE163B}"/>
            </c:ext>
          </c:extLst>
        </c:ser>
        <c:ser>
          <c:idx val="1"/>
          <c:order val="1"/>
          <c:tx>
            <c:strRef>
              <c:f>'Pivot Tables'!$B$7</c:f>
              <c:strCache>
                <c:ptCount val="1"/>
                <c:pt idx="0">
                  <c:v>Sum of Male Weekly Pay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c:f>
              <c:strCache>
                <c:ptCount val="1"/>
                <c:pt idx="0">
                  <c:v>Total</c:v>
                </c:pt>
              </c:strCache>
            </c:strRef>
          </c:cat>
          <c:val>
            <c:numRef>
              <c:f>'Pivot Tables'!$B$8</c:f>
              <c:numCache>
                <c:formatCode>0.00</c:formatCode>
                <c:ptCount val="1"/>
                <c:pt idx="0">
                  <c:v>26364.200000000004</c:v>
                </c:pt>
              </c:numCache>
            </c:numRef>
          </c:val>
          <c:extLst>
            <c:ext xmlns:c16="http://schemas.microsoft.com/office/drawing/2014/chart" uri="{C3380CC4-5D6E-409C-BE32-E72D297353CC}">
              <c16:uniqueId val="{00000001-1211-4B20-A550-9B5930DE163B}"/>
            </c:ext>
          </c:extLst>
        </c:ser>
        <c:dLbls>
          <c:dLblPos val="outEnd"/>
          <c:showLegendKey val="0"/>
          <c:showVal val="1"/>
          <c:showCatName val="0"/>
          <c:showSerName val="0"/>
          <c:showPercent val="0"/>
          <c:showBubbleSize val="0"/>
        </c:dLbls>
        <c:gapWidth val="219"/>
        <c:overlap val="-27"/>
        <c:axId val="128811231"/>
        <c:axId val="128813151"/>
      </c:barChart>
      <c:catAx>
        <c:axId val="12881123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8813151"/>
        <c:crosses val="autoZero"/>
        <c:auto val="1"/>
        <c:lblAlgn val="ctr"/>
        <c:lblOffset val="100"/>
        <c:noMultiLvlLbl val="0"/>
      </c:catAx>
      <c:valAx>
        <c:axId val="128813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1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Rent</a:t>
            </a:r>
            <a:r>
              <a:rPr lang="en-US" baseline="0"/>
              <a:t> </a:t>
            </a:r>
            <a:r>
              <a:rPr lang="en-US"/>
              <a:t>Affordable London Boroughs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'Final Dataset'!$F$70</c:f>
              <c:strCache>
                <c:ptCount val="1"/>
                <c:pt idx="0">
                  <c:v>Average rent 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'Final Dataset'!$E$71:$E$76</c15:sqref>
                  </c15:fullRef>
                </c:ext>
              </c:extLst>
              <c:f>'Final Dataset'!$E$72:$E$76</c:f>
              <c:strCache>
                <c:ptCount val="5"/>
                <c:pt idx="0">
                  <c:v>Havering</c:v>
                </c:pt>
                <c:pt idx="1">
                  <c:v>Sutton</c:v>
                </c:pt>
                <c:pt idx="2">
                  <c:v>Croydon</c:v>
                </c:pt>
                <c:pt idx="3">
                  <c:v>Barnet</c:v>
                </c:pt>
                <c:pt idx="4">
                  <c:v>Richmond upon Thames</c:v>
                </c:pt>
              </c:strCache>
            </c:strRef>
          </c:cat>
          <c:val>
            <c:numRef>
              <c:extLst>
                <c:ext xmlns:c15="http://schemas.microsoft.com/office/drawing/2012/chart" uri="{02D57815-91ED-43cb-92C2-25804820EDAC}">
                  <c15:fullRef>
                    <c15:sqref>'Final Dataset'!$F$71:$F$76</c15:sqref>
                  </c15:fullRef>
                </c:ext>
              </c:extLst>
              <c:f>'Final Dataset'!$F$72:$F$76</c:f>
              <c:numCache>
                <c:formatCode>_(* #,##0.00_);_(* \(#,##0.00\);_(* "-"??_);_(@_)</c:formatCode>
                <c:ptCount val="5"/>
                <c:pt idx="0">
                  <c:v>0.31794280087513305</c:v>
                </c:pt>
                <c:pt idx="1">
                  <c:v>0.31950384637790885</c:v>
                </c:pt>
                <c:pt idx="2">
                  <c:v>0.32215101876478863</c:v>
                </c:pt>
                <c:pt idx="3">
                  <c:v>0.32730054439360962</c:v>
                </c:pt>
                <c:pt idx="4">
                  <c:v>0.34269015570985234</c:v>
                </c:pt>
              </c:numCache>
            </c:numRef>
          </c:val>
          <c:extLst>
            <c:ext xmlns:c16="http://schemas.microsoft.com/office/drawing/2014/chart" uri="{C3380CC4-5D6E-409C-BE32-E72D297353CC}">
              <c16:uniqueId val="{00000000-1D3E-473C-A788-285E12BA4B56}"/>
            </c:ext>
          </c:extLst>
        </c:ser>
        <c:dLbls>
          <c:dLblPos val="outEnd"/>
          <c:showLegendKey val="0"/>
          <c:showVal val="1"/>
          <c:showCatName val="0"/>
          <c:showSerName val="0"/>
          <c:showPercent val="0"/>
          <c:showBubbleSize val="0"/>
        </c:dLbls>
        <c:gapWidth val="219"/>
        <c:overlap val="-27"/>
        <c:axId val="2117859471"/>
        <c:axId val="2117856111"/>
      </c:barChart>
      <c:catAx>
        <c:axId val="211785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Borough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56111"/>
        <c:crosses val="autoZero"/>
        <c:auto val="1"/>
        <c:lblAlgn val="ctr"/>
        <c:lblOffset val="100"/>
        <c:noMultiLvlLbl val="0"/>
      </c:catAx>
      <c:valAx>
        <c:axId val="2117856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Rent Affordability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59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5 Least Affordable London Boroughs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'Final Dataset'!$H$70</c:f>
              <c:strCache>
                <c:ptCount val="1"/>
                <c:pt idx="0">
                  <c:v>Average rent 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'Final Dataset'!$G$71:$G$76</c15:sqref>
                  </c15:fullRef>
                </c:ext>
              </c:extLst>
              <c:f>'Final Dataset'!$G$72:$G$76</c:f>
              <c:strCache>
                <c:ptCount val="5"/>
                <c:pt idx="0">
                  <c:v>Camden</c:v>
                </c:pt>
                <c:pt idx="1">
                  <c:v>Kensington and Chelsea</c:v>
                </c:pt>
                <c:pt idx="2">
                  <c:v>Westminster</c:v>
                </c:pt>
                <c:pt idx="3">
                  <c:v>Tower Hamlets</c:v>
                </c:pt>
                <c:pt idx="4">
                  <c:v>Newham</c:v>
                </c:pt>
              </c:strCache>
            </c:strRef>
          </c:cat>
          <c:val>
            <c:numRef>
              <c:extLst>
                <c:ext xmlns:c15="http://schemas.microsoft.com/office/drawing/2012/chart" uri="{02D57815-91ED-43cb-92C2-25804820EDAC}">
                  <c15:fullRef>
                    <c15:sqref>'Final Dataset'!$H$71:$H$76</c15:sqref>
                  </c15:fullRef>
                </c:ext>
              </c:extLst>
              <c:f>'Final Dataset'!$H$72:$H$76</c:f>
              <c:numCache>
                <c:formatCode>_(* #,##0.00_);_(* \(#,##0.00\);_(* "-"??_);_(@_)</c:formatCode>
                <c:ptCount val="5"/>
                <c:pt idx="0">
                  <c:v>0.69132216091640442</c:v>
                </c:pt>
                <c:pt idx="1">
                  <c:v>0.56732032393153253</c:v>
                </c:pt>
                <c:pt idx="2">
                  <c:v>0.54192070151999572</c:v>
                </c:pt>
                <c:pt idx="3">
                  <c:v>0.50440520320262228</c:v>
                </c:pt>
                <c:pt idx="4">
                  <c:v>0.47467144677192186</c:v>
                </c:pt>
              </c:numCache>
            </c:numRef>
          </c:val>
          <c:extLst>
            <c:ext xmlns:c16="http://schemas.microsoft.com/office/drawing/2014/chart" uri="{C3380CC4-5D6E-409C-BE32-E72D297353CC}">
              <c16:uniqueId val="{00000000-9A94-42F3-9B1D-5A1539429601}"/>
            </c:ext>
          </c:extLst>
        </c:ser>
        <c:dLbls>
          <c:dLblPos val="outEnd"/>
          <c:showLegendKey val="0"/>
          <c:showVal val="1"/>
          <c:showCatName val="0"/>
          <c:showSerName val="0"/>
          <c:showPercent val="0"/>
          <c:showBubbleSize val="0"/>
        </c:dLbls>
        <c:gapWidth val="219"/>
        <c:overlap val="-27"/>
        <c:axId val="2121949503"/>
        <c:axId val="2121948543"/>
      </c:barChart>
      <c:catAx>
        <c:axId val="2121949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Borough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48543"/>
        <c:crosses val="autoZero"/>
        <c:auto val="1"/>
        <c:lblAlgn val="ctr"/>
        <c:lblOffset val="100"/>
        <c:noMultiLvlLbl val="0"/>
      </c:catAx>
      <c:valAx>
        <c:axId val="2121948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Rent Affordability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495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Least</a:t>
            </a:r>
            <a:r>
              <a:rPr lang="en-US" baseline="0"/>
              <a:t> Affordable London Boroughs</a:t>
            </a:r>
          </a:p>
          <a:p>
            <a:pPr>
              <a:defRPr/>
            </a:pPr>
            <a:r>
              <a:rPr lang="en-US" baseline="0"/>
              <a:t>by Rent, Council Tax and Public Transport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Tables'!$B$18</c:f>
              <c:strCache>
                <c:ptCount val="1"/>
                <c:pt idx="0">
                  <c:v>Overall 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Tables'!$A$19:$A$24</c15:sqref>
                  </c15:fullRef>
                </c:ext>
              </c:extLst>
              <c:f>'Pivot Tables'!$A$20:$A$24</c:f>
              <c:strCache>
                <c:ptCount val="5"/>
                <c:pt idx="0">
                  <c:v>Kensington and Chelsea</c:v>
                </c:pt>
                <c:pt idx="1">
                  <c:v>Westminster</c:v>
                </c:pt>
                <c:pt idx="2">
                  <c:v>Camden</c:v>
                </c:pt>
                <c:pt idx="3">
                  <c:v>Hackney</c:v>
                </c:pt>
                <c:pt idx="4">
                  <c:v>Newham</c:v>
                </c:pt>
              </c:strCache>
            </c:strRef>
          </c:cat>
          <c:val>
            <c:numRef>
              <c:extLst>
                <c:ext xmlns:c15="http://schemas.microsoft.com/office/drawing/2012/chart" uri="{02D57815-91ED-43cb-92C2-25804820EDAC}">
                  <c15:fullRef>
                    <c15:sqref>'Pivot Tables'!$B$19:$B$24</c15:sqref>
                  </c15:fullRef>
                </c:ext>
              </c:extLst>
              <c:f>'Pivot Tables'!$B$20:$B$24</c:f>
              <c:numCache>
                <c:formatCode>_(* #,##0.00_);_(* \(#,##0.00\);_(* "-"??_);_(@_)</c:formatCode>
                <c:ptCount val="5"/>
                <c:pt idx="0">
                  <c:v>0.9731784656215281</c:v>
                </c:pt>
                <c:pt idx="1">
                  <c:v>0.89656930884400365</c:v>
                </c:pt>
                <c:pt idx="2">
                  <c:v>0.80471318158100691</c:v>
                </c:pt>
                <c:pt idx="3">
                  <c:v>0.78899918032786887</c:v>
                </c:pt>
                <c:pt idx="4">
                  <c:v>0.7641512030193427</c:v>
                </c:pt>
              </c:numCache>
            </c:numRef>
          </c:val>
          <c:extLst>
            <c:ext xmlns:c16="http://schemas.microsoft.com/office/drawing/2014/chart" uri="{C3380CC4-5D6E-409C-BE32-E72D297353CC}">
              <c16:uniqueId val="{00000000-3C4F-49F4-8D2C-24923B08CE55}"/>
            </c:ext>
          </c:extLst>
        </c:ser>
        <c:dLbls>
          <c:dLblPos val="outEnd"/>
          <c:showLegendKey val="0"/>
          <c:showVal val="1"/>
          <c:showCatName val="0"/>
          <c:showSerName val="0"/>
          <c:showPercent val="0"/>
          <c:showBubbleSize val="0"/>
        </c:dLbls>
        <c:gapWidth val="219"/>
        <c:overlap val="-27"/>
        <c:axId val="2117858031"/>
        <c:axId val="2117858511"/>
      </c:barChart>
      <c:catAx>
        <c:axId val="211785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Borough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58511"/>
        <c:crosses val="autoZero"/>
        <c:auto val="1"/>
        <c:lblAlgn val="ctr"/>
        <c:lblOffset val="100"/>
        <c:noMultiLvlLbl val="0"/>
      </c:catAx>
      <c:valAx>
        <c:axId val="2117858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Affordability</a:t>
                </a:r>
                <a:r>
                  <a:rPr lang="en-GB" baseline="0"/>
                  <a:t> Index</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858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5 Most Affordable London Boroughs</a:t>
            </a:r>
          </a:p>
          <a:p>
            <a:pPr>
              <a:defRPr/>
            </a:pPr>
            <a:r>
              <a:rPr lang="en-US" sz="1400" b="0" i="0" u="none" strike="noStrike" kern="1200" spc="0" baseline="0">
                <a:solidFill>
                  <a:sysClr val="windowText" lastClr="000000">
                    <a:lumMod val="65000"/>
                    <a:lumOff val="35000"/>
                  </a:sysClr>
                </a:solidFill>
              </a:rPr>
              <a:t>by Rent, Council Tax and Public 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Tables'!$E$18</c:f>
              <c:strCache>
                <c:ptCount val="1"/>
                <c:pt idx="0">
                  <c:v>Overall 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Tables'!$D$19:$D$24</c15:sqref>
                  </c15:fullRef>
                </c:ext>
              </c:extLst>
              <c:f>'Pivot Tables'!$D$20:$D$24</c:f>
              <c:strCache>
                <c:ptCount val="5"/>
                <c:pt idx="0">
                  <c:v>Sutton</c:v>
                </c:pt>
                <c:pt idx="1">
                  <c:v>Croydon</c:v>
                </c:pt>
                <c:pt idx="2">
                  <c:v>Barnet</c:v>
                </c:pt>
                <c:pt idx="3">
                  <c:v>Havering</c:v>
                </c:pt>
                <c:pt idx="4">
                  <c:v>Hillingdon</c:v>
                </c:pt>
              </c:strCache>
            </c:strRef>
          </c:cat>
          <c:val>
            <c:numRef>
              <c:extLst>
                <c:ext xmlns:c15="http://schemas.microsoft.com/office/drawing/2012/chart" uri="{02D57815-91ED-43cb-92C2-25804820EDAC}">
                  <c15:fullRef>
                    <c15:sqref>'Pivot Tables'!$E$19:$E$24</c15:sqref>
                  </c15:fullRef>
                </c:ext>
              </c:extLst>
              <c:f>'Pivot Tables'!$E$20:$E$24</c:f>
              <c:numCache>
                <c:formatCode>_(* #,##0.00_);_(* \(#,##0.00\);_(* "-"??_);_(@_)</c:formatCode>
                <c:ptCount val="5"/>
                <c:pt idx="0">
                  <c:v>0.54223788939206796</c:v>
                </c:pt>
                <c:pt idx="1">
                  <c:v>0.5535985373630945</c:v>
                </c:pt>
                <c:pt idx="2">
                  <c:v>0.55518355257020247</c:v>
                </c:pt>
                <c:pt idx="3">
                  <c:v>0.55711639467266938</c:v>
                </c:pt>
                <c:pt idx="4">
                  <c:v>0.58172410252693629</c:v>
                </c:pt>
              </c:numCache>
            </c:numRef>
          </c:val>
          <c:extLst>
            <c:ext xmlns:c16="http://schemas.microsoft.com/office/drawing/2014/chart" uri="{C3380CC4-5D6E-409C-BE32-E72D297353CC}">
              <c16:uniqueId val="{00000000-8819-4C6F-941C-E18B5C82FD2C}"/>
            </c:ext>
          </c:extLst>
        </c:ser>
        <c:dLbls>
          <c:dLblPos val="outEnd"/>
          <c:showLegendKey val="0"/>
          <c:showVal val="1"/>
          <c:showCatName val="0"/>
          <c:showSerName val="0"/>
          <c:showPercent val="0"/>
          <c:showBubbleSize val="0"/>
        </c:dLbls>
        <c:gapWidth val="219"/>
        <c:overlap val="-27"/>
        <c:axId val="427514095"/>
        <c:axId val="427516975"/>
      </c:barChart>
      <c:catAx>
        <c:axId val="42751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Borough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16975"/>
        <c:crosses val="autoZero"/>
        <c:auto val="1"/>
        <c:lblAlgn val="ctr"/>
        <c:lblOffset val="100"/>
        <c:noMultiLvlLbl val="0"/>
      </c:catAx>
      <c:valAx>
        <c:axId val="427516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Affordability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514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34</xdr:col>
      <xdr:colOff>174874</xdr:colOff>
      <xdr:row>17</xdr:row>
      <xdr:rowOff>0</xdr:rowOff>
    </xdr:from>
    <xdr:to>
      <xdr:col>45</xdr:col>
      <xdr:colOff>277698</xdr:colOff>
      <xdr:row>27</xdr:row>
      <xdr:rowOff>2259</xdr:rowOff>
    </xdr:to>
    <xdr:graphicFrame macro="">
      <xdr:nvGraphicFramePr>
        <xdr:cNvPr id="4" name="Chart 3">
          <a:extLst>
            <a:ext uri="{FF2B5EF4-FFF2-40B4-BE49-F238E27FC236}">
              <a16:creationId xmlns:a16="http://schemas.microsoft.com/office/drawing/2014/main" id="{C6B82232-4609-4E73-BB95-4818462AD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42989</xdr:rowOff>
    </xdr:from>
    <xdr:to>
      <xdr:col>2</xdr:col>
      <xdr:colOff>22412</xdr:colOff>
      <xdr:row>44</xdr:row>
      <xdr:rowOff>61122</xdr:rowOff>
    </xdr:to>
    <xdr:graphicFrame macro="">
      <xdr:nvGraphicFramePr>
        <xdr:cNvPr id="8" name="Chart 7">
          <a:extLst>
            <a:ext uri="{FF2B5EF4-FFF2-40B4-BE49-F238E27FC236}">
              <a16:creationId xmlns:a16="http://schemas.microsoft.com/office/drawing/2014/main" id="{7EDAE3B0-BC25-4881-BA8F-6FC1134C0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51670</xdr:rowOff>
    </xdr:from>
    <xdr:to>
      <xdr:col>0</xdr:col>
      <xdr:colOff>5170714</xdr:colOff>
      <xdr:row>60</xdr:row>
      <xdr:rowOff>9070</xdr:rowOff>
    </xdr:to>
    <xdr:graphicFrame macro="">
      <xdr:nvGraphicFramePr>
        <xdr:cNvPr id="9" name="Chart 8">
          <a:extLst>
            <a:ext uri="{FF2B5EF4-FFF2-40B4-BE49-F238E27FC236}">
              <a16:creationId xmlns:a16="http://schemas.microsoft.com/office/drawing/2014/main" id="{492710DE-1FCF-43E1-93DE-80FB39196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216959</xdr:colOff>
      <xdr:row>44</xdr:row>
      <xdr:rowOff>96035</xdr:rowOff>
    </xdr:from>
    <xdr:to>
      <xdr:col>11</xdr:col>
      <xdr:colOff>390071</xdr:colOff>
      <xdr:row>59</xdr:row>
      <xdr:rowOff>104048</xdr:rowOff>
    </xdr:to>
    <xdr:graphicFrame macro="">
      <xdr:nvGraphicFramePr>
        <xdr:cNvPr id="10" name="Chart 9">
          <a:extLst>
            <a:ext uri="{FF2B5EF4-FFF2-40B4-BE49-F238E27FC236}">
              <a16:creationId xmlns:a16="http://schemas.microsoft.com/office/drawing/2014/main" id="{843CC297-22C0-4ECF-A6E2-2CAA3D8B2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381001</xdr:colOff>
      <xdr:row>44</xdr:row>
      <xdr:rowOff>81745</xdr:rowOff>
    </xdr:from>
    <xdr:to>
      <xdr:col>18</xdr:col>
      <xdr:colOff>226786</xdr:colOff>
      <xdr:row>59</xdr:row>
      <xdr:rowOff>65217</xdr:rowOff>
    </xdr:to>
    <xdr:graphicFrame macro="">
      <xdr:nvGraphicFramePr>
        <xdr:cNvPr id="11" name="Chart 10">
          <a:extLst>
            <a:ext uri="{FF2B5EF4-FFF2-40B4-BE49-F238E27FC236}">
              <a16:creationId xmlns:a16="http://schemas.microsoft.com/office/drawing/2014/main" id="{22AC693F-A5AD-48AF-B897-0CFBA59D1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5145696</xdr:colOff>
      <xdr:row>44</xdr:row>
      <xdr:rowOff>107614</xdr:rowOff>
    </xdr:from>
    <xdr:to>
      <xdr:col>4</xdr:col>
      <xdr:colOff>353787</xdr:colOff>
      <xdr:row>59</xdr:row>
      <xdr:rowOff>61438</xdr:rowOff>
    </xdr:to>
    <mc:AlternateContent xmlns:mc="http://schemas.openxmlformats.org/markup-compatibility/2006" xmlns:a14="http://schemas.microsoft.com/office/drawing/2010/main">
      <mc:Choice Requires="a14">
        <xdr:graphicFrame macro="">
          <xdr:nvGraphicFramePr>
            <xdr:cNvPr id="15" name="Borough">
              <a:extLst>
                <a:ext uri="{FF2B5EF4-FFF2-40B4-BE49-F238E27FC236}">
                  <a16:creationId xmlns:a16="http://schemas.microsoft.com/office/drawing/2014/main" id="{4142DB31-E613-4FBE-96D3-D68DEF94DD73}"/>
                </a:ext>
              </a:extLst>
            </xdr:cNvPr>
            <xdr:cNvGraphicFramePr/>
          </xdr:nvGraphicFramePr>
          <xdr:xfrm>
            <a:off x="0" y="0"/>
            <a:ext cx="0" cy="0"/>
          </xdr:xfrm>
          <a:graphic>
            <a:graphicData uri="http://schemas.microsoft.com/office/drawing/2010/slicer">
              <sle:slicer xmlns:sle="http://schemas.microsoft.com/office/drawing/2010/slicer" name="Borough"/>
            </a:graphicData>
          </a:graphic>
        </xdr:graphicFrame>
      </mc:Choice>
      <mc:Fallback xmlns="">
        <xdr:sp macro="" textlink="">
          <xdr:nvSpPr>
            <xdr:cNvPr id="0" name=""/>
            <xdr:cNvSpPr>
              <a:spLocks noTextEdit="1"/>
            </xdr:cNvSpPr>
          </xdr:nvSpPr>
          <xdr:spPr>
            <a:xfrm>
              <a:off x="5145696" y="8979471"/>
              <a:ext cx="2964162" cy="26752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24741</xdr:colOff>
      <xdr:row>14</xdr:row>
      <xdr:rowOff>11545</xdr:rowOff>
    </xdr:from>
    <xdr:to>
      <xdr:col>9</xdr:col>
      <xdr:colOff>342241</xdr:colOff>
      <xdr:row>29</xdr:row>
      <xdr:rowOff>24245</xdr:rowOff>
    </xdr:to>
    <xdr:graphicFrame macro="">
      <xdr:nvGraphicFramePr>
        <xdr:cNvPr id="16" name="Chart 15">
          <a:extLst>
            <a:ext uri="{FF2B5EF4-FFF2-40B4-BE49-F238E27FC236}">
              <a16:creationId xmlns:a16="http://schemas.microsoft.com/office/drawing/2014/main" id="{3EA34C4E-7446-49C9-94DA-CE850E84F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351311</xdr:colOff>
      <xdr:row>14</xdr:row>
      <xdr:rowOff>67</xdr:rowOff>
    </xdr:from>
    <xdr:to>
      <xdr:col>17</xdr:col>
      <xdr:colOff>61025</xdr:colOff>
      <xdr:row>28</xdr:row>
      <xdr:rowOff>132277</xdr:rowOff>
    </xdr:to>
    <xdr:graphicFrame macro="">
      <xdr:nvGraphicFramePr>
        <xdr:cNvPr id="18" name="Chart 17">
          <a:extLst>
            <a:ext uri="{FF2B5EF4-FFF2-40B4-BE49-F238E27FC236}">
              <a16:creationId xmlns:a16="http://schemas.microsoft.com/office/drawing/2014/main" id="{D060613E-0623-406C-8525-430441EAA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360383</xdr:colOff>
      <xdr:row>28</xdr:row>
      <xdr:rowOff>150093</xdr:rowOff>
    </xdr:from>
    <xdr:to>
      <xdr:col>17</xdr:col>
      <xdr:colOff>70097</xdr:colOff>
      <xdr:row>43</xdr:row>
      <xdr:rowOff>171863</xdr:rowOff>
    </xdr:to>
    <xdr:graphicFrame macro="">
      <xdr:nvGraphicFramePr>
        <xdr:cNvPr id="19" name="Chart 18">
          <a:extLst>
            <a:ext uri="{FF2B5EF4-FFF2-40B4-BE49-F238E27FC236}">
              <a16:creationId xmlns:a16="http://schemas.microsoft.com/office/drawing/2014/main" id="{27ECA153-F576-4F4C-BAD8-97BCF989E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45357</xdr:colOff>
      <xdr:row>28</xdr:row>
      <xdr:rowOff>147618</xdr:rowOff>
    </xdr:from>
    <xdr:to>
      <xdr:col>9</xdr:col>
      <xdr:colOff>362857</xdr:colOff>
      <xdr:row>43</xdr:row>
      <xdr:rowOff>169388</xdr:rowOff>
    </xdr:to>
    <xdr:graphicFrame macro="">
      <xdr:nvGraphicFramePr>
        <xdr:cNvPr id="20" name="Chart 19">
          <a:extLst>
            <a:ext uri="{FF2B5EF4-FFF2-40B4-BE49-F238E27FC236}">
              <a16:creationId xmlns:a16="http://schemas.microsoft.com/office/drawing/2014/main" id="{8EB1CD0B-E632-4EB1-81AD-665719E4C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 Uddin" refreshedDate="45918.933135300926" createdVersion="8" refreshedVersion="8" minRefreshableVersion="3" recordCount="198" xr:uid="{3A269769-38F8-40F5-9036-CF0361F33160}">
  <cacheSource type="worksheet">
    <worksheetSource name="Summary_of_monthly_rents_recorded_between_July_2024_to_June_2025_by_borough_and_bedroom_category_for_London12"/>
  </cacheSource>
  <cacheFields count="7">
    <cacheField name="Borough" numFmtId="49">
      <sharedItems count="33">
        <s v="Barking and Dagenham"/>
        <s v="Barnet"/>
        <s v="Bexley"/>
        <s v="Brent"/>
        <s v="Bromley"/>
        <s v="Camden"/>
        <s v="City of London"/>
        <s v="Croydon"/>
        <s v="Ealing"/>
        <s v="Enfield"/>
        <s v="Greenwich"/>
        <s v="Hackney"/>
        <s v="Hammersmith and Fulham"/>
        <s v="Haringey"/>
        <s v="Harrow"/>
        <s v="Havering"/>
        <s v="Hillingdon"/>
        <s v="Hounslow"/>
        <s v="Islington"/>
        <s v="Kensington and Chelsea"/>
        <s v="Kingston upon Thames"/>
        <s v="Lambeth"/>
        <s v="Lewisham"/>
        <s v="Merton"/>
        <s v="Newham"/>
        <s v="Redbridge"/>
        <s v="Richmond upon Thames"/>
        <s v="Southwark"/>
        <s v="Sutton"/>
        <s v="Tower Hamlets"/>
        <s v="Waltham Forest"/>
        <s v="Wandsworth"/>
        <s v="Westminster"/>
      </sharedItems>
    </cacheField>
    <cacheField name="Bedroom Category" numFmtId="166">
      <sharedItems count="6">
        <s v="Room"/>
        <s v="Studio"/>
        <s v="One Bedroom"/>
        <s v="Two Bedrooms"/>
        <s v="Three Bedrooms"/>
        <s v="Four or More Bedrooms"/>
      </sharedItems>
    </cacheField>
    <cacheField name="Count of rents" numFmtId="164">
      <sharedItems containsMixedTypes="1" containsNumber="1" containsInteger="1" minValue="10" maxValue="1310"/>
    </cacheField>
    <cacheField name="Mean" numFmtId="164">
      <sharedItems containsSemiMixedTypes="0" containsString="0" containsNumber="1" containsInteger="1" minValue="0" maxValue="8904"/>
    </cacheField>
    <cacheField name="Lower quartile" numFmtId="164">
      <sharedItems containsSemiMixedTypes="0" containsString="0" containsNumber="1" containsInteger="1" minValue="0" maxValue="6586"/>
    </cacheField>
    <cacheField name="Median" numFmtId="164">
      <sharedItems containsSemiMixedTypes="0" containsString="0" containsNumber="1" containsInteger="1" minValue="0" maxValue="9750"/>
    </cacheField>
    <cacheField name="Upper quartile" numFmtId="164">
      <sharedItems containsSemiMixedTypes="0" containsString="0" containsNumber="1" containsInteger="1" minValue="0" maxValue="109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 Uddin" refreshedDate="45919.037707754629" createdVersion="8" refreshedVersion="8" minRefreshableVersion="3" recordCount="33" xr:uid="{9C83B68F-644D-49B5-A3D2-0BE164C6F341}">
  <cacheSource type="worksheet">
    <worksheetSource ref="A1:AF34" sheet="Final Dataset"/>
  </cacheSource>
  <cacheFields count="31">
    <cacheField name="Borough" numFmtId="0">
      <sharedItems containsBlank="1" count="33">
        <m/>
        <s v="Barking and Dagenham"/>
        <s v="Barnet"/>
        <s v="Bexley"/>
        <s v="Brent"/>
        <s v="Bromley"/>
        <s v="Camden"/>
        <s v="Croydon"/>
        <s v="Ealing"/>
        <s v="Enfield"/>
        <s v="Greenwich"/>
        <s v="Hackney"/>
        <s v="Hammersmith and Fulham"/>
        <s v="Haringey"/>
        <s v="Harrow"/>
        <s v="Havering"/>
        <s v="Hillingdon"/>
        <s v="Hounslow"/>
        <s v="Islington"/>
        <s v="Kensington and Chelsea"/>
        <s v="Kingston upon Thames"/>
        <s v="Lambeth"/>
        <s v="Lewisham"/>
        <s v="Merton"/>
        <s v="Newham"/>
        <s v="Redbridge"/>
        <s v="Richmond upon Thames"/>
        <s v="Southwark"/>
        <s v="Sutton"/>
        <s v="Tower Hamlets"/>
        <s v="Waltham Forest"/>
        <s v="Wandsworth"/>
        <s v="Westminster"/>
      </sharedItems>
    </cacheField>
    <cacheField name="Overall Weekly Pay (£)" numFmtId="0">
      <sharedItems containsString="0" containsBlank="1" containsNumber="1" minValue="612.9" maxValue="843.3"/>
    </cacheField>
    <cacheField name="Male Weekly Pay (£)" numFmtId="0">
      <sharedItems containsString="0" containsBlank="1" containsNumber="1" minValue="659.1" maxValue="1041.5" count="33">
        <m/>
        <n v="659.1"/>
        <n v="774.2"/>
        <n v="861"/>
        <n v="720.7"/>
        <n v="943.1"/>
        <n v="797.5"/>
        <n v="800.3"/>
        <n v="737.7"/>
        <n v="715.9"/>
        <n v="843.2"/>
        <n v="811.4"/>
        <n v="889.5"/>
        <n v="745.6"/>
        <n v="814.7"/>
        <n v="850.9"/>
        <n v="762.8"/>
        <n v="738.5"/>
        <n v="872.7"/>
        <n v="1041.5"/>
        <n v="912.2"/>
        <n v="854.9"/>
        <n v="739"/>
        <n v="844.7"/>
        <n v="702.4"/>
        <n v="804.9"/>
        <n v="1022.5"/>
        <n v="833.2"/>
        <n v="814.6"/>
        <n v="806.4"/>
        <n v="804.8"/>
        <n v="912.3"/>
        <n v="932"/>
      </sharedItems>
    </cacheField>
    <cacheField name="Female Weekly Pay (£)" numFmtId="0">
      <sharedItems containsString="0" containsBlank="1" containsNumber="1" minValue="552" maxValue="796.4" count="33">
        <m/>
        <n v="571.70000000000005"/>
        <n v="671.4"/>
        <n v="599.20000000000005"/>
        <n v="581.79999999999995"/>
        <n v="704.7"/>
        <n v="727.6"/>
        <n v="679.5"/>
        <n v="651.20000000000005"/>
        <n v="603.70000000000005"/>
        <n v="656.5"/>
        <n v="698.4"/>
        <n v="702.3"/>
        <n v="683.1"/>
        <n v="584.4"/>
        <n v="605"/>
        <n v="600.9"/>
        <n v="574.9"/>
        <n v="748.5"/>
        <n v="691.5"/>
        <n v="574.29999999999995"/>
        <n v="747.4"/>
        <n v="675.2"/>
        <n v="670.9"/>
        <n v="577.79999999999995"/>
        <n v="552"/>
        <n v="733.9"/>
        <n v="713.3"/>
        <n v="613.29999999999995"/>
        <n v="691.8"/>
        <n v="626.79999999999995"/>
        <n v="796.4"/>
        <n v="760.2"/>
      </sharedItems>
    </cacheField>
    <cacheField name="Part-Time Weekly Pay (£)" numFmtId="0">
      <sharedItems containsString="0" containsBlank="1" containsNumber="1" minValue="230" maxValue="291.7"/>
    </cacheField>
    <cacheField name="Full-Time Weekly Pay (£)" numFmtId="0">
      <sharedItems containsString="0" containsBlank="1" containsNumber="1" minValue="744.1" maxValue="988"/>
    </cacheField>
    <cacheField name="Zone" numFmtId="0">
      <sharedItems containsBlank="1"/>
    </cacheField>
    <cacheField name="Band A" numFmtId="164">
      <sharedItems containsSemiMixedTypes="0" containsString="0" containsNumber="1" minValue="645.83999999999992" maxValue="1583.5666666666666"/>
    </cacheField>
    <cacheField name="Band B" numFmtId="164">
      <sharedItems containsSemiMixedTypes="0" containsString="0" containsNumber="1" minValue="753.48" maxValue="1847.4944444444445"/>
    </cacheField>
    <cacheField name="Band C" numFmtId="164">
      <sharedItems containsSemiMixedTypes="0" containsString="0" containsNumber="1" minValue="861.12" maxValue="2111.422222222222"/>
    </cacheField>
    <cacheField name="Band D" numFmtId="164">
      <sharedItems containsSemiMixedTypes="0" containsString="0" containsNumber="1" minValue="968.76" maxValue="2375.35"/>
    </cacheField>
    <cacheField name="Band E" numFmtId="164">
      <sharedItems containsSemiMixedTypes="0" containsString="0" containsNumber="1" minValue="1184.04" maxValue="2903.2055555555553"/>
    </cacheField>
    <cacheField name="Band F" numFmtId="164">
      <sharedItems containsSemiMixedTypes="0" containsString="0" containsNumber="1" minValue="1399.32" maxValue="3431.0611111111111"/>
    </cacheField>
    <cacheField name="Band G" numFmtId="164">
      <sharedItems containsSemiMixedTypes="0" containsString="0" containsNumber="1" minValue="1614.6" maxValue="3958.9166666666665"/>
    </cacheField>
    <cacheField name="Band H" numFmtId="0">
      <sharedItems containsString="0" containsBlank="1" containsNumber="1" minValue="1937.52" maxValue="4750.7"/>
    </cacheField>
    <cacheField name="5000EmpPTt" numFmtId="0">
      <sharedItems containsSemiMixedTypes="0" containsString="0" containsNumber="1" minValue="0" maxValue="37.547367811859097"/>
    </cacheField>
    <cacheField name="5000EmpCyct" numFmtId="0">
      <sharedItems containsSemiMixedTypes="0" containsString="0" containsNumber="1" minValue="0" maxValue="31.0292160353229"/>
    </cacheField>
    <cacheField name="5000EmpCart" numFmtId="0">
      <sharedItems containsSemiMixedTypes="0" containsString="0" containsNumber="1" minValue="0" maxValue="21.4147498833496"/>
    </cacheField>
    <cacheField name="5000EmpWalkt" numFmtId="0">
      <sharedItems containsSemiMixedTypes="0" containsString="0" containsNumber="1" minValue="0" maxValue="83.405239009211002"/>
    </cacheField>
    <cacheField name="Four or More Bedrooms" numFmtId="164">
      <sharedItems containsSemiMixedTypes="0" containsString="0" containsNumber="1" containsInteger="1" minValue="0" maxValue="9750"/>
    </cacheField>
    <cacheField name="One Bedroom" numFmtId="164">
      <sharedItems containsSemiMixedTypes="0" containsString="0" containsNumber="1" containsInteger="1" minValue="1250" maxValue="2492"/>
    </cacheField>
    <cacheField name="Room" numFmtId="164">
      <sharedItems containsSemiMixedTypes="0" containsString="0" containsNumber="1" containsInteger="1" minValue="0" maxValue="1177"/>
    </cacheField>
    <cacheField name="Studio" numFmtId="164">
      <sharedItems containsSemiMixedTypes="0" containsString="0" containsNumber="1" containsInteger="1" minValue="0" maxValue="2300"/>
    </cacheField>
    <cacheField name="Three Bedrooms" numFmtId="164">
      <sharedItems containsSemiMixedTypes="0" containsString="0" containsNumber="1" containsInteger="1" minValue="1850" maxValue="5688"/>
    </cacheField>
    <cacheField name="Two Bedrooms" numFmtId="164">
      <sharedItems containsSemiMixedTypes="0" containsString="0" containsNumber="1" containsInteger="1" minValue="1550" maxValue="3358"/>
    </cacheField>
    <cacheField name="Single male housing affordability" numFmtId="0">
      <sharedItems containsString="0" containsBlank="1" containsNumber="1" minValue="0.28572305425975936" maxValue="0.72100313479623823"/>
    </cacheField>
    <cacheField name="Single Female housing affordability" numFmtId="0">
      <sharedItems containsString="0" containsBlank="1" containsNumber="1" minValue="0.37235627047959491" maxValue="0.79026937877954917"/>
    </cacheField>
    <cacheField name="Couple Affordability" numFmtId="0">
      <sharedItems containsString="0" containsBlank="1" containsNumber="1" minValue="0.26185971077172593" maxValue="0.50406530719297094"/>
    </cacheField>
    <cacheField name="Family Affordability" numFmtId="0">
      <sharedItems containsString="0" containsBlank="1" containsNumber="1" minValue="0.31767291709595435" maxValue="0.82054241200230815"/>
    </cacheField>
    <cacheField name="Weighted average Commuting Time" numFmtId="0">
      <sharedItems containsString="0" containsBlank="1" containsNumber="1" minValue="8.9686680626284989" maxValue="31.140682556202528"/>
    </cacheField>
    <cacheField name="Median Earning to House Price Ratio" numFmtId="0">
      <sharedItems containsString="0" containsBlank="1" containsNumber="1" minValue="9.41" maxValue="22.8" count="32">
        <m/>
        <n v="9.52"/>
        <n v="13.34"/>
        <n v="9.41"/>
        <n v="14.18"/>
        <n v="10.56"/>
        <n v="16.84"/>
        <n v="9.4700000000000006"/>
        <n v="12.81"/>
        <n v="10.59"/>
        <n v="10.09"/>
        <n v="12.63"/>
        <n v="15.83"/>
        <n v="12.64"/>
        <n v="12.85"/>
        <n v="9.7100000000000009"/>
        <n v="11.49"/>
        <n v="12.02"/>
        <n v="13.22"/>
        <n v="22.8"/>
        <n v="12.24"/>
        <n v="11.12"/>
        <n v="10.14"/>
        <n v="11.74"/>
        <n v="11.21"/>
        <n v="11.56"/>
        <n v="12.76"/>
        <n v="10.35"/>
        <n v="10.210000000000001"/>
        <n v="11.59"/>
        <n v="12.87"/>
        <n v="18.309999999999999"/>
      </sharedItems>
    </cacheField>
  </cacheFields>
  <extLst>
    <ext xmlns:x14="http://schemas.microsoft.com/office/spreadsheetml/2009/9/main" uri="{725AE2AE-9491-48be-B2B4-4EB974FC3084}">
      <x14:pivotCacheDefinition pivotCacheId="1983821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n v="10"/>
    <n v="646"/>
    <n v="0"/>
    <n v="726"/>
    <n v="0"/>
  </r>
  <r>
    <x v="0"/>
    <x v="1"/>
    <s v="-"/>
    <n v="0"/>
    <n v="0"/>
    <n v="0"/>
    <n v="0"/>
  </r>
  <r>
    <x v="0"/>
    <x v="2"/>
    <n v="200"/>
    <n v="1341"/>
    <n v="1250"/>
    <n v="1350"/>
    <n v="1480"/>
  </r>
  <r>
    <x v="0"/>
    <x v="3"/>
    <n v="390"/>
    <n v="1660"/>
    <n v="1500"/>
    <n v="1700"/>
    <n v="1836"/>
  </r>
  <r>
    <x v="0"/>
    <x v="4"/>
    <n v="190"/>
    <n v="1954"/>
    <n v="1750"/>
    <n v="1965"/>
    <n v="2100"/>
  </r>
  <r>
    <x v="0"/>
    <x v="5"/>
    <n v="20"/>
    <n v="2409"/>
    <n v="2300"/>
    <n v="2400"/>
    <n v="2500"/>
  </r>
  <r>
    <x v="1"/>
    <x v="0"/>
    <n v="10"/>
    <n v="747"/>
    <n v="701"/>
    <n v="726"/>
    <n v="796"/>
  </r>
  <r>
    <x v="1"/>
    <x v="1"/>
    <n v="110"/>
    <n v="1105"/>
    <n v="1000"/>
    <n v="1100"/>
    <n v="1200"/>
  </r>
  <r>
    <x v="1"/>
    <x v="2"/>
    <n v="670"/>
    <n v="1472"/>
    <n v="1300"/>
    <n v="1450"/>
    <n v="1600"/>
  </r>
  <r>
    <x v="1"/>
    <x v="3"/>
    <n v="1150"/>
    <n v="1802"/>
    <n v="1600"/>
    <n v="1750"/>
    <n v="1975"/>
  </r>
  <r>
    <x v="1"/>
    <x v="4"/>
    <n v="430"/>
    <n v="2448"/>
    <n v="2100"/>
    <n v="2400"/>
    <n v="2700"/>
  </r>
  <r>
    <x v="1"/>
    <x v="5"/>
    <n v="160"/>
    <n v="3398"/>
    <n v="2800"/>
    <n v="3150"/>
    <n v="3775"/>
  </r>
  <r>
    <x v="2"/>
    <x v="0"/>
    <n v="20"/>
    <n v="833"/>
    <n v="738"/>
    <n v="800"/>
    <n v="1000"/>
  </r>
  <r>
    <x v="2"/>
    <x v="1"/>
    <n v="10"/>
    <n v="1081"/>
    <n v="0"/>
    <n v="1000"/>
    <n v="0"/>
  </r>
  <r>
    <x v="2"/>
    <x v="2"/>
    <n v="180"/>
    <n v="1248"/>
    <n v="1100"/>
    <n v="1250"/>
    <n v="1375"/>
  </r>
  <r>
    <x v="2"/>
    <x v="3"/>
    <n v="300"/>
    <n v="1554"/>
    <n v="1400"/>
    <n v="1600"/>
    <n v="1700"/>
  </r>
  <r>
    <x v="2"/>
    <x v="4"/>
    <n v="220"/>
    <n v="1924"/>
    <n v="1750"/>
    <n v="1950"/>
    <n v="2100"/>
  </r>
  <r>
    <x v="2"/>
    <x v="5"/>
    <n v="50"/>
    <n v="2315"/>
    <n v="2050"/>
    <n v="2300"/>
    <n v="2600"/>
  </r>
  <r>
    <x v="3"/>
    <x v="0"/>
    <n v="80"/>
    <n v="796"/>
    <n v="708"/>
    <n v="776"/>
    <n v="878"/>
  </r>
  <r>
    <x v="3"/>
    <x v="1"/>
    <n v="110"/>
    <n v="1152"/>
    <n v="1000"/>
    <n v="1160"/>
    <n v="1280"/>
  </r>
  <r>
    <x v="3"/>
    <x v="2"/>
    <n v="440"/>
    <n v="1646"/>
    <n v="1450"/>
    <n v="1650"/>
    <n v="1850"/>
  </r>
  <r>
    <x v="3"/>
    <x v="3"/>
    <n v="660"/>
    <n v="2036"/>
    <n v="1800"/>
    <n v="2000"/>
    <n v="2250"/>
  </r>
  <r>
    <x v="3"/>
    <x v="4"/>
    <n v="290"/>
    <n v="2480"/>
    <n v="2100"/>
    <n v="2400"/>
    <n v="2700"/>
  </r>
  <r>
    <x v="3"/>
    <x v="5"/>
    <n v="120"/>
    <n v="3601"/>
    <n v="2515"/>
    <n v="3200"/>
    <n v="4213"/>
  </r>
  <r>
    <x v="4"/>
    <x v="0"/>
    <n v="20"/>
    <n v="706"/>
    <n v="676"/>
    <n v="718"/>
    <n v="801"/>
  </r>
  <r>
    <x v="4"/>
    <x v="1"/>
    <n v="40"/>
    <n v="993"/>
    <n v="925"/>
    <n v="995"/>
    <n v="1050"/>
  </r>
  <r>
    <x v="4"/>
    <x v="2"/>
    <n v="790"/>
    <n v="1292"/>
    <n v="1181"/>
    <n v="1300"/>
    <n v="1400"/>
  </r>
  <r>
    <x v="4"/>
    <x v="3"/>
    <n v="1130"/>
    <n v="1620"/>
    <n v="1450"/>
    <n v="1600"/>
    <n v="1750"/>
  </r>
  <r>
    <x v="4"/>
    <x v="4"/>
    <n v="480"/>
    <n v="2021"/>
    <n v="1750"/>
    <n v="2000"/>
    <n v="2246"/>
  </r>
  <r>
    <x v="4"/>
    <x v="5"/>
    <n v="190"/>
    <n v="2750"/>
    <n v="2200"/>
    <n v="2500"/>
    <n v="3000"/>
  </r>
  <r>
    <x v="5"/>
    <x v="0"/>
    <n v="30"/>
    <n v="882"/>
    <n v="826"/>
    <n v="875"/>
    <n v="930"/>
  </r>
  <r>
    <x v="5"/>
    <x v="1"/>
    <n v="60"/>
    <n v="1520"/>
    <n v="1350"/>
    <n v="1450"/>
    <n v="1750"/>
  </r>
  <r>
    <x v="5"/>
    <x v="2"/>
    <n v="300"/>
    <n v="2113"/>
    <n v="1800"/>
    <n v="2000"/>
    <n v="2350"/>
  </r>
  <r>
    <x v="5"/>
    <x v="3"/>
    <n v="310"/>
    <n v="2747"/>
    <n v="2250"/>
    <n v="2600"/>
    <n v="3100"/>
  </r>
  <r>
    <x v="5"/>
    <x v="4"/>
    <n v="130"/>
    <n v="3684"/>
    <n v="3025"/>
    <n v="3500"/>
    <n v="4000"/>
  </r>
  <r>
    <x v="5"/>
    <x v="5"/>
    <n v="40"/>
    <n v="4815"/>
    <n v="3590"/>
    <n v="4090"/>
    <n v="5079"/>
  </r>
  <r>
    <x v="6"/>
    <x v="0"/>
    <s v="-"/>
    <n v="0"/>
    <n v="0"/>
    <n v="0"/>
    <n v="0"/>
  </r>
  <r>
    <x v="6"/>
    <x v="1"/>
    <n v="10"/>
    <n v="2388"/>
    <n v="0"/>
    <n v="2300"/>
    <n v="0"/>
  </r>
  <r>
    <x v="6"/>
    <x v="2"/>
    <n v="70"/>
    <n v="2395"/>
    <n v="2100"/>
    <n v="2300"/>
    <n v="2675"/>
  </r>
  <r>
    <x v="6"/>
    <x v="3"/>
    <n v="50"/>
    <n v="3072"/>
    <n v="2843"/>
    <n v="3075"/>
    <n v="3263"/>
  </r>
  <r>
    <x v="6"/>
    <x v="4"/>
    <n v="10"/>
    <n v="4378"/>
    <n v="0"/>
    <n v="4575"/>
    <n v="0"/>
  </r>
  <r>
    <x v="6"/>
    <x v="5"/>
    <s v="-"/>
    <n v="0"/>
    <n v="0"/>
    <n v="0"/>
    <n v="0"/>
  </r>
  <r>
    <x v="7"/>
    <x v="0"/>
    <n v="20"/>
    <n v="719"/>
    <n v="650"/>
    <n v="732"/>
    <n v="805"/>
  </r>
  <r>
    <x v="7"/>
    <x v="1"/>
    <n v="50"/>
    <n v="1019"/>
    <n v="938"/>
    <n v="1025"/>
    <n v="1100"/>
  </r>
  <r>
    <x v="7"/>
    <x v="2"/>
    <n v="540"/>
    <n v="1226"/>
    <n v="1100"/>
    <n v="1250"/>
    <n v="1315"/>
  </r>
  <r>
    <x v="7"/>
    <x v="3"/>
    <n v="810"/>
    <n v="1542"/>
    <n v="1400"/>
    <n v="1550"/>
    <n v="1650"/>
  </r>
  <r>
    <x v="7"/>
    <x v="4"/>
    <n v="350"/>
    <n v="1932"/>
    <n v="1700"/>
    <n v="1950"/>
    <n v="2150"/>
  </r>
  <r>
    <x v="7"/>
    <x v="5"/>
    <n v="110"/>
    <n v="2511"/>
    <n v="2200"/>
    <n v="2475"/>
    <n v="2700"/>
  </r>
  <r>
    <x v="8"/>
    <x v="0"/>
    <n v="160"/>
    <n v="872"/>
    <n v="726"/>
    <n v="826"/>
    <n v="957"/>
  </r>
  <r>
    <x v="8"/>
    <x v="1"/>
    <n v="70"/>
    <n v="1300"/>
    <n v="1138"/>
    <n v="1345"/>
    <n v="1450"/>
  </r>
  <r>
    <x v="8"/>
    <x v="2"/>
    <n v="660"/>
    <n v="1571"/>
    <n v="1400"/>
    <n v="1550"/>
    <n v="1700"/>
  </r>
  <r>
    <x v="8"/>
    <x v="3"/>
    <n v="870"/>
    <n v="1958"/>
    <n v="1744"/>
    <n v="1900"/>
    <n v="2150"/>
  </r>
  <r>
    <x v="8"/>
    <x v="4"/>
    <n v="240"/>
    <n v="2551"/>
    <n v="2200"/>
    <n v="2445"/>
    <n v="2752"/>
  </r>
  <r>
    <x v="8"/>
    <x v="5"/>
    <n v="110"/>
    <n v="3310"/>
    <n v="2550"/>
    <n v="2900"/>
    <n v="3750"/>
  </r>
  <r>
    <x v="9"/>
    <x v="0"/>
    <n v="30"/>
    <n v="736"/>
    <n v="676"/>
    <n v="738"/>
    <n v="801"/>
  </r>
  <r>
    <x v="9"/>
    <x v="1"/>
    <n v="30"/>
    <n v="1107"/>
    <n v="1000"/>
    <n v="1100"/>
    <n v="1250"/>
  </r>
  <r>
    <x v="9"/>
    <x v="2"/>
    <n v="240"/>
    <n v="1332"/>
    <n v="1250"/>
    <n v="1350"/>
    <n v="1424"/>
  </r>
  <r>
    <x v="9"/>
    <x v="3"/>
    <n v="400"/>
    <n v="1649"/>
    <n v="1495"/>
    <n v="1650"/>
    <n v="1750"/>
  </r>
  <r>
    <x v="9"/>
    <x v="4"/>
    <n v="260"/>
    <n v="2103"/>
    <n v="1800"/>
    <n v="2050"/>
    <n v="2300"/>
  </r>
  <r>
    <x v="9"/>
    <x v="5"/>
    <n v="80"/>
    <n v="3127"/>
    <n v="2500"/>
    <n v="2900"/>
    <n v="3400"/>
  </r>
  <r>
    <x v="10"/>
    <x v="0"/>
    <n v="70"/>
    <n v="800"/>
    <n v="663"/>
    <n v="770"/>
    <n v="900"/>
  </r>
  <r>
    <x v="10"/>
    <x v="1"/>
    <n v="40"/>
    <n v="1139"/>
    <n v="1000"/>
    <n v="1150"/>
    <n v="1300"/>
  </r>
  <r>
    <x v="10"/>
    <x v="2"/>
    <n v="660"/>
    <n v="1553"/>
    <n v="1350"/>
    <n v="1525"/>
    <n v="1750"/>
  </r>
  <r>
    <x v="10"/>
    <x v="3"/>
    <n v="1000"/>
    <n v="1903"/>
    <n v="1600"/>
    <n v="1850"/>
    <n v="2100"/>
  </r>
  <r>
    <x v="10"/>
    <x v="4"/>
    <n v="420"/>
    <n v="2210"/>
    <n v="1850"/>
    <n v="2100"/>
    <n v="2500"/>
  </r>
  <r>
    <x v="10"/>
    <x v="5"/>
    <n v="120"/>
    <n v="2931"/>
    <n v="2303"/>
    <n v="2750"/>
    <n v="3300"/>
  </r>
  <r>
    <x v="11"/>
    <x v="0"/>
    <n v="30"/>
    <n v="992"/>
    <n v="855"/>
    <n v="976"/>
    <n v="1056"/>
  </r>
  <r>
    <x v="11"/>
    <x v="1"/>
    <n v="40"/>
    <n v="1396"/>
    <n v="1258"/>
    <n v="1280"/>
    <n v="1519"/>
  </r>
  <r>
    <x v="11"/>
    <x v="2"/>
    <n v="320"/>
    <n v="2048"/>
    <n v="1743"/>
    <n v="2000"/>
    <n v="2225"/>
  </r>
  <r>
    <x v="11"/>
    <x v="3"/>
    <n v="390"/>
    <n v="2525"/>
    <n v="2110"/>
    <n v="2500"/>
    <n v="2775"/>
  </r>
  <r>
    <x v="11"/>
    <x v="4"/>
    <n v="170"/>
    <n v="3190"/>
    <n v="2700"/>
    <n v="3200"/>
    <n v="3500"/>
  </r>
  <r>
    <x v="11"/>
    <x v="5"/>
    <n v="50"/>
    <n v="4204"/>
    <n v="3450"/>
    <n v="3950"/>
    <n v="4870"/>
  </r>
  <r>
    <x v="12"/>
    <x v="0"/>
    <n v="30"/>
    <n v="1030"/>
    <n v="918"/>
    <n v="1026"/>
    <n v="1147"/>
  </r>
  <r>
    <x v="12"/>
    <x v="1"/>
    <n v="60"/>
    <n v="1530"/>
    <n v="1355"/>
    <n v="1500"/>
    <n v="1659"/>
  </r>
  <r>
    <x v="12"/>
    <x v="2"/>
    <n v="390"/>
    <n v="1937"/>
    <n v="1700"/>
    <n v="1850"/>
    <n v="2143"/>
  </r>
  <r>
    <x v="12"/>
    <x v="3"/>
    <n v="630"/>
    <n v="2440"/>
    <n v="2050"/>
    <n v="2250"/>
    <n v="2700"/>
  </r>
  <r>
    <x v="12"/>
    <x v="4"/>
    <n v="170"/>
    <n v="3396"/>
    <n v="2831"/>
    <n v="3300"/>
    <n v="3750"/>
  </r>
  <r>
    <x v="12"/>
    <x v="5"/>
    <n v="90"/>
    <n v="5042"/>
    <n v="4100"/>
    <n v="4600"/>
    <n v="5538"/>
  </r>
  <r>
    <x v="13"/>
    <x v="0"/>
    <n v="10"/>
    <n v="754"/>
    <n v="0"/>
    <n v="686"/>
    <n v="0"/>
  </r>
  <r>
    <x v="13"/>
    <x v="1"/>
    <n v="30"/>
    <n v="1131"/>
    <n v="1000"/>
    <n v="1067"/>
    <n v="1200"/>
  </r>
  <r>
    <x v="13"/>
    <x v="2"/>
    <n v="230"/>
    <n v="1651"/>
    <n v="1500"/>
    <n v="1625"/>
    <n v="1800"/>
  </r>
  <r>
    <x v="13"/>
    <x v="3"/>
    <n v="350"/>
    <n v="2042"/>
    <n v="1763"/>
    <n v="1993"/>
    <n v="2250"/>
  </r>
  <r>
    <x v="13"/>
    <x v="4"/>
    <n v="130"/>
    <n v="2619"/>
    <n v="2200"/>
    <n v="2500"/>
    <n v="2991"/>
  </r>
  <r>
    <x v="13"/>
    <x v="5"/>
    <n v="100"/>
    <n v="3647"/>
    <n v="2975"/>
    <n v="3350"/>
    <n v="4173"/>
  </r>
  <r>
    <x v="14"/>
    <x v="0"/>
    <n v="30"/>
    <n v="804"/>
    <n v="726"/>
    <n v="826"/>
    <n v="876"/>
  </r>
  <r>
    <x v="14"/>
    <x v="1"/>
    <n v="60"/>
    <n v="1147"/>
    <n v="969"/>
    <n v="1088"/>
    <n v="1381"/>
  </r>
  <r>
    <x v="14"/>
    <x v="2"/>
    <n v="290"/>
    <n v="1406"/>
    <n v="1300"/>
    <n v="1400"/>
    <n v="1500"/>
  </r>
  <r>
    <x v="14"/>
    <x v="3"/>
    <n v="580"/>
    <n v="1731"/>
    <n v="1600"/>
    <n v="1700"/>
    <n v="1850"/>
  </r>
  <r>
    <x v="14"/>
    <x v="4"/>
    <n v="330"/>
    <n v="2202"/>
    <n v="1926"/>
    <n v="2150"/>
    <n v="2400"/>
  </r>
  <r>
    <x v="14"/>
    <x v="5"/>
    <n v="160"/>
    <n v="2937"/>
    <n v="2600"/>
    <n v="2800"/>
    <n v="3100"/>
  </r>
  <r>
    <x v="15"/>
    <x v="0"/>
    <n v="10"/>
    <n v="797"/>
    <n v="0"/>
    <n v="801"/>
    <n v="0"/>
  </r>
  <r>
    <x v="15"/>
    <x v="1"/>
    <n v="10"/>
    <n v="968"/>
    <n v="888"/>
    <n v="973"/>
    <n v="1013"/>
  </r>
  <r>
    <x v="15"/>
    <x v="2"/>
    <n v="260"/>
    <n v="1243"/>
    <n v="1150"/>
    <n v="1250"/>
    <n v="1350"/>
  </r>
  <r>
    <x v="15"/>
    <x v="3"/>
    <n v="390"/>
    <n v="1528"/>
    <n v="1400"/>
    <n v="1550"/>
    <n v="1650"/>
  </r>
  <r>
    <x v="15"/>
    <x v="4"/>
    <n v="270"/>
    <n v="1861"/>
    <n v="1700"/>
    <n v="1850"/>
    <n v="2000"/>
  </r>
  <r>
    <x v="15"/>
    <x v="5"/>
    <n v="70"/>
    <n v="2388"/>
    <n v="2200"/>
    <n v="2400"/>
    <n v="2550"/>
  </r>
  <r>
    <x v="16"/>
    <x v="0"/>
    <n v="30"/>
    <n v="648"/>
    <n v="558"/>
    <n v="650"/>
    <n v="764"/>
  </r>
  <r>
    <x v="16"/>
    <x v="1"/>
    <n v="90"/>
    <n v="1059"/>
    <n v="950"/>
    <n v="1050"/>
    <n v="1150"/>
  </r>
  <r>
    <x v="16"/>
    <x v="2"/>
    <n v="530"/>
    <n v="1305"/>
    <n v="1200"/>
    <n v="1300"/>
    <n v="1400"/>
  </r>
  <r>
    <x v="16"/>
    <x v="3"/>
    <n v="830"/>
    <n v="1624"/>
    <n v="1478"/>
    <n v="1600"/>
    <n v="1750"/>
  </r>
  <r>
    <x v="16"/>
    <x v="4"/>
    <n v="430"/>
    <n v="1978"/>
    <n v="1750"/>
    <n v="1969"/>
    <n v="2200"/>
  </r>
  <r>
    <x v="16"/>
    <x v="5"/>
    <n v="150"/>
    <n v="2704"/>
    <n v="2150"/>
    <n v="2500"/>
    <n v="2900"/>
  </r>
  <r>
    <x v="17"/>
    <x v="0"/>
    <n v="70"/>
    <n v="721"/>
    <n v="626"/>
    <n v="700"/>
    <n v="776"/>
  </r>
  <r>
    <x v="17"/>
    <x v="1"/>
    <n v="30"/>
    <n v="1127"/>
    <n v="975"/>
    <n v="1150"/>
    <n v="1250"/>
  </r>
  <r>
    <x v="17"/>
    <x v="2"/>
    <n v="420"/>
    <n v="1509"/>
    <n v="1350"/>
    <n v="1495"/>
    <n v="1700"/>
  </r>
  <r>
    <x v="17"/>
    <x v="3"/>
    <n v="560"/>
    <n v="1900"/>
    <n v="1650"/>
    <n v="1800"/>
    <n v="2050"/>
  </r>
  <r>
    <x v="17"/>
    <x v="4"/>
    <n v="220"/>
    <n v="2385"/>
    <n v="2046"/>
    <n v="2250"/>
    <n v="2500"/>
  </r>
  <r>
    <x v="17"/>
    <x v="5"/>
    <n v="90"/>
    <n v="3463"/>
    <n v="2654"/>
    <n v="3100"/>
    <n v="4000"/>
  </r>
  <r>
    <x v="18"/>
    <x v="0"/>
    <n v="20"/>
    <n v="872"/>
    <n v="787"/>
    <n v="895"/>
    <n v="938"/>
  </r>
  <r>
    <x v="18"/>
    <x v="1"/>
    <n v="20"/>
    <n v="1455"/>
    <n v="1296"/>
    <n v="1400"/>
    <n v="1538"/>
  </r>
  <r>
    <x v="18"/>
    <x v="2"/>
    <n v="470"/>
    <n v="2027"/>
    <n v="1750"/>
    <n v="2000"/>
    <n v="2250"/>
  </r>
  <r>
    <x v="18"/>
    <x v="3"/>
    <n v="480"/>
    <n v="2617"/>
    <n v="2200"/>
    <n v="2525"/>
    <n v="3000"/>
  </r>
  <r>
    <x v="18"/>
    <x v="4"/>
    <n v="160"/>
    <n v="3222"/>
    <n v="2450"/>
    <n v="3100"/>
    <n v="3688"/>
  </r>
  <r>
    <x v="18"/>
    <x v="5"/>
    <n v="70"/>
    <n v="4682"/>
    <n v="3700"/>
    <n v="4500"/>
    <n v="5275"/>
  </r>
  <r>
    <x v="19"/>
    <x v="0"/>
    <n v="20"/>
    <n v="1124"/>
    <n v="964"/>
    <n v="1177"/>
    <n v="1235"/>
  </r>
  <r>
    <x v="19"/>
    <x v="1"/>
    <n v="370"/>
    <n v="1653"/>
    <n v="1487"/>
    <n v="1603"/>
    <n v="1800"/>
  </r>
  <r>
    <x v="19"/>
    <x v="2"/>
    <n v="650"/>
    <n v="2609"/>
    <n v="2100"/>
    <n v="2396"/>
    <n v="2925"/>
  </r>
  <r>
    <x v="19"/>
    <x v="3"/>
    <n v="880"/>
    <n v="3628"/>
    <n v="2900"/>
    <n v="3358"/>
    <n v="4117"/>
  </r>
  <r>
    <x v="19"/>
    <x v="4"/>
    <n v="280"/>
    <n v="5746"/>
    <n v="4190"/>
    <n v="5688"/>
    <n v="6933"/>
  </r>
  <r>
    <x v="19"/>
    <x v="5"/>
    <n v="100"/>
    <n v="8362"/>
    <n v="6500"/>
    <n v="8000"/>
    <n v="10272"/>
  </r>
  <r>
    <x v="20"/>
    <x v="0"/>
    <n v="40"/>
    <n v="797"/>
    <n v="658"/>
    <n v="757"/>
    <n v="928"/>
  </r>
  <r>
    <x v="20"/>
    <x v="1"/>
    <n v="10"/>
    <n v="1167"/>
    <n v="1025"/>
    <n v="1075"/>
    <n v="1325"/>
  </r>
  <r>
    <x v="20"/>
    <x v="2"/>
    <n v="240"/>
    <n v="1425"/>
    <n v="1299"/>
    <n v="1400"/>
    <n v="1500"/>
  </r>
  <r>
    <x v="20"/>
    <x v="3"/>
    <n v="350"/>
    <n v="1769"/>
    <n v="1570"/>
    <n v="1750"/>
    <n v="1995"/>
  </r>
  <r>
    <x v="20"/>
    <x v="4"/>
    <n v="160"/>
    <n v="2414"/>
    <n v="2000"/>
    <n v="2322"/>
    <n v="2750"/>
  </r>
  <r>
    <x v="20"/>
    <x v="5"/>
    <n v="60"/>
    <n v="3331"/>
    <n v="2519"/>
    <n v="3000"/>
    <n v="3300"/>
  </r>
  <r>
    <x v="21"/>
    <x v="0"/>
    <n v="10"/>
    <n v="822"/>
    <n v="0"/>
    <n v="830"/>
    <n v="0"/>
  </r>
  <r>
    <x v="21"/>
    <x v="1"/>
    <n v="60"/>
    <n v="1470"/>
    <n v="1113"/>
    <n v="1375"/>
    <n v="1894"/>
  </r>
  <r>
    <x v="21"/>
    <x v="2"/>
    <n v="540"/>
    <n v="1866"/>
    <n v="1575"/>
    <n v="1800"/>
    <n v="2113"/>
  </r>
  <r>
    <x v="21"/>
    <x v="3"/>
    <n v="750"/>
    <n v="2372"/>
    <n v="1900"/>
    <n v="2205"/>
    <n v="2700"/>
  </r>
  <r>
    <x v="21"/>
    <x v="4"/>
    <n v="320"/>
    <n v="2965"/>
    <n v="2450"/>
    <n v="2850"/>
    <n v="3347"/>
  </r>
  <r>
    <x v="21"/>
    <x v="5"/>
    <n v="130"/>
    <n v="4047"/>
    <n v="3150"/>
    <n v="3750"/>
    <n v="4600"/>
  </r>
  <r>
    <x v="22"/>
    <x v="0"/>
    <n v="120"/>
    <n v="816"/>
    <n v="724"/>
    <n v="821"/>
    <n v="894"/>
  </r>
  <r>
    <x v="22"/>
    <x v="1"/>
    <n v="140"/>
    <n v="1164"/>
    <n v="1050"/>
    <n v="1150"/>
    <n v="1300"/>
  </r>
  <r>
    <x v="22"/>
    <x v="2"/>
    <n v="900"/>
    <n v="1459"/>
    <n v="1300"/>
    <n v="1450"/>
    <n v="1600"/>
  </r>
  <r>
    <x v="22"/>
    <x v="3"/>
    <n v="1130"/>
    <n v="1784"/>
    <n v="1600"/>
    <n v="1750"/>
    <n v="1950"/>
  </r>
  <r>
    <x v="22"/>
    <x v="4"/>
    <n v="400"/>
    <n v="2263"/>
    <n v="1900"/>
    <n v="2200"/>
    <n v="2575"/>
  </r>
  <r>
    <x v="22"/>
    <x v="5"/>
    <n v="140"/>
    <n v="2952"/>
    <n v="2500"/>
    <n v="2900"/>
    <n v="3375"/>
  </r>
  <r>
    <x v="23"/>
    <x v="0"/>
    <n v="40"/>
    <n v="829"/>
    <n v="749"/>
    <n v="824"/>
    <n v="923"/>
  </r>
  <r>
    <x v="23"/>
    <x v="1"/>
    <n v="10"/>
    <n v="1333"/>
    <n v="1313"/>
    <n v="1388"/>
    <n v="1400"/>
  </r>
  <r>
    <x v="23"/>
    <x v="2"/>
    <n v="230"/>
    <n v="1551"/>
    <n v="1350"/>
    <n v="1500"/>
    <n v="1700"/>
  </r>
  <r>
    <x v="23"/>
    <x v="3"/>
    <n v="560"/>
    <n v="1832"/>
    <n v="1450"/>
    <n v="1750"/>
    <n v="2085"/>
  </r>
  <r>
    <x v="23"/>
    <x v="4"/>
    <n v="260"/>
    <n v="2605"/>
    <n v="2100"/>
    <n v="2450"/>
    <n v="3000"/>
  </r>
  <r>
    <x v="23"/>
    <x v="5"/>
    <n v="90"/>
    <n v="3722"/>
    <n v="2750"/>
    <n v="3350"/>
    <n v="4250"/>
  </r>
  <r>
    <x v="24"/>
    <x v="0"/>
    <n v="90"/>
    <n v="701"/>
    <n v="576"/>
    <n v="701"/>
    <n v="808"/>
  </r>
  <r>
    <x v="24"/>
    <x v="1"/>
    <n v="70"/>
    <n v="1292"/>
    <n v="1056"/>
    <n v="1380"/>
    <n v="1450"/>
  </r>
  <r>
    <x v="24"/>
    <x v="2"/>
    <n v="900"/>
    <n v="1611"/>
    <n v="1500"/>
    <n v="1650"/>
    <n v="1750"/>
  </r>
  <r>
    <x v="24"/>
    <x v="3"/>
    <n v="1060"/>
    <n v="1944"/>
    <n v="1700"/>
    <n v="1950"/>
    <n v="2200"/>
  </r>
  <r>
    <x v="24"/>
    <x v="4"/>
    <n v="480"/>
    <n v="2235"/>
    <n v="1850"/>
    <n v="2200"/>
    <n v="2500"/>
  </r>
  <r>
    <x v="24"/>
    <x v="5"/>
    <n v="100"/>
    <n v="2657"/>
    <n v="2300"/>
    <n v="2525"/>
    <n v="3000"/>
  </r>
  <r>
    <x v="25"/>
    <x v="0"/>
    <n v="20"/>
    <n v="828"/>
    <n v="724"/>
    <n v="876"/>
    <n v="924"/>
  </r>
  <r>
    <x v="25"/>
    <x v="1"/>
    <n v="20"/>
    <n v="986"/>
    <n v="844"/>
    <n v="998"/>
    <n v="1156"/>
  </r>
  <r>
    <x v="25"/>
    <x v="2"/>
    <n v="340"/>
    <n v="1373"/>
    <n v="1250"/>
    <n v="1375"/>
    <n v="1500"/>
  </r>
  <r>
    <x v="25"/>
    <x v="3"/>
    <n v="630"/>
    <n v="1721"/>
    <n v="1500"/>
    <n v="1700"/>
    <n v="1931"/>
  </r>
  <r>
    <x v="25"/>
    <x v="4"/>
    <n v="310"/>
    <n v="2094"/>
    <n v="1850"/>
    <n v="2100"/>
    <n v="2300"/>
  </r>
  <r>
    <x v="25"/>
    <x v="5"/>
    <n v="110"/>
    <n v="2690"/>
    <n v="2300"/>
    <n v="2600"/>
    <n v="2900"/>
  </r>
  <r>
    <x v="26"/>
    <x v="0"/>
    <n v="10"/>
    <n v="679"/>
    <n v="626"/>
    <n v="725"/>
    <n v="726"/>
  </r>
  <r>
    <x v="26"/>
    <x v="1"/>
    <n v="10"/>
    <n v="1239"/>
    <n v="1106"/>
    <n v="1175"/>
    <n v="1396"/>
  </r>
  <r>
    <x v="26"/>
    <x v="2"/>
    <n v="220"/>
    <n v="1622"/>
    <n v="1400"/>
    <n v="1571"/>
    <n v="1750"/>
  </r>
  <r>
    <x v="26"/>
    <x v="3"/>
    <n v="320"/>
    <n v="2229"/>
    <n v="1800"/>
    <n v="2100"/>
    <n v="2500"/>
  </r>
  <r>
    <x v="26"/>
    <x v="4"/>
    <n v="140"/>
    <n v="2970"/>
    <n v="2335"/>
    <n v="2700"/>
    <n v="3365"/>
  </r>
  <r>
    <x v="26"/>
    <x v="5"/>
    <n v="80"/>
    <n v="4277"/>
    <n v="3300"/>
    <n v="3850"/>
    <n v="4995"/>
  </r>
  <r>
    <x v="27"/>
    <x v="0"/>
    <n v="60"/>
    <n v="883"/>
    <n v="775"/>
    <n v="875"/>
    <n v="996"/>
  </r>
  <r>
    <x v="27"/>
    <x v="1"/>
    <n v="50"/>
    <n v="1421"/>
    <n v="1250"/>
    <n v="1400"/>
    <n v="1600"/>
  </r>
  <r>
    <x v="27"/>
    <x v="2"/>
    <n v="1040"/>
    <n v="1786"/>
    <n v="1500"/>
    <n v="1725"/>
    <n v="2000"/>
  </r>
  <r>
    <x v="27"/>
    <x v="3"/>
    <n v="1310"/>
    <n v="2238"/>
    <n v="1850"/>
    <n v="2200"/>
    <n v="2500"/>
  </r>
  <r>
    <x v="27"/>
    <x v="4"/>
    <n v="400"/>
    <n v="2784"/>
    <n v="2300"/>
    <n v="2700"/>
    <n v="3183"/>
  </r>
  <r>
    <x v="27"/>
    <x v="5"/>
    <n v="200"/>
    <n v="3590"/>
    <n v="3200"/>
    <n v="3500"/>
    <n v="4000"/>
  </r>
  <r>
    <x v="28"/>
    <x v="0"/>
    <s v="-"/>
    <n v="0"/>
    <n v="0"/>
    <n v="0"/>
    <n v="0"/>
  </r>
  <r>
    <x v="28"/>
    <x v="1"/>
    <n v="40"/>
    <n v="967"/>
    <n v="873"/>
    <n v="931"/>
    <n v="1002"/>
  </r>
  <r>
    <x v="28"/>
    <x v="2"/>
    <n v="440"/>
    <n v="1220"/>
    <n v="1100"/>
    <n v="1250"/>
    <n v="1300"/>
  </r>
  <r>
    <x v="28"/>
    <x v="3"/>
    <n v="670"/>
    <n v="1532"/>
    <n v="1400"/>
    <n v="1550"/>
    <n v="1666"/>
  </r>
  <r>
    <x v="28"/>
    <x v="4"/>
    <n v="230"/>
    <n v="1925"/>
    <n v="1700"/>
    <n v="1950"/>
    <n v="2200"/>
  </r>
  <r>
    <x v="28"/>
    <x v="5"/>
    <n v="60"/>
    <n v="2520"/>
    <n v="2250"/>
    <n v="2500"/>
    <n v="2813"/>
  </r>
  <r>
    <x v="29"/>
    <x v="0"/>
    <n v="110"/>
    <n v="858"/>
    <n v="726"/>
    <n v="852"/>
    <n v="938"/>
  </r>
  <r>
    <x v="29"/>
    <x v="1"/>
    <n v="100"/>
    <n v="1794"/>
    <n v="1534"/>
    <n v="1750"/>
    <n v="1950"/>
  </r>
  <r>
    <x v="29"/>
    <x v="2"/>
    <n v="740"/>
    <n v="1922"/>
    <n v="1661"/>
    <n v="1850"/>
    <n v="2100"/>
  </r>
  <r>
    <x v="29"/>
    <x v="3"/>
    <n v="860"/>
    <n v="2383"/>
    <n v="2000"/>
    <n v="2300"/>
    <n v="2600"/>
  </r>
  <r>
    <x v="29"/>
    <x v="4"/>
    <n v="300"/>
    <n v="2863"/>
    <n v="2500"/>
    <n v="2750"/>
    <n v="3100"/>
  </r>
  <r>
    <x v="29"/>
    <x v="5"/>
    <n v="70"/>
    <n v="3733"/>
    <n v="3325"/>
    <n v="3700"/>
    <n v="4000"/>
  </r>
  <r>
    <x v="30"/>
    <x v="0"/>
    <n v="20"/>
    <n v="757"/>
    <n v="684"/>
    <n v="764"/>
    <n v="822"/>
  </r>
  <r>
    <x v="30"/>
    <x v="1"/>
    <n v="30"/>
    <n v="1174"/>
    <n v="1020"/>
    <n v="1188"/>
    <n v="1250"/>
  </r>
  <r>
    <x v="30"/>
    <x v="2"/>
    <n v="420"/>
    <n v="1407"/>
    <n v="1279"/>
    <n v="1400"/>
    <n v="1525"/>
  </r>
  <r>
    <x v="30"/>
    <x v="3"/>
    <n v="560"/>
    <n v="1728"/>
    <n v="1575"/>
    <n v="1725"/>
    <n v="1895"/>
  </r>
  <r>
    <x v="30"/>
    <x v="4"/>
    <n v="280"/>
    <n v="2146"/>
    <n v="1900"/>
    <n v="2150"/>
    <n v="2350"/>
  </r>
  <r>
    <x v="30"/>
    <x v="5"/>
    <n v="90"/>
    <n v="2608"/>
    <n v="2313"/>
    <n v="2500"/>
    <n v="2838"/>
  </r>
  <r>
    <x v="31"/>
    <x v="0"/>
    <n v="90"/>
    <n v="1030"/>
    <n v="785"/>
    <n v="1139"/>
    <n v="1290"/>
  </r>
  <r>
    <x v="31"/>
    <x v="1"/>
    <n v="40"/>
    <n v="1418"/>
    <n v="1300"/>
    <n v="1350"/>
    <n v="1525"/>
  </r>
  <r>
    <x v="31"/>
    <x v="2"/>
    <n v="720"/>
    <n v="1824"/>
    <n v="1600"/>
    <n v="1750"/>
    <n v="2000"/>
  </r>
  <r>
    <x v="31"/>
    <x v="3"/>
    <n v="1060"/>
    <n v="2310"/>
    <n v="1995"/>
    <n v="2250"/>
    <n v="2550"/>
  </r>
  <r>
    <x v="31"/>
    <x v="4"/>
    <n v="500"/>
    <n v="3053"/>
    <n v="2500"/>
    <n v="2900"/>
    <n v="3500"/>
  </r>
  <r>
    <x v="31"/>
    <x v="5"/>
    <n v="240"/>
    <n v="4332"/>
    <n v="3465"/>
    <n v="4125"/>
    <n v="4963"/>
  </r>
  <r>
    <x v="32"/>
    <x v="0"/>
    <n v="60"/>
    <n v="986"/>
    <n v="895"/>
    <n v="1000"/>
    <n v="1053"/>
  </r>
  <r>
    <x v="32"/>
    <x v="1"/>
    <n v="120"/>
    <n v="1695"/>
    <n v="1452"/>
    <n v="1647"/>
    <n v="1903"/>
  </r>
  <r>
    <x v="32"/>
    <x v="2"/>
    <n v="440"/>
    <n v="2608"/>
    <n v="2149"/>
    <n v="2492"/>
    <n v="2855"/>
  </r>
  <r>
    <x v="32"/>
    <x v="3"/>
    <n v="460"/>
    <n v="3598"/>
    <n v="2716"/>
    <n v="3358"/>
    <n v="4117"/>
  </r>
  <r>
    <x v="32"/>
    <x v="4"/>
    <n v="160"/>
    <n v="5131"/>
    <n v="3600"/>
    <n v="4658"/>
    <n v="5958"/>
  </r>
  <r>
    <x v="32"/>
    <x v="5"/>
    <n v="40"/>
    <n v="8904"/>
    <n v="6586"/>
    <n v="9750"/>
    <n v="109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m/>
    <x v="0"/>
    <x v="0"/>
    <m/>
    <m/>
    <m/>
    <n v="811.92666666666673"/>
    <n v="947.24777777777797"/>
    <n v="1082.568888888889"/>
    <n v="1217.8900000000001"/>
    <n v="1488.5322222222223"/>
    <n v="1759.1744444444446"/>
    <n v="2029.8166666666668"/>
    <n v="2435.7800000000002"/>
    <n v="0"/>
    <n v="0"/>
    <n v="0"/>
    <n v="0"/>
    <n v="2400"/>
    <n v="1350"/>
    <n v="726"/>
    <n v="0"/>
    <n v="1965"/>
    <n v="1700"/>
    <m/>
    <m/>
    <m/>
    <m/>
    <m/>
    <x v="0"/>
  </r>
  <r>
    <x v="1"/>
    <n v="612.9"/>
    <x v="1"/>
    <x v="1"/>
    <n v="266.39999999999998"/>
    <n v="744.1"/>
    <s v="Zones 4-5"/>
    <n v="1335.1666666666667"/>
    <n v="1557.6944444444443"/>
    <n v="1780.2222222222222"/>
    <n v="2002.75"/>
    <n v="2447.8055555555557"/>
    <n v="2892.8611111111113"/>
    <n v="3337.9166666666665"/>
    <n v="4005.5"/>
    <n v="23.884422392537299"/>
    <n v="16.684623257857201"/>
    <n v="12.4545850220051"/>
    <n v="36.508476947158101"/>
    <n v="3150"/>
    <n v="1450"/>
    <n v="726"/>
    <n v="1100"/>
    <n v="2400"/>
    <n v="1750"/>
    <n v="0.41723562433621603"/>
    <n v="0.48102151478047922"/>
    <n v="0.35545986350341235"/>
    <n v="0.48748781280467979"/>
    <n v="18.567404813500001"/>
    <x v="1"/>
  </r>
  <r>
    <x v="2"/>
    <n v="714.6"/>
    <x v="2"/>
    <x v="2"/>
    <n v="257.7"/>
    <n v="862.4"/>
    <s v="Zones 3-4"/>
    <n v="1295.4933333333333"/>
    <n v="1511.4088888888889"/>
    <n v="1727.3244444444445"/>
    <n v="1943.24"/>
    <n v="2375.0711111111109"/>
    <n v="2806.902222222222"/>
    <n v="3238.7333333333331"/>
    <n v="3886.48"/>
    <n v="33.004478819054803"/>
    <n v="31.0292160353229"/>
    <n v="21.4147498833496"/>
    <n v="83.405239009211002"/>
    <n v="2300"/>
    <n v="1250"/>
    <n v="800"/>
    <n v="1000"/>
    <n v="1950"/>
    <n v="1600"/>
    <n v="0.32291397571686903"/>
    <n v="0.37235627047959491"/>
    <n v="0.27670171555063644"/>
    <n v="0.33723021582733814"/>
    <n v="31.140682556202528"/>
    <x v="2"/>
  </r>
  <r>
    <x v="3"/>
    <n v="694.4"/>
    <x v="3"/>
    <x v="3"/>
    <n v="240.7"/>
    <n v="849.1"/>
    <s v="Zones 4-6"/>
    <n v="1436.6933333333334"/>
    <n v="1676.142222222222"/>
    <n v="1915.5911111111111"/>
    <n v="2155.04"/>
    <n v="2633.9377777777777"/>
    <n v="3112.8355555555554"/>
    <n v="3591.7333333333331"/>
    <n v="4310.08"/>
    <n v="37.547367811859097"/>
    <n v="27.115534020158201"/>
    <n v="16.474677092054201"/>
    <n v="69.900254353760999"/>
    <n v="3200"/>
    <n v="1650"/>
    <n v="776"/>
    <n v="1160"/>
    <n v="2400"/>
    <n v="2000"/>
    <n v="0.33681765389082463"/>
    <n v="0.48397863818424564"/>
    <n v="0.34241884673332418"/>
    <n v="0.41090261607998901"/>
    <n v="29.187759938341507"/>
    <x v="3"/>
  </r>
  <r>
    <x v="4"/>
    <n v="646.20000000000005"/>
    <x v="4"/>
    <x v="4"/>
    <n v="289.5"/>
    <n v="747.6"/>
    <s v="Zones 3-4"/>
    <n v="1357.3666666666666"/>
    <n v="1583.5944444444444"/>
    <n v="1809.8222222222221"/>
    <n v="2036.05"/>
    <n v="2488.5055555555555"/>
    <n v="2940.9611111111108"/>
    <n v="3393.4166666666665"/>
    <n v="4072.1000000000004"/>
    <n v="20.408481861524098"/>
    <n v="14.5964986485672"/>
    <n v="11.6092529770707"/>
    <n v="30.404374794624299"/>
    <n v="2500"/>
    <n v="1300"/>
    <n v="718"/>
    <n v="995"/>
    <n v="2000"/>
    <n v="1600"/>
    <n v="0.34515054807825724"/>
    <n v="0.4275524235132348"/>
    <n v="0.30710172744721687"/>
    <n v="0.38387715930902111"/>
    <n v="16.223972159122066"/>
    <x v="4"/>
  </r>
  <r>
    <x v="5"/>
    <n v="818.9"/>
    <x v="5"/>
    <x v="5"/>
    <n v="252.1"/>
    <n v="958.2"/>
    <s v="Zones 3-6"/>
    <n v="1299.8066666666666"/>
    <n v="1516.4411111111112"/>
    <n v="1733.0755555555556"/>
    <n v="1949.71"/>
    <n v="2382.9788888888888"/>
    <n v="2816.2477777777776"/>
    <n v="3249.5166666666669"/>
    <n v="3899.42"/>
    <n v="23.299309901147101"/>
    <n v="18.558241841087799"/>
    <n v="12.9938938381054"/>
    <n v="42.817867977124699"/>
    <n v="4090"/>
    <n v="2000"/>
    <n v="875"/>
    <n v="1450"/>
    <n v="3500"/>
    <n v="2600"/>
    <n v="0.38437069239741278"/>
    <n v="0.51440329218106995"/>
    <n v="0.3944653477363757"/>
    <n v="0.53101104502973651"/>
    <n v="19.495984024342413"/>
    <x v="5"/>
  </r>
  <r>
    <x v="6"/>
    <n v="766.6"/>
    <x v="6"/>
    <x v="6"/>
    <n v="287.00403609934398"/>
    <n v="864.8"/>
    <s v="Zones 1-3"/>
    <n v="1340.58"/>
    <n v="1564.01"/>
    <n v="1787.4399999999998"/>
    <n v="2010.87"/>
    <n v="2457.73"/>
    <n v="2904.5899999999997"/>
    <n v="3351.45"/>
    <n v="4021.74"/>
    <n v="11.1809441794646"/>
    <n v="9.4133961952916803"/>
    <n v="8.4902056311952592"/>
    <n v="14.000429159865"/>
    <n v="0"/>
    <n v="2300"/>
    <n v="0"/>
    <n v="2300"/>
    <n v="4575"/>
    <n v="3075"/>
    <n v="0.72100313479623823"/>
    <n v="0.79026937877954917"/>
    <n v="0.50406530719297094"/>
    <n v="0.74995082289685921"/>
    <n v="9.8955559366621841"/>
    <x v="6"/>
  </r>
  <r>
    <x v="7"/>
    <n v="721.3"/>
    <x v="7"/>
    <x v="7"/>
    <n v="275"/>
    <n v="829.8"/>
    <s v="Zones 3-6"/>
    <n v="1577.9399999999998"/>
    <n v="1840.9299999999998"/>
    <n v="2103.92"/>
    <n v="2366.91"/>
    <n v="2892.89"/>
    <n v="3418.87"/>
    <n v="3944.8499999999995"/>
    <n v="4733.82"/>
    <n v="25.407543686763901"/>
    <n v="18.8461702712065"/>
    <n v="13.0275073733185"/>
    <n v="44.901506138323199"/>
    <n v="2475"/>
    <n v="1250"/>
    <n v="732"/>
    <n v="1025"/>
    <n v="1950"/>
    <n v="1550"/>
    <n v="0.3201924278395602"/>
    <n v="0.37711552612214866"/>
    <n v="0.26185971077172593"/>
    <n v="0.32943641032571969"/>
    <n v="20.351370482284203"/>
    <x v="7"/>
  </r>
  <r>
    <x v="8"/>
    <n v="684.8"/>
    <x v="8"/>
    <x v="8"/>
    <n v="243.3"/>
    <n v="784.9"/>
    <s v="Zones 2-5"/>
    <n v="1298.8933333333332"/>
    <n v="1515.3755555555554"/>
    <n v="1731.8577777777778"/>
    <n v="1948.34"/>
    <n v="2381.304444444444"/>
    <n v="2814.2688888888888"/>
    <n v="3247.2333333333331"/>
    <n v="3896.6799999999994"/>
    <n v="27.257130383680899"/>
    <n v="18.617864840477498"/>
    <n v="13.5770068776605"/>
    <n v="42.454194676931003"/>
    <n v="2900"/>
    <n v="1550"/>
    <n v="826"/>
    <n v="1345"/>
    <n v="2445"/>
    <n v="1900"/>
    <n v="0.45580859427951737"/>
    <n v="0.51635442260442255"/>
    <n v="0.34199726402188779"/>
    <n v="0.44009647922816614"/>
    <n v="20.888458702368101"/>
    <x v="8"/>
  </r>
  <r>
    <x v="9"/>
    <n v="646.20000000000005"/>
    <x v="9"/>
    <x v="9"/>
    <n v="251"/>
    <n v="838.4"/>
    <s v="Zones 4-6"/>
    <n v="1376.9866666666667"/>
    <n v="1606.4844444444445"/>
    <n v="1835.9822222222222"/>
    <n v="2065.48"/>
    <n v="2524.4755555555553"/>
    <n v="2983.4711111111114"/>
    <n v="3442.4666666666667"/>
    <n v="4130.96"/>
    <n v="26.530366451786101"/>
    <n v="17.631755163430299"/>
    <n v="12.4728482181986"/>
    <n v="40.053617977495001"/>
    <n v="2900"/>
    <n v="1350"/>
    <n v="738"/>
    <n v="1100"/>
    <n v="2050"/>
    <n v="1650"/>
    <n v="0.3841318619918983"/>
    <n v="0.45552426702004306"/>
    <n v="0.31259472567444685"/>
    <n v="0.38837526523188848"/>
    <n v="19.894294300170625"/>
    <x v="9"/>
  </r>
  <r>
    <x v="10"/>
    <n v="749.6"/>
    <x v="10"/>
    <x v="10"/>
    <n v="280.60000000000002"/>
    <n v="852.1"/>
    <s v="Zones 2-4"/>
    <n v="1280.3533333333335"/>
    <n v="1493.7455555555555"/>
    <n v="1707.1377777777777"/>
    <n v="1920.53"/>
    <n v="2347.3144444444442"/>
    <n v="2774.0988888888887"/>
    <n v="3200.8833333333332"/>
    <n v="3841.06"/>
    <n v="24.682604869576501"/>
    <n v="16.480559228089401"/>
    <n v="11.9559028468578"/>
    <n v="35.0852991450801"/>
    <n v="2750"/>
    <n v="1525"/>
    <n v="770"/>
    <n v="1150"/>
    <n v="2100"/>
    <n v="1850"/>
    <n v="0.34096299810246677"/>
    <n v="0.43792840822543794"/>
    <n v="0.30839501233580047"/>
    <n v="0.35007001400280052"/>
    <n v="18.5457257506975"/>
    <x v="10"/>
  </r>
  <r>
    <x v="11"/>
    <n v="762.5"/>
    <x v="11"/>
    <x v="11"/>
    <n v="230"/>
    <n v="882"/>
    <s v="Zones 1-3"/>
    <n v="1251.58"/>
    <n v="1460.1766666666667"/>
    <n v="1668.7733333333333"/>
    <n v="1877.37"/>
    <n v="2294.5633333333335"/>
    <n v="2711.7566666666662"/>
    <n v="3128.95"/>
    <n v="3754.74"/>
    <n v="22.390329527616601"/>
    <n v="16.6896144062021"/>
    <n v="12.3067558170046"/>
    <n v="37.725420573977701"/>
    <n v="3950"/>
    <n v="2000"/>
    <n v="976"/>
    <n v="1280"/>
    <n v="3200"/>
    <n v="2500"/>
    <n v="0.39438008380576783"/>
    <n v="0.45819014891179843"/>
    <n v="0.4139621141873096"/>
    <n v="0.52987150615975631"/>
    <n v="18.114896521468292"/>
    <x v="11"/>
  </r>
  <r>
    <x v="12"/>
    <n v="798.5"/>
    <x v="12"/>
    <x v="12"/>
    <n v="262.2"/>
    <n v="862.4"/>
    <s v="Zone 2 only"/>
    <n v="924.51333333333321"/>
    <n v="1078.5988888888887"/>
    <n v="1232.6844444444444"/>
    <n v="1386.77"/>
    <n v="1694.941111111111"/>
    <n v="2003.112222222222"/>
    <n v="2311.2833333333333"/>
    <n v="2773.54"/>
    <n v="13.558100756402"/>
    <n v="9.70133437399301"/>
    <n v="8.5055886103586502"/>
    <n v="14.771244777473701"/>
    <n v="4600"/>
    <n v="1850"/>
    <n v="1026"/>
    <n v="1500"/>
    <n v="3300"/>
    <n v="2250"/>
    <n v="0.42158516020236086"/>
    <n v="0.53395984621956427"/>
    <n v="0.35337353938937055"/>
    <n v="0.51828119110441007"/>
    <n v="10.776877012497748"/>
    <x v="12"/>
  </r>
  <r>
    <x v="13"/>
    <n v="727.8"/>
    <x v="13"/>
    <x v="13"/>
    <n v="240.5"/>
    <n v="814.5"/>
    <s v="Zones 3-4"/>
    <n v="1404.88"/>
    <n v="1639.0266666666669"/>
    <n v="1873.1733333333334"/>
    <n v="2107.3200000000002"/>
    <n v="2575.6133333333332"/>
    <n v="3043.9066666666672"/>
    <n v="3512.2000000000003"/>
    <n v="4214.6400000000003"/>
    <n v="27.571533494425601"/>
    <n v="18.9605704636841"/>
    <n v="13.4240429799507"/>
    <n v="45.407652521482703"/>
    <n v="3350"/>
    <n v="1625"/>
    <n v="686"/>
    <n v="1067"/>
    <n v="2500"/>
    <n v="1993"/>
    <n v="0.35776555793991416"/>
    <n v="0.39049919484702095"/>
    <n v="0.34874361307482327"/>
    <n v="0.4374606285434311"/>
    <n v="21.192989864917891"/>
    <x v="13"/>
  </r>
  <r>
    <x v="14"/>
    <n v="669.2"/>
    <x v="14"/>
    <x v="14"/>
    <n v="255.6"/>
    <n v="853.8"/>
    <s v="Zones 5-6"/>
    <n v="1524.2133333333336"/>
    <n v="1778.248888888889"/>
    <n v="2032.2844444444445"/>
    <n v="2286.3200000000002"/>
    <n v="2794.3911111111111"/>
    <n v="3302.4622222222224"/>
    <n v="3810.5333333333338"/>
    <n v="4572.6400000000003"/>
    <n v="23.258123380509002"/>
    <n v="17.241083015565199"/>
    <n v="13.063192800471599"/>
    <n v="39.4829418931036"/>
    <n v="2800"/>
    <n v="1400"/>
    <n v="826"/>
    <n v="1088"/>
    <n v="2150"/>
    <n v="1700"/>
    <n v="0.33386522646372896"/>
    <n v="0.46543463381245725"/>
    <n v="0.30376670716889431"/>
    <n v="0.38417554141948396"/>
    <n v="18.868009525724041"/>
    <x v="14"/>
  </r>
  <r>
    <x v="15"/>
    <n v="710.8"/>
    <x v="15"/>
    <x v="15"/>
    <n v="286.39999999999998"/>
    <n v="822.5"/>
    <s v="Zone 6 only"/>
    <n v="1471.9466666666667"/>
    <n v="1717.2711111111112"/>
    <n v="1962.5955555555556"/>
    <n v="2207.92"/>
    <n v="2698.568888888889"/>
    <n v="3189.2177777777779"/>
    <n v="3679.8666666666668"/>
    <n v="4415.84"/>
    <n v="25.8584112598339"/>
    <n v="19.849900401665099"/>
    <n v="13.495924409313"/>
    <n v="48.118614434255697"/>
    <n v="2400"/>
    <n v="1250"/>
    <n v="801"/>
    <n v="973"/>
    <n v="1850"/>
    <n v="1550"/>
    <n v="0.2858737807027853"/>
    <n v="0.40206611570247935"/>
    <n v="0.26615838999931313"/>
    <n v="0.31767291709595435"/>
    <n v="21.127713811065984"/>
    <x v="15"/>
  </r>
  <r>
    <x v="16"/>
    <n v="689.9"/>
    <x v="16"/>
    <x v="16"/>
    <n v="274.3"/>
    <n v="804.1"/>
    <s v="Zones 5-6"/>
    <n v="1242.6066666666668"/>
    <n v="1449.7077777777779"/>
    <n v="1656.808888888889"/>
    <n v="1863.91"/>
    <n v="2278.1122222222225"/>
    <n v="2692.3144444444447"/>
    <n v="3106.5166666666669"/>
    <n v="3727.8200000000006"/>
    <n v="20.318991222579299"/>
    <n v="15.9413162859287"/>
    <n v="11.502305816374401"/>
    <n v="33.652922075407702"/>
    <n v="2500"/>
    <n v="1300"/>
    <n v="650"/>
    <n v="1050"/>
    <n v="1969"/>
    <n v="1600"/>
    <n v="0.34412690089145254"/>
    <n v="0.43684473290064907"/>
    <n v="0.2933196450832295"/>
    <n v="0.36096648823054928"/>
    <n v="16.808326921089886"/>
    <x v="16"/>
  </r>
  <r>
    <x v="17"/>
    <n v="659.3"/>
    <x v="17"/>
    <x v="17"/>
    <n v="239.7"/>
    <n v="766.6"/>
    <s v="Zones 2-6"/>
    <n v="1327.34"/>
    <n v="1548.5633333333333"/>
    <n v="1769.7866666666666"/>
    <n v="1991.01"/>
    <n v="2433.4566666666669"/>
    <n v="2875.9033333333336"/>
    <n v="3318.3500000000004"/>
    <n v="3982.02"/>
    <n v="19.1631319691536"/>
    <n v="12.882431273373101"/>
    <n v="10.454077781393501"/>
    <n v="24.023984925144301"/>
    <n v="3100"/>
    <n v="1495"/>
    <n v="700"/>
    <n v="1150"/>
    <n v="2250"/>
    <n v="1800"/>
    <n v="0.38930264048747459"/>
    <n v="0.50008697164724303"/>
    <n v="0.34262220191868431"/>
    <n v="0.42827775239835536"/>
    <n v="14.619455192301411"/>
    <x v="17"/>
  </r>
  <r>
    <x v="18"/>
    <n v="811.2"/>
    <x v="18"/>
    <x v="18"/>
    <n v="276.60000000000002"/>
    <n v="935"/>
    <s v="Zones 1-3"/>
    <n v="1280.54"/>
    <n v="1493.9633333333334"/>
    <n v="1707.3866666666665"/>
    <n v="1920.81"/>
    <n v="2347.6566666666668"/>
    <n v="2774.5033333333331"/>
    <n v="3201.35"/>
    <n v="3841.6200000000003"/>
    <n v="15.348288402425601"/>
    <n v="11.537751357960101"/>
    <n v="9.2823738929608197"/>
    <n v="20.954541152786302"/>
    <n v="4500"/>
    <n v="2000"/>
    <n v="895"/>
    <n v="1400"/>
    <n v="3100"/>
    <n v="2525"/>
    <n v="0.40105419961040445"/>
    <n v="0.46760187040748163"/>
    <n v="0.38937207007155195"/>
    <n v="0.47804095731556873"/>
    <n v="12.486737517987649"/>
    <x v="18"/>
  </r>
  <r>
    <x v="19"/>
    <n v="810.1"/>
    <x v="19"/>
    <x v="19"/>
    <n v="286.558179133713"/>
    <n v="988"/>
    <s v="Zones 1-2"/>
    <n v="1019.8999999999999"/>
    <n v="1189.8833333333332"/>
    <n v="1359.8666666666666"/>
    <n v="1529.85"/>
    <n v="1869.8166666666666"/>
    <n v="2209.7833333333333"/>
    <n v="2549.75"/>
    <n v="3059.7"/>
    <n v="11.8558967026365"/>
    <n v="9.2291756122169595"/>
    <n v="9.2115195587472307"/>
    <n v="12.995040955271699"/>
    <n v="8000"/>
    <n v="2396"/>
    <n v="1177"/>
    <n v="1603"/>
    <n v="5688"/>
    <n v="3358"/>
    <n v="0.38478156505040806"/>
    <n v="0.57953723788864786"/>
    <n v="0.48442008078476628"/>
    <n v="0.82054241200230815"/>
    <n v="10.189326629532381"/>
    <x v="19"/>
  </r>
  <r>
    <x v="20"/>
    <n v="727.4"/>
    <x v="20"/>
    <x v="20"/>
    <n v="291.7"/>
    <n v="844"/>
    <s v="Zones 3-6"/>
    <n v="1583.5666666666666"/>
    <n v="1847.4944444444445"/>
    <n v="2111.422222222222"/>
    <n v="2375.35"/>
    <n v="2903.2055555555553"/>
    <n v="3431.0611111111111"/>
    <n v="3958.9166666666665"/>
    <n v="4750.7"/>
    <n v="18.0064196025277"/>
    <n v="13.5825455100581"/>
    <n v="10.334465876564"/>
    <n v="27.4877323102254"/>
    <n v="3000"/>
    <n v="1400"/>
    <n v="757"/>
    <n v="1075"/>
    <n v="2322"/>
    <n v="1750"/>
    <n v="0.29461740846305634"/>
    <n v="0.46796099599512453"/>
    <n v="0.29431550622267072"/>
    <n v="0.39051463168516648"/>
    <n v="14.633172449686962"/>
    <x v="20"/>
  </r>
  <r>
    <x v="21"/>
    <n v="797.4"/>
    <x v="21"/>
    <x v="21"/>
    <n v="288.5"/>
    <n v="883.5"/>
    <s v="Zones 1-3"/>
    <n v="1243.6066666666668"/>
    <n v="1450.8744444444446"/>
    <n v="1658.1422222222222"/>
    <n v="1865.41"/>
    <n v="2279.945555555556"/>
    <n v="2694.4811111111112"/>
    <n v="3109.0166666666669"/>
    <n v="3730.8200000000006"/>
    <n v="21.620163587624798"/>
    <n v="15.166524233015799"/>
    <n v="12.021570151874201"/>
    <n v="32.8434766752531"/>
    <n v="3750"/>
    <n v="1800"/>
    <n v="830"/>
    <n v="1375"/>
    <n v="2850"/>
    <n v="2205"/>
    <n v="0.40209381214177098"/>
    <n v="0.45992774953170995"/>
    <n v="0.34403669724770641"/>
    <n v="0.4446732821568995"/>
    <n v="17.025092928725851"/>
    <x v="21"/>
  </r>
  <r>
    <x v="22"/>
    <n v="706.4"/>
    <x v="22"/>
    <x v="22"/>
    <n v="248.8"/>
    <n v="843"/>
    <s v="Zones 2-4"/>
    <n v="1358.6533333333334"/>
    <n v="1585.0955555555556"/>
    <n v="1811.5377777777778"/>
    <n v="2037.98"/>
    <n v="2490.8644444444444"/>
    <n v="2943.7488888888893"/>
    <n v="3396.6333333333332"/>
    <n v="4075.96"/>
    <n v="28.334675925167801"/>
    <n v="21.584846258443399"/>
    <n v="16.233599930438899"/>
    <n v="53.564479966578702"/>
    <n v="2900"/>
    <n v="1450"/>
    <n v="821"/>
    <n v="1150"/>
    <n v="2200"/>
    <n v="1750"/>
    <n v="0.38903924221921515"/>
    <n v="0.42579976303317535"/>
    <n v="0.30936218356668083"/>
    <n v="0.38891245934097013"/>
    <n v="23.511642294892162"/>
    <x v="22"/>
  </r>
  <r>
    <x v="23"/>
    <n v="721.6"/>
    <x v="23"/>
    <x v="23"/>
    <n v="256.10000000000002"/>
    <n v="876.3"/>
    <s v="Zones 3-4"/>
    <n v="1332.8533333333335"/>
    <n v="1554.9955555555555"/>
    <n v="1777.1377777777777"/>
    <n v="1999.28"/>
    <n v="2443.5644444444442"/>
    <n v="2887.8488888888887"/>
    <n v="3332.1333333333332"/>
    <n v="3998.56"/>
    <n v="20.882228599934201"/>
    <n v="13.546968058587099"/>
    <n v="10.661470751045201"/>
    <n v="26.465967582497498"/>
    <n v="3350"/>
    <n v="1500"/>
    <n v="824"/>
    <n v="1388"/>
    <n v="2450"/>
    <n v="1750"/>
    <n v="0.41079673256777555"/>
    <n v="0.51721568042927413"/>
    <n v="0.28866455529163371"/>
    <n v="0.40413037740828717"/>
    <n v="15.558574534324807"/>
    <x v="23"/>
  </r>
  <r>
    <x v="24"/>
    <n v="635.9"/>
    <x v="24"/>
    <x v="24"/>
    <n v="246.1"/>
    <n v="758.8"/>
    <s v="Zones 2-4"/>
    <n v="1149.56"/>
    <n v="1341.1533333333332"/>
    <n v="1532.7466666666667"/>
    <n v="1724.34"/>
    <n v="2107.5266666666666"/>
    <n v="2490.7133333333331"/>
    <n v="2873.8999999999996"/>
    <n v="3448.68"/>
    <n v="18.7025160198497"/>
    <n v="12.842757539472"/>
    <n v="9.7104840213564891"/>
    <n v="25.203304559302499"/>
    <n v="2525"/>
    <n v="1650"/>
    <n v="701"/>
    <n v="1380"/>
    <n v="2200"/>
    <n v="1950"/>
    <n v="0.49117312072892938"/>
    <n v="0.59709241952232606"/>
    <n v="0.38079987501952828"/>
    <n v="0.42962037181690366"/>
    <n v="14.307990699291119"/>
    <x v="24"/>
  </r>
  <r>
    <x v="25"/>
    <n v="669"/>
    <x v="25"/>
    <x v="25"/>
    <n v="240.2"/>
    <n v="820.1"/>
    <s v="Zone 4 only"/>
    <n v="1393.2466666666667"/>
    <n v="1625.4544444444446"/>
    <n v="1857.6622222222222"/>
    <n v="2089.87"/>
    <n v="2554.2855555555557"/>
    <n v="3018.701111111111"/>
    <n v="3483.1166666666668"/>
    <n v="4179.74"/>
    <n v="25.0976118383829"/>
    <n v="17.587397180353999"/>
    <n v="13.4284935409803"/>
    <n v="40.419915526190302"/>
    <n v="2600"/>
    <n v="1375"/>
    <n v="876"/>
    <n v="998"/>
    <n v="2100"/>
    <n v="1700"/>
    <n v="0.30997639458317805"/>
    <n v="0.45199275362318841"/>
    <n v="0.31321394354779275"/>
    <n v="0.38691134202962635"/>
    <n v="19.705960475545513"/>
    <x v="25"/>
  </r>
  <r>
    <x v="26"/>
    <n v="824"/>
    <x v="26"/>
    <x v="26"/>
    <n v="241.4"/>
    <n v="962"/>
    <s v="Zones 3-6"/>
    <n v="1509.1066666666666"/>
    <n v="1760.6244444444444"/>
    <n v="2012.142222222222"/>
    <n v="2263.66"/>
    <n v="2766.6955555555555"/>
    <n v="3269.7311111111107"/>
    <n v="3772.766666666666"/>
    <n v="4527.32"/>
    <n v="22.076278471936199"/>
    <n v="16.387141637552201"/>
    <n v="13.058855157445899"/>
    <n v="36.171084765933003"/>
    <n v="3850"/>
    <n v="1571"/>
    <n v="725"/>
    <n v="1175"/>
    <n v="2700"/>
    <n v="2100"/>
    <n v="0.28728606356968217"/>
    <n v="0.40025889085706501"/>
    <n v="0.2989068549305397"/>
    <n v="0.38430881348212248"/>
    <n v="18.043494431717768"/>
    <x v="26"/>
  </r>
  <r>
    <x v="27"/>
    <n v="788.6"/>
    <x v="27"/>
    <x v="27"/>
    <n v="239.1"/>
    <n v="880.4"/>
    <s v="Zones 1-3"/>
    <n v="1195.3200000000002"/>
    <n v="1394.54"/>
    <n v="1593.76"/>
    <n v="1792.98"/>
    <n v="2191.42"/>
    <n v="2589.86"/>
    <n v="2988.3"/>
    <n v="3585.96"/>
    <n v="16.408720891098898"/>
    <n v="11.778046335464699"/>
    <n v="10.2809720874791"/>
    <n v="21.410664578944601"/>
    <n v="3500"/>
    <n v="1725"/>
    <n v="875"/>
    <n v="1400"/>
    <n v="2700"/>
    <n v="2200"/>
    <n v="0.42006721075372055"/>
    <n v="0.49067713444553485"/>
    <n v="0.35564177174264466"/>
    <n v="0.43646944713870028"/>
    <n v="13.194650130494384"/>
    <x v="20"/>
  </r>
  <r>
    <x v="28"/>
    <n v="728.7"/>
    <x v="28"/>
    <x v="28"/>
    <n v="274.39999999999998"/>
    <n v="853.2"/>
    <s v="Zones 4-5"/>
    <n v="1444.12"/>
    <n v="1684.8066666666664"/>
    <n v="1925.4933333333331"/>
    <n v="2166.1799999999998"/>
    <n v="2647.5533333333333"/>
    <n v="3128.9266666666663"/>
    <n v="3610.2999999999997"/>
    <n v="4332.3599999999997"/>
    <n v="20.862849949045799"/>
    <n v="14.210072850447601"/>
    <n v="10.8942694673145"/>
    <n v="28.423714403111401"/>
    <n v="2500"/>
    <n v="1250"/>
    <n v="0"/>
    <n v="931"/>
    <n v="1950"/>
    <n v="1550"/>
    <n v="0.28572305425975936"/>
    <n v="0.37950432088700475"/>
    <n v="0.27137754744730019"/>
    <n v="0.34141046291757121"/>
    <n v="15.945712499673657"/>
    <x v="27"/>
  </r>
  <r>
    <x v="29"/>
    <n v="766.5"/>
    <x v="29"/>
    <x v="29"/>
    <n v="240.9"/>
    <n v="882.2"/>
    <s v="Zones 1-2"/>
    <n v="1117.0066666666667"/>
    <n v="1303.1744444444444"/>
    <n v="1489.3422222222223"/>
    <n v="1675.51"/>
    <n v="2047.8455555555556"/>
    <n v="2420.181111111111"/>
    <n v="2792.5166666666669"/>
    <n v="3351.02"/>
    <n v="11.3857679613954"/>
    <n v="9.1361890635354204"/>
    <n v="8.0554667281536396"/>
    <n v="12.600870242536899"/>
    <n v="3700"/>
    <n v="1850"/>
    <n v="852"/>
    <n v="1750"/>
    <n v="2750"/>
    <n v="2300"/>
    <n v="0.54253472222222221"/>
    <n v="0.63240821046545248"/>
    <n v="0.38379388599652919"/>
    <n v="0.45888399412628494"/>
    <n v="9.6803507384789924"/>
    <x v="28"/>
  </r>
  <r>
    <x v="30"/>
    <n v="717.7"/>
    <x v="30"/>
    <x v="30"/>
    <n v="242.5"/>
    <n v="839.7"/>
    <s v="Zones 3-5"/>
    <n v="1449.1466666666665"/>
    <n v="1690.671111111111"/>
    <n v="1932.1955555555553"/>
    <n v="2173.7199999999998"/>
    <n v="2656.7688888888888"/>
    <n v="3139.8177777777773"/>
    <n v="3622.8666666666663"/>
    <n v="4347.4399999999996"/>
    <n v="22.606062385975001"/>
    <n v="15.8568388190074"/>
    <n v="11.5410646859049"/>
    <n v="34.982493907124699"/>
    <n v="2500"/>
    <n v="1400"/>
    <n v="764"/>
    <n v="1188"/>
    <n v="2150"/>
    <n v="1725"/>
    <n v="0.36903578528827041"/>
    <n v="0.47383535417996175"/>
    <n v="0.30123637887678123"/>
    <n v="0.37545403744062589"/>
    <n v="17.548865312354376"/>
    <x v="29"/>
  </r>
  <r>
    <x v="31"/>
    <n v="843.3"/>
    <x v="31"/>
    <x v="31"/>
    <n v="251.3"/>
    <n v="921.1"/>
    <s v="Zones 1-3"/>
    <n v="645.83999999999992"/>
    <n v="753.48"/>
    <n v="861.12"/>
    <n v="968.76"/>
    <n v="1184.04"/>
    <n v="1399.32"/>
    <n v="1614.6"/>
    <n v="1937.52"/>
    <n v="23.3179362826207"/>
    <n v="16.641529660509299"/>
    <n v="13.7911315029699"/>
    <n v="36.662914193403999"/>
    <n v="4125"/>
    <n v="1750"/>
    <n v="1139"/>
    <n v="1350"/>
    <n v="2900"/>
    <n v="2250"/>
    <n v="0.36994409733640254"/>
    <n v="0.42378201908588647"/>
    <n v="0.32919763562942589"/>
    <n v="0.42429917481126006"/>
    <n v="18.742463592143984"/>
    <x v="30"/>
  </r>
  <r>
    <x v="32"/>
    <n v="843.3"/>
    <x v="32"/>
    <x v="32"/>
    <n v="258.10000000000002"/>
    <n v="958.2"/>
    <s v="Zones 1-2"/>
    <n v="758.34888888888884"/>
    <n v="866.68444444444447"/>
    <n v="975.02"/>
    <n v="1191.691111111111"/>
    <n v="1408.3622222222223"/>
    <n v="1625.0333333333333"/>
    <n v="1950.04"/>
    <m/>
    <n v="9.6599693818958006"/>
    <n v="8.7964300444867405"/>
    <n v="8.0254302420454007"/>
    <n v="11.614199299589499"/>
    <n v="9750"/>
    <n v="2492"/>
    <n v="1000"/>
    <n v="1647"/>
    <n v="4658"/>
    <n v="3358"/>
    <n v="0.44179184549356221"/>
    <n v="0.54163378058405676"/>
    <n v="0.49609975180238741"/>
    <n v="0.68815742819997638"/>
    <n v="8.9686680626284989"/>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255FB-2BC0-4FC2-90A4-890F86F0FB43}"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B5" firstHeaderRow="0" firstDataRow="1" firstDataCol="0"/>
  <pivotFields count="31">
    <pivotField showAll="0">
      <items count="3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0"/>
        <item t="default"/>
      </items>
    </pivotField>
    <pivotField showAll="0"/>
    <pivotField showAll="0"/>
    <pivotField showAll="0"/>
    <pivotField dataField="1" showAll="0"/>
    <pivotField dataField="1"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Full-Time Weekly Pay (£)" fld="5" subtotal="average" baseField="0" baseItem="1"/>
    <dataField name="Average of Part-Time Weekly Pay (£)" fld="4" subtotal="average" baseField="0" baseItem="1"/>
  </dataFields>
  <formats count="1">
    <format dxfId="146">
      <pivotArea outline="0" collapsedLevelsAreSubtotals="1" fieldPosition="0"/>
    </format>
  </formats>
  <chartFormats count="2">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28C77-3915-4CFF-AED4-1B5323E41442}"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D2" firstHeaderRow="0" firstDataRow="1" firstDataCol="0"/>
  <pivotFields count="31">
    <pivotField showAll="0">
      <items count="3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0"/>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showAll="0"/>
    <pivotField dataField="1" showAll="0"/>
    <pivotField dataField="1" showAll="0"/>
    <pivotField dataField="1" showAll="0"/>
    <pivotField showAll="0"/>
    <pivotField showAll="0"/>
  </pivotFields>
  <rowItems count="1">
    <i/>
  </rowItems>
  <colFields count="1">
    <field x="-2"/>
  </colFields>
  <colItems count="4">
    <i>
      <x/>
    </i>
    <i i="1">
      <x v="1"/>
    </i>
    <i i="2">
      <x v="2"/>
    </i>
    <i i="3">
      <x v="3"/>
    </i>
  </colItems>
  <dataFields count="4">
    <dataField name="Average of Single male housing affordability" fld="25" subtotal="average" baseField="0" baseItem="1"/>
    <dataField name="Average of Single Female housing affordability" fld="26" subtotal="average" baseField="0" baseItem="1"/>
    <dataField name="Average of Couple Affordability" fld="27" subtotal="average" baseField="0" baseItem="1"/>
    <dataField name="Average of Family Affordability" fld="28" subtotal="average" baseField="0" baseItem="1"/>
  </dataFields>
  <formats count="1">
    <format dxfId="147">
      <pivotArea outline="0" collapsedLevelsAreSubtotals="1" fieldPosition="0"/>
    </format>
  </formats>
  <chartFormats count="4">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2"/>
          </reference>
        </references>
      </pivotArea>
    </chartFormat>
    <chartFormat chart="8"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1F46B-1E1F-468B-8469-C5E37A4E63B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A12" firstHeaderRow="1" firstDataRow="1" firstDataCol="0"/>
  <pivotFields count="31">
    <pivotField showAll="0">
      <items count="3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0"/>
        <item t="default"/>
      </items>
    </pivotField>
    <pivotField dataField="1"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items count="33">
        <item x="3"/>
        <item x="7"/>
        <item x="1"/>
        <item x="15"/>
        <item x="10"/>
        <item x="22"/>
        <item x="28"/>
        <item x="27"/>
        <item x="5"/>
        <item x="9"/>
        <item x="21"/>
        <item x="24"/>
        <item x="16"/>
        <item x="25"/>
        <item x="29"/>
        <item x="23"/>
        <item x="17"/>
        <item x="20"/>
        <item x="11"/>
        <item x="13"/>
        <item x="26"/>
        <item x="8"/>
        <item x="14"/>
        <item x="30"/>
        <item x="18"/>
        <item x="2"/>
        <item x="4"/>
        <item x="12"/>
        <item x="6"/>
        <item x="31"/>
        <item x="19"/>
        <item x="0"/>
        <item t="default"/>
      </items>
    </pivotField>
  </pivotFields>
  <rowItems count="1">
    <i/>
  </rowItems>
  <colItems count="1">
    <i/>
  </colItems>
  <dataFields count="1">
    <dataField name="Average of Overall Weekly Pay (£)" fld="1" subtotal="average" baseField="0" baseItem="1"/>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3C8E2-8F91-4ABD-A71C-8B87BEF8CE57}"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8" firstHeaderRow="0" firstDataRow="1" firstDataCol="0"/>
  <pivotFields count="31">
    <pivotField showAll="0">
      <items count="34">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0"/>
        <item t="default"/>
      </items>
    </pivotField>
    <pivotField showAll="0"/>
    <pivotField dataField="1" showAll="0"/>
    <pivotField dataField="1"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Female Weekly Pay (£)" fld="3" baseField="0" baseItem="0"/>
    <dataField name="Sum of Male Weekly Pay (£)" fld="2" baseField="0" baseItem="0"/>
  </dataFields>
  <formats count="1">
    <format dxfId="149">
      <pivotArea outline="0" collapsedLevelsAreSubtotals="1" fieldPosition="0"/>
    </format>
  </formats>
  <chartFormats count="2">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D84FA4-AB93-41EF-A069-3C88BC1293B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orough">
  <location ref="I1:P36" firstHeaderRow="1" firstDataRow="2" firstDataCol="1"/>
  <pivotFields count="7">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Col" showAll="0">
      <items count="7">
        <item x="5"/>
        <item x="2"/>
        <item x="0"/>
        <item x="1"/>
        <item x="4"/>
        <item x="3"/>
        <item t="default"/>
      </items>
    </pivotField>
    <pivotField showAll="0"/>
    <pivotField numFmtId="164" showAll="0"/>
    <pivotField numFmtId="164" showAll="0"/>
    <pivotField dataField="1" numFmtId="164" showAll="0"/>
    <pivotField numFmtId="164"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1"/>
  </colFields>
  <colItems count="7">
    <i>
      <x/>
    </i>
    <i>
      <x v="1"/>
    </i>
    <i>
      <x v="2"/>
    </i>
    <i>
      <x v="3"/>
    </i>
    <i>
      <x v="4"/>
    </i>
    <i>
      <x v="5"/>
    </i>
    <i t="grand">
      <x/>
    </i>
  </colItems>
  <dataFields count="1">
    <dataField name="Sum of Median"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028102-6C0E-4715-B2C2-BBE43A629C21}"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rough" xr10:uid="{6E0E13FD-3FC7-4183-99D0-81CD3A9AD387}" sourceName="Borough">
  <pivotTables>
    <pivotTable tabId="14" name="PivotTable29"/>
    <pivotTable tabId="14" name="PivotTable25"/>
    <pivotTable tabId="14" name="PivotTable28"/>
    <pivotTable tabId="14" name="PivotTable1"/>
  </pivotTables>
  <data>
    <tabular pivotCacheId="1983821684">
      <items count="33">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rough" xr10:uid="{BC9375CB-3480-4359-8CF5-015BC57F0090}" cache="Slicer_Borough" caption="Borough" startItem="2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B2676CA-ACF3-493F-AD12-4AA407570F35}" name="Table001__Page_1_2" displayName="Table001__Page_1_2" ref="A1:I47" tableType="queryTable" totalsRowShown="0">
  <autoFilter ref="A1:I47" xr:uid="{5B2676CA-ACF3-493F-AD12-4AA407570F35}"/>
  <tableColumns count="9">
    <tableColumn id="1" xr3:uid="{099C8A82-0070-4386-8BCF-B34E6B607966}" uniqueName="1" name="Column1" queryTableFieldId="1" dataDxfId="145"/>
    <tableColumn id="2" xr3:uid="{38B1F64E-51BE-41D3-B461-41C976D3293E}" uniqueName="2" name="Column2" queryTableFieldId="2" dataDxfId="144"/>
    <tableColumn id="3" xr3:uid="{BAF0B28F-185F-49B8-A2EB-EAE138E3A45E}" uniqueName="3" name="Column3" queryTableFieldId="3" dataDxfId="143"/>
    <tableColumn id="4" xr3:uid="{410A10B2-89C2-477F-814F-0F4EAB0BCAB9}" uniqueName="4" name="Column4" queryTableFieldId="4" dataDxfId="142"/>
    <tableColumn id="5" xr3:uid="{D7FE5F30-8362-4068-95EE-6332D485DC55}" uniqueName="5" name="Column5" queryTableFieldId="5" dataDxfId="141"/>
    <tableColumn id="6" xr3:uid="{36E456FD-BC78-4999-B7BB-B0F5C277D4F9}" uniqueName="6" name="Column6" queryTableFieldId="6" dataDxfId="140"/>
    <tableColumn id="7" xr3:uid="{84C1D1B8-BCCA-4331-BE07-B3B2DB83CCBE}" uniqueName="7" name="Column7" queryTableFieldId="7" dataDxfId="139"/>
    <tableColumn id="8" xr3:uid="{DBD56FEF-ECA1-4DD5-91AE-971755D6D30F}" uniqueName="8" name="Column8" queryTableFieldId="8" dataDxfId="138"/>
    <tableColumn id="9" xr3:uid="{0128D06E-22B1-4FB3-ACB5-AD81F77DD1FB}" uniqueName="9" name="Column9" queryTableFieldId="9" dataDxfId="1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0415819-36C7-4975-9FF4-F9194CAA8F04}" name="Summary_of_monthly_rents_recorded_between_July_2024_to_June_2025_by_borough_and_bedroom_category_for_London12" displayName="Summary_of_monthly_rents_recorded_between_July_2024_to_June_2025_by_borough_and_bedroom_category_for_London12" ref="A1:G199" totalsRowShown="0" headerRowDxfId="136" dataDxfId="134" headerRowBorderDxfId="135" tableBorderDxfId="133" headerRowCellStyle="Heading 3" dataCellStyle="Comma">
  <autoFilter ref="A1:G199" xr:uid="{80415819-36C7-4975-9FF4-F9194CAA8F04}"/>
  <tableColumns count="7">
    <tableColumn id="1" xr3:uid="{44473BF3-4BD1-43BE-ACB7-E74D04DB3742}" name="Borough" dataDxfId="132"/>
    <tableColumn id="2" xr3:uid="{471EBBFA-8F73-42B7-9006-93B1728DCA66}" name="Bedroom Category" dataDxfId="131" dataCellStyle="Normal 2"/>
    <tableColumn id="3" xr3:uid="{7B03F1EE-6B6F-4B57-847E-26F15143E688}" name="Count of rents" dataDxfId="130" dataCellStyle="Comma"/>
    <tableColumn id="4" xr3:uid="{D9D46774-1016-4DDC-834A-D34C638D90A2}" name="Mean" dataDxfId="129" dataCellStyle="Comma"/>
    <tableColumn id="5" xr3:uid="{3F2B8A25-DDF3-4603-9BEA-A04C6D2C7022}" name="Lower quartile" dataDxfId="128" dataCellStyle="Comma"/>
    <tableColumn id="6" xr3:uid="{811A6503-77A4-4A02-B0B6-3B8E6C51F798}" name="Median" dataDxfId="127" dataCellStyle="Comma"/>
    <tableColumn id="7" xr3:uid="{E42B6003-7AA2-4BBC-B97A-64374E25C9C5}" name="Upper quartile" dataDxfId="126" dataCellStyle="Comma"/>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9CFE4FB-8A10-43A3-A204-2B57781F4549}" name="Summary_of_monthly_rents_recorded_between_July_2024_to_June_2025_by_borough_and_bedroom_category_for_London" displayName="Summary_of_monthly_rents_recorded_between_July_2024_to_June_2025_by_borough_and_bedroom_category_for_London" ref="A3:G201" totalsRowShown="0" headerRowDxfId="125" dataDxfId="123" headerRowBorderDxfId="124" tableBorderDxfId="122" headerRowCellStyle="Heading 3" dataCellStyle="Comma">
  <autoFilter ref="A3:G201" xr:uid="{59CFE4FB-8A10-43A3-A204-2B57781F4549}"/>
  <tableColumns count="7">
    <tableColumn id="1" xr3:uid="{3DB0C066-C798-4FEE-8191-898EEE329B85}" name="Borough" dataDxfId="121"/>
    <tableColumn id="2" xr3:uid="{591A9D9A-F827-4562-BD88-A76EF67C3AA8}" name="Bedroom Category" dataDxfId="120" dataCellStyle="Normal 2"/>
    <tableColumn id="3" xr3:uid="{74DCFBE6-9185-46DE-B2D8-D476F928A712}" name="Count of rents" dataDxfId="119" dataCellStyle="Comma"/>
    <tableColumn id="4" xr3:uid="{535AB871-9E1B-4140-99F5-E708E800A890}" name="Mean" dataDxfId="118" dataCellStyle="Comma"/>
    <tableColumn id="5" xr3:uid="{097C0054-5A77-48A9-979C-1E4ACC4ED607}" name="Lower quartile" dataDxfId="117" dataCellStyle="Comma"/>
    <tableColumn id="6" xr3:uid="{0EDFF2A2-C5E7-4DFA-BD20-4DE1CE5A5C95}" name="Median" dataDxfId="116" dataCellStyle="Comma"/>
    <tableColumn id="7" xr3:uid="{0BB0A1A4-D670-413E-ADFA-CD198CF786CF}" name="Upper quartile" dataDxfId="115" dataCellStyle="Comma"/>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FECBD0-EA74-4BB8-94CB-DE1010F70F91}" name="Table1" displayName="Table1" ref="A1:DI362" totalsRowShown="0" headerRowDxfId="114" dataDxfId="113">
  <autoFilter ref="A1:DI362" xr:uid="{21FECBD0-EA74-4BB8-94CB-DE1010F70F91}">
    <filterColumn colId="0">
      <filters>
        <filter val="London"/>
      </filters>
    </filterColumn>
    <filterColumn colId="2">
      <filters>
        <filter val="Barking and Dagenham"/>
        <filter val="Barnet"/>
        <filter val="Bexley"/>
        <filter val="Brent"/>
        <filter val="Bromley"/>
        <filter val="Camden"/>
        <filter val="City of London"/>
        <filter val="Croydon"/>
        <filter val="Ealing"/>
        <filter val="Enfield"/>
        <filter val="Greenwich"/>
        <filter val="Hackney"/>
        <filter val="Hammersmith and Fulham"/>
        <filter val="Haringey"/>
        <filter val="Harrow"/>
        <filter val="Havering"/>
        <filter val="Hillingdon"/>
        <filter val="Hounslow"/>
        <filter val="Islington"/>
        <filter val="Kensington and Chelsea"/>
        <filter val="Kingston upon Thames"/>
        <filter val="Lambeth"/>
        <filter val="Lewisham"/>
        <filter val="Merton"/>
        <filter val="Newham"/>
        <filter val="Redbridge"/>
        <filter val="Richmond upon Thames"/>
        <filter val="Southwark"/>
        <filter val="Sutton"/>
        <filter val="Tower Hamlets"/>
        <filter val="Waltham Forest"/>
        <filter val="Wandsworth"/>
        <filter val="Westminster"/>
      </filters>
    </filterColumn>
  </autoFilter>
  <tableColumns count="113">
    <tableColumn id="1" xr3:uid="{C6104A49-8310-40F5-A3D0-0979C17E2434}" name="Region" dataDxfId="112"/>
    <tableColumn id="2" xr3:uid="{9399AC2A-C866-49D1-B7C2-8FC99435D13E}" name="LA_Code" dataDxfId="111"/>
    <tableColumn id="3" xr3:uid="{8D08221F-DD06-460C-BB6F-14CE48171D51}" name="LA_Name" dataDxfId="110"/>
    <tableColumn id="4" xr3:uid="{A917A840-2F43-4C8A-B06E-33C303E5E157}" name="Empl_pop" dataDxfId="109" dataCellStyle="Normal_LSOA_EMPLO"/>
    <tableColumn id="5" xr3:uid="{2C261F2D-879A-41A6-9B5C-4583759EA604}" name="100EmpPTt" dataDxfId="108" dataCellStyle="Normal_LSOA_EMPLO"/>
    <tableColumn id="6" xr3:uid="{4B3F7973-29A6-45BA-8A2D-434696CD8EA4}" name="100EmpPT15n" dataDxfId="107" dataCellStyle="Normal_LSOA_EMPLO"/>
    <tableColumn id="7" xr3:uid="{F8CC819A-2D82-4BA5-871C-4549520D7EA2}" name="100EmpPT30n" dataDxfId="106" dataCellStyle="Normal_LSOA_EMPLO"/>
    <tableColumn id="8" xr3:uid="{E4AF0C30-9A45-4C94-A6CA-D0CDD300EA8D}" name="100EmpPT45n" dataDxfId="105" dataCellStyle="Normal_LSOA_EMPLO"/>
    <tableColumn id="9" xr3:uid="{40F5FA08-AC3C-4D71-BB51-782FA19A417D}" name="100EmpPT60n" dataDxfId="104" dataCellStyle="Normal_LSOA_EMPLO"/>
    <tableColumn id="10" xr3:uid="{7A3896FA-EA0C-4451-8330-6E1B3B082E6D}" name="100EmpPT15pct" dataDxfId="103" dataCellStyle="Normal_LSOA_EMPLO"/>
    <tableColumn id="11" xr3:uid="{172C7B82-BC9B-460D-9DCC-D78FCE09AC8E}" name="100EmpPT30pct" dataDxfId="102" dataCellStyle="Normal_LSOA_EMPLO"/>
    <tableColumn id="12" xr3:uid="{77CCA30D-CD8E-492F-9400-21D3789B99A6}" name="100EmpPT45pct" dataDxfId="101" dataCellStyle="Normal_LSOA_EMPLO"/>
    <tableColumn id="13" xr3:uid="{1630A3A2-B6E8-4898-BA90-6357EC79D75D}" name="100EmpPT60pct" dataDxfId="100" dataCellStyle="Normal_LSOA_EMPLO"/>
    <tableColumn id="14" xr3:uid="{A8C45056-3FAF-4A43-9ADB-73961E5ABB5E}" name="100EmpCyct" dataDxfId="99" dataCellStyle="Normal_LSOA_EMPLO"/>
    <tableColumn id="15" xr3:uid="{31C69439-CF63-4E10-A273-4DBF176C1387}" name="100EmpCyc15n" dataDxfId="98" dataCellStyle="Normal_LSOA_EMPLO"/>
    <tableColumn id="16" xr3:uid="{2DCFD74D-9438-4146-AFF0-5E38C14E4473}" name="100EmpCyc30n" dataDxfId="97" dataCellStyle="Normal_LSOA_EMPLO"/>
    <tableColumn id="17" xr3:uid="{53C7D5A2-D2E4-4595-879C-59DA82872335}" name="100EmpCyc45n" dataDxfId="96" dataCellStyle="Normal_LSOA_EMPLO"/>
    <tableColumn id="18" xr3:uid="{DB45D4B0-F87C-46A4-BB8F-D5ED3890C825}" name="100EmpCyc60n" dataDxfId="95" dataCellStyle="Normal_LSOA_EMPLO"/>
    <tableColumn id="19" xr3:uid="{BD68B4BC-50D3-43B0-B011-EB4EA4EECD35}" name="100EmpCyc15pct" dataDxfId="94" dataCellStyle="Normal_LSOA_EMPLO"/>
    <tableColumn id="20" xr3:uid="{AC48BABA-DD72-4D60-A9D3-8AC78EFC241F}" name="100EmpCyc30pct" dataDxfId="93" dataCellStyle="Normal_LSOA_EMPLO"/>
    <tableColumn id="21" xr3:uid="{D40DA072-2C69-4F53-9B8B-97557B08FC73}" name="100EmpCyc45pct" dataDxfId="92" dataCellStyle="Normal_LSOA_EMPLO"/>
    <tableColumn id="22" xr3:uid="{3E439656-F7DC-4C06-8086-C818C4AD72AD}" name="100EmpCyc60pct" dataDxfId="91" dataCellStyle="Normal_LSOA_EMPLO"/>
    <tableColumn id="23" xr3:uid="{718B0875-AB2D-4241-BFD2-95C2E950A37E}" name="100EmpCart" dataDxfId="90" dataCellStyle="Normal_LSOA_EMPLO"/>
    <tableColumn id="24" xr3:uid="{F8E7602A-AB7B-431E-B193-8BE28E5AC418}" name="100EmpCar15n" dataDxfId="89" dataCellStyle="Normal_LSOA_EMPLO"/>
    <tableColumn id="25" xr3:uid="{66760940-665E-40A0-8006-D99AF61AB455}" name="100EmpCar30n" dataDxfId="88" dataCellStyle="Normal_LSOA_EMPLO"/>
    <tableColumn id="26" xr3:uid="{F571338C-F519-4740-A6C9-9E0713800881}" name="100EmpCar45n" dataDxfId="87" dataCellStyle="Normal_LSOA_EMPLO"/>
    <tableColumn id="27" xr3:uid="{91698AA0-B168-4670-984D-BA38EEB00F3D}" name="100EmpCar60n" dataDxfId="86" dataCellStyle="Normal_LSOA_EMPLO"/>
    <tableColumn id="28" xr3:uid="{BB0A1F73-9F69-4257-B9B1-B7D58A1958A9}" name="100EmpCar15pct" dataDxfId="85" dataCellStyle="Normal_LSOA_EMPLO"/>
    <tableColumn id="29" xr3:uid="{60E334BB-B6F0-4AED-97B1-6A914BDE683A}" name="100EmpCar30pct" dataDxfId="84" dataCellStyle="Normal_LSOA_EMPLO"/>
    <tableColumn id="30" xr3:uid="{3BD10531-F87E-4431-86B4-7B701DE5008F}" name="100EmpCar45pct" dataDxfId="83" dataCellStyle="Normal_LSOA_EMPLO"/>
    <tableColumn id="31" xr3:uid="{18E31836-81B1-4162-8968-651614A31F19}" name="100EmpCar60pct" dataDxfId="82" dataCellStyle="Normal_LSOA_EMPLO"/>
    <tableColumn id="32" xr3:uid="{155BC6C5-EC76-4051-B0AB-8AA706310172}" name="100EmpWalkt" dataDxfId="81" dataCellStyle="Normal_LSOA_EMPLO"/>
    <tableColumn id="33" xr3:uid="{5F160829-F33A-416D-BD2E-5D1E8507DCE9}" name="100EmpWalk15n" dataDxfId="80" dataCellStyle="Normal_LSOA_EMPLO"/>
    <tableColumn id="34" xr3:uid="{D7F962A3-3F99-492C-88F7-42E16562967F}" name="100EmpWalk30n" dataDxfId="79" dataCellStyle="Normal_LSOA_EMPLO"/>
    <tableColumn id="35" xr3:uid="{60733F1A-0540-48B5-929A-E6C007CC9B9A}" name="100EmpWalk45n" dataDxfId="78" dataCellStyle="Normal_LSOA_EMPLO"/>
    <tableColumn id="36" xr3:uid="{B75D2765-754E-4AEE-B0B5-D0732DE420FF}" name="100EmpWalk60n" dataDxfId="77" dataCellStyle="Normal_LSOA_EMPLO"/>
    <tableColumn id="37" xr3:uid="{B0C54D2B-2776-4229-80C9-51185ED15A33}" name="100EmpWalk15pct" dataDxfId="76" dataCellStyle="Normal_LSOA_EMPLO"/>
    <tableColumn id="38" xr3:uid="{0696066E-CEBE-4F24-A248-D6763E9D9628}" name="100EmpWalk30pct" dataDxfId="75" dataCellStyle="Normal_LSOA_EMPLO"/>
    <tableColumn id="39" xr3:uid="{B81A402D-3AD7-4EAB-8946-2608B8F2AEA8}" name="100EmpWalk45pct" dataDxfId="74" dataCellStyle="Normal_LSOA_EMPLO"/>
    <tableColumn id="40" xr3:uid="{E49B3B21-D1AC-459F-B8AC-80A4B048E436}" name="100EmpWalk60pct" dataDxfId="73" dataCellStyle="Normal_LSOA_EMPLO"/>
    <tableColumn id="41" xr3:uid="{37922180-BF27-49D9-A7BD-B920AA409EAE}" name="500EmpPTt" dataDxfId="72" dataCellStyle="Normal_LSOA_EMPLO"/>
    <tableColumn id="42" xr3:uid="{B95FD2D0-251E-48ED-B9BA-2742B8A73DB2}" name="500EmpPT15n" dataDxfId="71" dataCellStyle="Normal_LSOA_EMPLO"/>
    <tableColumn id="43" xr3:uid="{46E3F9B0-5EA8-4712-A43A-BFC8A51BBA17}" name="500EmpPT30n" dataDxfId="70" dataCellStyle="Normal_LSOA_EMPLO"/>
    <tableColumn id="44" xr3:uid="{77E21137-31B7-4CD1-A35D-43E4513DE2E7}" name="500EmpPT45n" dataDxfId="69" dataCellStyle="Normal_LSOA_EMPLO"/>
    <tableColumn id="45" xr3:uid="{77FB5D7F-AE6D-480A-9C12-A2945C84031C}" name="500EmpPT60n" dataDxfId="68" dataCellStyle="Normal_LSOA_EMPLO"/>
    <tableColumn id="46" xr3:uid="{78B4EDD6-5FD9-445A-A177-56DE3E5AFDE3}" name="500EmpPT15pct" dataDxfId="67" dataCellStyle="Normal_LSOA_EMPLO"/>
    <tableColumn id="47" xr3:uid="{9070F0C0-D203-40A9-A332-D4F563218ACD}" name="500EmpPT30pct" dataDxfId="66" dataCellStyle="Normal_LSOA_EMPLO"/>
    <tableColumn id="48" xr3:uid="{6A61769E-C8A8-4BAA-B9CA-6FEC92902BE3}" name="500EmpPT45pct" dataDxfId="65" dataCellStyle="Normal_LSOA_EMPLO"/>
    <tableColumn id="49" xr3:uid="{D141A7F7-8AB6-4D17-8C3A-228BE4B2B314}" name="500EmpPT60pct" dataDxfId="64" dataCellStyle="Normal_LSOA_EMPLO"/>
    <tableColumn id="50" xr3:uid="{57ED9E52-80C3-4ED1-B4DE-C6BB0C69463B}" name="500EmpCyct" dataDxfId="63" dataCellStyle="Normal_LSOA_EMPLO"/>
    <tableColumn id="51" xr3:uid="{5BD88DB9-044E-477B-AFA5-5C2485CBC336}" name="500EmpCyc15n" dataDxfId="62" dataCellStyle="Normal_LSOA_EMPLO"/>
    <tableColumn id="52" xr3:uid="{2DDFCAE3-3F99-415A-8990-E085FB106AE0}" name="500EmpCyc30n" dataDxfId="61" dataCellStyle="Normal_LSOA_EMPLO"/>
    <tableColumn id="53" xr3:uid="{6B71F5B9-EF9A-49B8-A9BB-F92E1A350DA0}" name="500EmpCyc45n" dataDxfId="60" dataCellStyle="Normal_LSOA_EMPLO"/>
    <tableColumn id="54" xr3:uid="{B6536E38-95EC-4BB2-8286-FC86A7D5B4CC}" name="500EmpCyc60n" dataDxfId="59" dataCellStyle="Normal_LSOA_EMPLO"/>
    <tableColumn id="55" xr3:uid="{3F10BEC1-D50F-4AE1-9128-F05D21EA42E0}" name="500EmpCyc15pct" dataDxfId="58" dataCellStyle="Normal_LSOA_EMPLO"/>
    <tableColumn id="56" xr3:uid="{8D54BFC4-76C8-46B7-B73E-BAB4C54F7CD0}" name="500EmpCyc30pct" dataDxfId="57" dataCellStyle="Normal_LSOA_EMPLO"/>
    <tableColumn id="57" xr3:uid="{47568C22-D314-40E2-A41A-A91196F33DCA}" name="500EmpCyc45pct" dataDxfId="56" dataCellStyle="Normal_LSOA_EMPLO"/>
    <tableColumn id="58" xr3:uid="{2B816362-D7BC-438A-9946-EF56E07C8B6C}" name="500EmpCyc60pct" dataDxfId="55" dataCellStyle="Normal_LSOA_EMPLO"/>
    <tableColumn id="59" xr3:uid="{1EDDB8E7-8481-40A6-93BE-99BB40E5AFBE}" name="500EmpCart" dataDxfId="54" dataCellStyle="Normal_LSOA_EMPLO"/>
    <tableColumn id="60" xr3:uid="{0E8F5C6C-9327-4920-892A-0D6767D537DA}" name="500EmpCar15n" dataDxfId="53" dataCellStyle="Normal_LSOA_EMPLO"/>
    <tableColumn id="61" xr3:uid="{E6BB77A7-D372-4BA0-9C0C-FD9C248C4374}" name="500EmpCar30n" dataDxfId="52" dataCellStyle="Normal_LSOA_EMPLO"/>
    <tableColumn id="62" xr3:uid="{203513BF-A63F-4E77-BC27-58EF173D0B0E}" name="500EmpCar45n" dataDxfId="51" dataCellStyle="Normal_LSOA_EMPLO"/>
    <tableColumn id="63" xr3:uid="{E8B99327-F85F-4452-AA65-1977EB84B58A}" name="500EmpCar60n" dataDxfId="50" dataCellStyle="Normal_LSOA_EMPLO"/>
    <tableColumn id="64" xr3:uid="{EAD21364-3152-4F45-80CE-2BDD3EB861AD}" name="500EmpCar15pct" dataDxfId="49" dataCellStyle="Normal_LSOA_EMPLO"/>
    <tableColumn id="65" xr3:uid="{10A25AFA-EB01-4355-B27C-AB796AADF728}" name="500EmpCar30pct" dataDxfId="48" dataCellStyle="Normal_LSOA_EMPLO"/>
    <tableColumn id="66" xr3:uid="{1A357CAA-98D9-4A92-BAB6-A21DF9984167}" name="500EmpCar45pct" dataDxfId="47" dataCellStyle="Normal_LSOA_EMPLO"/>
    <tableColumn id="67" xr3:uid="{CF1EC722-4085-4F0C-9393-BAC8D64E2040}" name="500EmpCar60pct" dataDxfId="46" dataCellStyle="Normal_LSOA_EMPLO"/>
    <tableColumn id="68" xr3:uid="{5605B621-B27F-4BEB-86EF-8F7F38DF3743}" name="500EmpWalkt" dataDxfId="45" dataCellStyle="Normal_LSOA_EMPLO"/>
    <tableColumn id="69" xr3:uid="{24257D77-70A6-408D-89BA-42CEA84C00C4}" name="500EmpWalk15n" dataDxfId="44" dataCellStyle="Normal_LSOA_EMPLO"/>
    <tableColumn id="70" xr3:uid="{84CE465A-1099-42DF-86FD-FBED710408E1}" name="500EmpWalk30n" dataDxfId="43" dataCellStyle="Normal_LSOA_EMPLO"/>
    <tableColumn id="71" xr3:uid="{DD2C379B-1B35-48BB-BD56-A458AEB2F06A}" name="500EmpWalk45n" dataDxfId="42" dataCellStyle="Normal_LSOA_EMPLO"/>
    <tableColumn id="72" xr3:uid="{0F79868A-2F7B-4A0A-9AD7-DC3AD643C495}" name="500EmpWalk60n" dataDxfId="41" dataCellStyle="Normal_LSOA_EMPLO"/>
    <tableColumn id="73" xr3:uid="{799E3DD4-7A8D-4E98-AAAF-D6EDA1A2E3BC}" name="500EmpWalk15pct" dataDxfId="40" dataCellStyle="Normal_LSOA_EMPLO"/>
    <tableColumn id="74" xr3:uid="{D24C5E8E-1E5E-420C-992F-BA8FA697B9C5}" name="500EmpWalk30pct" dataDxfId="39" dataCellStyle="Normal_LSOA_EMPLO"/>
    <tableColumn id="75" xr3:uid="{0E8DEA2C-CE83-4E23-8B31-4C85B784AEEF}" name="500EmpWalk45pct" dataDxfId="38" dataCellStyle="Normal_LSOA_EMPLO"/>
    <tableColumn id="76" xr3:uid="{FE2DB857-410B-4C4B-80F1-09ACDDD34B2D}" name="500EmpWalk60pct" dataDxfId="37" dataCellStyle="Normal_LSOA_EMPLO"/>
    <tableColumn id="113" xr3:uid="{951AF7C2-F0E1-48CF-93CD-05962DCC253B}" name="BOROUGH" dataDxfId="36" dataCellStyle="Normal_LSOA_EMPLO">
      <calculatedColumnFormula>TRIM(Table1[[#This Row],[LA_Name]])</calculatedColumnFormula>
    </tableColumn>
    <tableColumn id="77" xr3:uid="{C98373FE-816D-4AE5-830E-D5E14A69C1A1}" name="5000EmpPTt" dataDxfId="35" dataCellStyle="Normal_LSOA_EMPLO"/>
    <tableColumn id="78" xr3:uid="{29C6A7A6-18E2-4394-BD1A-E2AE1C88C3A3}" name="5000EmpPT15n" dataDxfId="34" dataCellStyle="Percent"/>
    <tableColumn id="79" xr3:uid="{02302703-ACEA-4704-892C-E72228F7ECC2}" name="5000EmpPT30n" dataDxfId="33" dataCellStyle="Percent"/>
    <tableColumn id="80" xr3:uid="{65725A33-221A-4F0D-866B-472FEBB1A106}" name="5000EmpPT45n" dataDxfId="32" dataCellStyle="Percent"/>
    <tableColumn id="81" xr3:uid="{1D89840E-8636-4078-9BE1-1B5C312676DE}" name="5000EmpPT60n" dataDxfId="31" dataCellStyle="Percent"/>
    <tableColumn id="82" xr3:uid="{FCE6A658-46D8-43D4-96AE-E1C12A46C89D}" name="5000EmpPT15pct" dataDxfId="30" dataCellStyle="Percent"/>
    <tableColumn id="83" xr3:uid="{998A0D06-8D47-4C15-BC31-EDE21F233FB8}" name="5000EmpPT30pct" dataDxfId="29" dataCellStyle="Percent"/>
    <tableColumn id="84" xr3:uid="{197394A6-FB2C-4B5D-98B0-69650481B887}" name="5000EmpPT45pct" dataDxfId="28" dataCellStyle="Percent"/>
    <tableColumn id="85" xr3:uid="{207E4434-076E-492D-AF49-63A794E89E60}" name="5000EmpPT60pct" dataDxfId="27" dataCellStyle="Percent"/>
    <tableColumn id="86" xr3:uid="{BED86010-BFD9-4228-98A3-E74E586373B2}" name="5000EmpCyct" dataDxfId="26" dataCellStyle="Percent"/>
    <tableColumn id="87" xr3:uid="{6B17723D-F4AC-413C-A470-42C44BE59D32}" name="5000EmpCyc15n" dataDxfId="25" dataCellStyle="Percent"/>
    <tableColumn id="88" xr3:uid="{1939F714-1B24-4F8E-AFDD-4307AAFECC28}" name="5000EmpCyc30n" dataDxfId="24" dataCellStyle="Percent"/>
    <tableColumn id="89" xr3:uid="{6EA47D48-0049-4F2C-AC4E-C0BEBFDA0D78}" name="5000EmpCyc45n" dataDxfId="23" dataCellStyle="Percent"/>
    <tableColumn id="90" xr3:uid="{5759ABA3-AF2E-42AC-AB43-50E78EDD0D04}" name="5000EmpCyc60n" dataDxfId="22" dataCellStyle="Percent"/>
    <tableColumn id="91" xr3:uid="{36E2C9D2-AF42-4E34-8EE5-4B193AFC5059}" name="5000EmpCyc15pct" dataDxfId="21" dataCellStyle="Percent"/>
    <tableColumn id="92" xr3:uid="{D7FC7B38-E572-4753-B021-73A7D72145AF}" name="5000EmpCyc30pct" dataDxfId="20" dataCellStyle="Percent"/>
    <tableColumn id="93" xr3:uid="{5FEAF231-9FB6-4C2D-890C-167EB9DC5B8B}" name="5000EmpCyc45pct" dataDxfId="19" dataCellStyle="Percent"/>
    <tableColumn id="94" xr3:uid="{8F58FAF8-8840-45DF-AFDE-B7DC803DD881}" name="5000EmpCyc60pct" dataDxfId="18" dataCellStyle="Percent"/>
    <tableColumn id="95" xr3:uid="{55CB0D9B-D1C7-4E68-AD4A-65666B5589BD}" name="5000EmpCart" dataDxfId="17" dataCellStyle="Percent"/>
    <tableColumn id="96" xr3:uid="{7C0B9B7B-1713-4919-AB14-8E033E91FE10}" name="5000EmpCar15n" dataDxfId="16" dataCellStyle="Percent"/>
    <tableColumn id="97" xr3:uid="{3FCB034F-AE13-45AE-9A52-4C12EB514548}" name="5000EmpCar30n" dataDxfId="15" dataCellStyle="Percent"/>
    <tableColumn id="98" xr3:uid="{36D5F1F3-B92E-431F-AE61-6A763B4AFC90}" name="5000EmpCar45n" dataDxfId="14" dataCellStyle="Percent"/>
    <tableColumn id="99" xr3:uid="{195C75FE-F9AB-4377-B683-2F0D1632A035}" name="5000EmpCar60n" dataDxfId="13" dataCellStyle="Percent"/>
    <tableColumn id="100" xr3:uid="{26C4D031-9224-4F06-BB98-F4C679A182FF}" name="5000EmpCar15pct" dataDxfId="12" dataCellStyle="Normal_LSOA_EMPLO"/>
    <tableColumn id="101" xr3:uid="{67233B10-16DE-4D62-A719-F89E92BAC64F}" name="5000EmpCar30pct" dataDxfId="11"/>
    <tableColumn id="102" xr3:uid="{564C82E3-4BD9-4971-8D5C-AEC0AF0F0384}" name="5000EmpCar45pct" dataDxfId="10" dataCellStyle="Normal_LSOA_EMPLO"/>
    <tableColumn id="103" xr3:uid="{7BFF76B3-2997-4F1D-8BE7-308F414654A9}" name="5000EmpCar60pct" dataDxfId="9" dataCellStyle="Normal_LSOA_EMPLO"/>
    <tableColumn id="104" xr3:uid="{F6FBFC88-0BBC-4256-A522-B71D4C384130}" name="5000EmpWalkt" dataDxfId="8"/>
    <tableColumn id="105" xr3:uid="{62B07CF2-0B45-413D-A042-B02CA976C2D7}" name="5000EmpWalk15n" dataDxfId="7"/>
    <tableColumn id="106" xr3:uid="{60255A77-5A03-46F9-82BE-CBD3A2ED694E}" name="5000EmpWalk30n" dataDxfId="6"/>
    <tableColumn id="107" xr3:uid="{60468AF7-81A4-4D44-8E58-5A1E85CE6C15}" name="5000EmpWalk45n" dataDxfId="5"/>
    <tableColumn id="108" xr3:uid="{16B93687-7D2E-4DC6-8D52-811CD9D97E24}" name="5000EmpWalk60n" dataDxfId="4"/>
    <tableColumn id="109" xr3:uid="{26C019B5-F2AB-463E-93BC-8504E331185D}" name="5000EmpWalk15pct" dataDxfId="3"/>
    <tableColumn id="110" xr3:uid="{9839940A-BAC4-48C4-882D-2623BAAC6FFA}" name="5000EmpWalk30pct" dataDxfId="2"/>
    <tableColumn id="111" xr3:uid="{22623ECB-D45C-4826-B52A-38AA30BB166F}" name="5000EmpWalk45pct" dataDxfId="1"/>
    <tableColumn id="112" xr3:uid="{1AB98C1D-83CC-4D3C-9AAE-6C5E76B7BBF1}" name="5000EmpWalk60p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17F2-EABF-4418-8BFD-A26AF7A7A8CC}">
  <dimension ref="A1:S76"/>
  <sheetViews>
    <sheetView tabSelected="1" zoomScale="70" zoomScaleNormal="70" workbookViewId="0">
      <selection sqref="A1:Q1"/>
    </sheetView>
  </sheetViews>
  <sheetFormatPr defaultRowHeight="14.5"/>
  <cols>
    <col min="1" max="1" width="87.6328125" customWidth="1"/>
    <col min="2" max="2" width="6" bestFit="1" customWidth="1"/>
    <col min="3" max="3" width="8.7265625" customWidth="1"/>
  </cols>
  <sheetData>
    <row r="1" spans="1:19" ht="37">
      <c r="A1" s="81" t="s">
        <v>1135</v>
      </c>
      <c r="B1" s="81"/>
      <c r="C1" s="81"/>
      <c r="D1" s="81"/>
      <c r="E1" s="81"/>
      <c r="F1" s="81"/>
      <c r="G1" s="81"/>
      <c r="H1" s="81"/>
      <c r="I1" s="81"/>
      <c r="J1" s="81"/>
      <c r="K1" s="81"/>
      <c r="L1" s="81"/>
      <c r="M1" s="81"/>
      <c r="N1" s="81"/>
      <c r="O1" s="81"/>
      <c r="P1" s="81"/>
      <c r="Q1" s="81"/>
      <c r="R1" s="72"/>
      <c r="S1" s="72"/>
    </row>
    <row r="2" spans="1:19" ht="26" customHeight="1">
      <c r="A2" s="80" t="s">
        <v>1109</v>
      </c>
      <c r="B2" s="80"/>
      <c r="C2" s="80"/>
      <c r="D2" s="80"/>
      <c r="E2" s="80"/>
      <c r="F2" s="80"/>
      <c r="G2" s="80"/>
      <c r="H2" s="80"/>
      <c r="I2" s="80"/>
      <c r="J2" s="80"/>
      <c r="K2" s="80"/>
      <c r="L2" s="80"/>
      <c r="M2" s="80"/>
      <c r="N2" s="80"/>
      <c r="O2" s="80"/>
      <c r="P2" s="80"/>
      <c r="Q2" s="80"/>
      <c r="R2" s="72"/>
      <c r="S2" s="72"/>
    </row>
    <row r="3" spans="1:19">
      <c r="A3" s="72" t="s">
        <v>1110</v>
      </c>
      <c r="B3" s="72"/>
      <c r="C3" s="72"/>
      <c r="D3" s="72"/>
      <c r="E3" s="72"/>
      <c r="F3" s="72"/>
      <c r="G3" s="72"/>
      <c r="H3" s="72"/>
      <c r="I3" s="72"/>
      <c r="J3" s="72"/>
      <c r="K3" s="72"/>
      <c r="L3" s="72"/>
      <c r="M3" s="72"/>
      <c r="N3" s="72"/>
      <c r="O3" s="72"/>
      <c r="P3" s="72"/>
      <c r="Q3" s="72"/>
      <c r="R3" s="72"/>
      <c r="S3" s="72"/>
    </row>
    <row r="4" spans="1:19">
      <c r="A4" s="72" t="s">
        <v>1111</v>
      </c>
      <c r="B4" s="72"/>
      <c r="C4" s="72"/>
      <c r="D4" s="72"/>
      <c r="E4" s="72"/>
      <c r="F4" s="72"/>
      <c r="G4" s="72"/>
      <c r="H4" s="72"/>
      <c r="I4" s="72"/>
      <c r="J4" s="72"/>
      <c r="K4" s="72"/>
      <c r="L4" s="72"/>
      <c r="M4" s="72"/>
      <c r="N4" s="72"/>
      <c r="O4" s="72"/>
      <c r="P4" s="72"/>
      <c r="Q4" s="72"/>
      <c r="R4" s="72"/>
      <c r="S4" s="72"/>
    </row>
    <row r="5" spans="1:19" ht="26" customHeight="1">
      <c r="A5" s="80" t="s">
        <v>1112</v>
      </c>
      <c r="B5" s="80"/>
      <c r="C5" s="80"/>
      <c r="D5" s="80"/>
      <c r="E5" s="80"/>
      <c r="F5" s="80"/>
      <c r="G5" s="80"/>
      <c r="H5" s="80"/>
      <c r="I5" s="80"/>
      <c r="J5" s="80"/>
      <c r="K5" s="80"/>
      <c r="L5" s="80"/>
      <c r="M5" s="80"/>
      <c r="N5" s="80"/>
      <c r="O5" s="80"/>
      <c r="P5" s="80"/>
      <c r="Q5" s="80"/>
      <c r="R5" s="72"/>
      <c r="S5" s="72"/>
    </row>
    <row r="6" spans="1:19">
      <c r="A6" s="73" t="s">
        <v>1113</v>
      </c>
      <c r="B6" s="72"/>
      <c r="C6" s="72"/>
      <c r="D6" s="72"/>
      <c r="E6" s="72"/>
      <c r="F6" s="72"/>
      <c r="G6" s="72"/>
      <c r="H6" s="72"/>
      <c r="I6" s="72"/>
      <c r="J6" s="72"/>
      <c r="K6" s="72"/>
      <c r="L6" s="72"/>
      <c r="M6" s="72"/>
      <c r="N6" s="72"/>
      <c r="O6" s="72"/>
      <c r="P6" s="72"/>
      <c r="Q6" s="72"/>
      <c r="R6" s="72"/>
      <c r="S6" s="72"/>
    </row>
    <row r="7" spans="1:19">
      <c r="A7" s="73" t="s">
        <v>1114</v>
      </c>
      <c r="B7" s="72"/>
      <c r="C7" s="72"/>
      <c r="D7" s="72"/>
      <c r="E7" s="72"/>
      <c r="F7" s="72"/>
      <c r="G7" s="72"/>
      <c r="H7" s="72"/>
      <c r="I7" s="72"/>
      <c r="J7" s="72"/>
      <c r="K7" s="72"/>
      <c r="L7" s="72"/>
      <c r="M7" s="72"/>
      <c r="N7" s="72"/>
      <c r="O7" s="72"/>
      <c r="P7" s="72"/>
      <c r="Q7" s="72"/>
      <c r="R7" s="72"/>
      <c r="S7" s="72"/>
    </row>
    <row r="8" spans="1:19">
      <c r="A8" s="73" t="s">
        <v>1115</v>
      </c>
      <c r="B8" s="72"/>
      <c r="C8" s="72"/>
      <c r="D8" s="72"/>
      <c r="E8" s="72"/>
      <c r="F8" s="72"/>
      <c r="G8" s="72"/>
      <c r="H8" s="72"/>
      <c r="I8" s="72"/>
      <c r="J8" s="72"/>
      <c r="K8" s="72"/>
      <c r="L8" s="72"/>
      <c r="M8" s="72"/>
      <c r="N8" s="72"/>
      <c r="O8" s="72"/>
      <c r="P8" s="72"/>
      <c r="Q8" s="72"/>
      <c r="R8" s="72"/>
      <c r="S8" s="72"/>
    </row>
    <row r="9" spans="1:19">
      <c r="A9" s="73" t="s">
        <v>1116</v>
      </c>
      <c r="B9" s="72"/>
      <c r="C9" s="72"/>
      <c r="D9" s="72"/>
      <c r="E9" s="72"/>
      <c r="F9" s="72"/>
      <c r="G9" s="72"/>
      <c r="H9" s="72"/>
      <c r="I9" s="72"/>
      <c r="J9" s="72"/>
      <c r="K9" s="72"/>
      <c r="L9" s="72"/>
      <c r="M9" s="72"/>
      <c r="N9" s="72"/>
      <c r="O9" s="72"/>
      <c r="P9" s="72"/>
      <c r="Q9" s="72"/>
      <c r="R9" s="72"/>
      <c r="S9" s="72"/>
    </row>
    <row r="10" spans="1:19">
      <c r="A10" s="73" t="s">
        <v>1117</v>
      </c>
      <c r="B10" s="72"/>
      <c r="C10" s="72"/>
      <c r="D10" s="72"/>
      <c r="E10" s="72"/>
      <c r="F10" s="72"/>
      <c r="G10" s="72"/>
      <c r="H10" s="72"/>
      <c r="I10" s="72"/>
      <c r="J10" s="72"/>
      <c r="K10" s="72"/>
      <c r="L10" s="72"/>
      <c r="M10" s="72"/>
      <c r="N10" s="72"/>
      <c r="O10" s="72"/>
      <c r="P10" s="72"/>
      <c r="Q10" s="72"/>
      <c r="R10" s="72"/>
      <c r="S10" s="72"/>
    </row>
    <row r="11" spans="1:19" ht="26" customHeight="1">
      <c r="A11" s="73" t="s">
        <v>1118</v>
      </c>
      <c r="B11" s="72"/>
      <c r="C11" s="72"/>
      <c r="D11" s="72"/>
      <c r="E11" s="72"/>
      <c r="F11" s="72"/>
      <c r="G11" s="72"/>
      <c r="H11" s="72"/>
      <c r="I11" s="72"/>
      <c r="J11" s="72"/>
      <c r="K11" s="72"/>
      <c r="L11" s="72"/>
      <c r="M11" s="72"/>
      <c r="N11" s="72"/>
      <c r="O11" s="72"/>
      <c r="P11" s="72"/>
      <c r="Q11" s="72"/>
      <c r="R11" s="72"/>
      <c r="S11" s="72"/>
    </row>
    <row r="12" spans="1:19">
      <c r="A12" s="72" t="s">
        <v>1119</v>
      </c>
      <c r="B12" s="72"/>
      <c r="C12" s="72"/>
      <c r="D12" s="72"/>
      <c r="E12" s="72"/>
      <c r="F12" s="72"/>
      <c r="G12" s="72"/>
      <c r="H12" s="72"/>
      <c r="I12" s="72"/>
      <c r="J12" s="72"/>
      <c r="K12" s="72"/>
      <c r="L12" s="72"/>
      <c r="M12" s="72"/>
      <c r="N12" s="72"/>
      <c r="O12" s="72"/>
      <c r="P12" s="72"/>
      <c r="Q12" s="72"/>
      <c r="R12" s="72"/>
      <c r="S12" s="72"/>
    </row>
    <row r="13" spans="1:19">
      <c r="A13" s="72" t="s">
        <v>1120</v>
      </c>
      <c r="B13" s="72"/>
      <c r="C13" s="72"/>
      <c r="D13" s="72"/>
      <c r="E13" s="72"/>
      <c r="F13" s="72"/>
      <c r="G13" s="72"/>
      <c r="H13" s="72"/>
      <c r="I13" s="72"/>
      <c r="J13" s="72"/>
      <c r="K13" s="72"/>
      <c r="L13" s="72"/>
      <c r="M13" s="72"/>
      <c r="N13" s="72"/>
      <c r="O13" s="72"/>
      <c r="P13" s="72"/>
      <c r="Q13" s="72"/>
      <c r="R13" s="72"/>
      <c r="S13" s="72"/>
    </row>
    <row r="14" spans="1:19" ht="26.5" thickBot="1">
      <c r="A14" s="80" t="s">
        <v>1121</v>
      </c>
      <c r="B14" s="80"/>
      <c r="C14" s="80"/>
      <c r="D14" s="80"/>
      <c r="E14" s="80"/>
      <c r="F14" s="80"/>
      <c r="G14" s="80"/>
      <c r="H14" s="80"/>
      <c r="I14" s="80"/>
      <c r="J14" s="80"/>
      <c r="K14" s="80"/>
      <c r="L14" s="80"/>
      <c r="M14" s="80"/>
      <c r="N14" s="80"/>
      <c r="O14" s="80"/>
      <c r="P14" s="80"/>
      <c r="Q14" s="80"/>
      <c r="R14" s="72"/>
      <c r="S14" s="72"/>
    </row>
    <row r="15" spans="1:19">
      <c r="A15" s="74" t="s">
        <v>1086</v>
      </c>
      <c r="B15" s="75">
        <f>COUNTIF('Final Dataset'!Z3:Z34,"&lt;0.3")/COUNT('Final Dataset'!Z3:Z34)</f>
        <v>0.125</v>
      </c>
      <c r="C15" s="72"/>
      <c r="D15" s="72"/>
      <c r="E15" s="72"/>
      <c r="F15" s="72"/>
      <c r="G15" s="72"/>
      <c r="H15" s="72"/>
      <c r="I15" s="72"/>
      <c r="J15" s="72"/>
      <c r="K15" s="72"/>
      <c r="L15" s="72"/>
      <c r="M15" s="72"/>
      <c r="N15" s="72"/>
      <c r="O15" s="72"/>
      <c r="P15" s="72"/>
      <c r="Q15" s="72"/>
      <c r="R15" s="72"/>
      <c r="S15" s="72"/>
    </row>
    <row r="16" spans="1:19">
      <c r="A16" s="76" t="s">
        <v>1087</v>
      </c>
      <c r="B16" s="77">
        <f>COUNTIF('Final Dataset'!AA3:AA34,"&lt;0.30")/COUNT('Final Dataset'!AA3:AA34)</f>
        <v>0</v>
      </c>
      <c r="C16" s="72"/>
      <c r="D16" s="72"/>
      <c r="E16" s="72"/>
      <c r="F16" s="72"/>
      <c r="G16" s="72"/>
      <c r="H16" s="72"/>
      <c r="I16" s="72"/>
      <c r="J16" s="72"/>
      <c r="K16" s="72"/>
      <c r="L16" s="72"/>
      <c r="M16" s="72"/>
      <c r="N16" s="72"/>
      <c r="O16" s="72"/>
      <c r="P16" s="72"/>
      <c r="Q16" s="72"/>
      <c r="R16" s="72"/>
      <c r="S16" s="72"/>
    </row>
    <row r="17" spans="1:19">
      <c r="A17" s="76" t="s">
        <v>1088</v>
      </c>
      <c r="B17" s="77">
        <f>COUNTIF('Final Dataset'!AB3:AB34,"&lt;0.30")/COUNT('Final Dataset'!AB3:AB34)</f>
        <v>0.25</v>
      </c>
      <c r="C17" s="72"/>
      <c r="D17" s="72"/>
      <c r="E17" s="72"/>
      <c r="F17" s="72"/>
      <c r="G17" s="72"/>
      <c r="H17" s="72"/>
      <c r="I17" s="72"/>
      <c r="J17" s="72"/>
      <c r="K17" s="72"/>
      <c r="L17" s="72"/>
      <c r="M17" s="72"/>
      <c r="N17" s="72"/>
      <c r="O17" s="72"/>
      <c r="P17" s="72"/>
      <c r="Q17" s="72"/>
      <c r="R17" s="72"/>
      <c r="S17" s="72"/>
    </row>
    <row r="18" spans="1:19">
      <c r="A18" s="76" t="s">
        <v>1092</v>
      </c>
      <c r="B18" s="77">
        <f>COUNTIF('Final Dataset'!AC3:AC34,"&lt;0.3")/COUNT('Final Dataset'!AC3:AC34)</f>
        <v>0</v>
      </c>
      <c r="C18" s="72"/>
      <c r="D18" s="72"/>
      <c r="E18" s="72"/>
      <c r="F18" s="72"/>
      <c r="G18" s="72"/>
      <c r="H18" s="72"/>
      <c r="I18" s="72"/>
      <c r="J18" s="72"/>
      <c r="K18" s="72"/>
      <c r="L18" s="72"/>
      <c r="M18" s="72"/>
      <c r="N18" s="72"/>
      <c r="O18" s="72"/>
      <c r="P18" s="72"/>
      <c r="Q18" s="72"/>
      <c r="R18" s="72"/>
      <c r="S18" s="72"/>
    </row>
    <row r="19" spans="1:19">
      <c r="A19" s="76" t="s">
        <v>1089</v>
      </c>
      <c r="B19" s="78">
        <f>AVERAGE('Final Dataset'!AF3:AF34)</f>
        <v>12.385624999999999</v>
      </c>
      <c r="C19" s="72"/>
      <c r="D19" s="72"/>
      <c r="E19" s="72"/>
      <c r="F19" s="72"/>
      <c r="G19" s="72"/>
      <c r="H19" s="72"/>
      <c r="I19" s="72"/>
      <c r="J19" s="72"/>
      <c r="K19" s="72"/>
      <c r="L19" s="72"/>
      <c r="M19" s="72"/>
      <c r="N19" s="72"/>
      <c r="O19" s="72"/>
      <c r="P19" s="72"/>
      <c r="Q19" s="72"/>
      <c r="R19" s="72"/>
      <c r="S19" s="72"/>
    </row>
    <row r="20" spans="1:19">
      <c r="A20" s="76" t="s">
        <v>1090</v>
      </c>
      <c r="B20" s="78">
        <f>AVERAGE('Final Dataset'!AE3:AE34)</f>
        <v>17.351318119069827</v>
      </c>
      <c r="C20" s="72"/>
      <c r="D20" s="72"/>
      <c r="E20" s="72"/>
      <c r="F20" s="72"/>
      <c r="G20" s="72"/>
      <c r="H20" s="72"/>
      <c r="I20" s="72"/>
      <c r="J20" s="72"/>
      <c r="K20" s="72"/>
      <c r="L20" s="72"/>
      <c r="M20" s="72"/>
      <c r="N20" s="72"/>
      <c r="O20" s="72"/>
      <c r="P20" s="72"/>
      <c r="Q20" s="72"/>
      <c r="R20" s="72"/>
      <c r="S20" s="72"/>
    </row>
    <row r="21" spans="1:19">
      <c r="A21" s="76" t="s">
        <v>1091</v>
      </c>
      <c r="B21" s="78">
        <f>(SUM('Final Dataset'!C3:C34)-SUM('Final Dataset'!D3:D34))/SUM('Final Dataset'!C3:C34)</f>
        <v>0.20082536166468185</v>
      </c>
      <c r="C21" s="72"/>
      <c r="D21" s="72"/>
      <c r="E21" s="72"/>
      <c r="F21" s="72"/>
      <c r="G21" s="72"/>
      <c r="H21" s="72"/>
      <c r="I21" s="72"/>
      <c r="J21" s="72"/>
      <c r="K21" s="72"/>
      <c r="L21" s="72"/>
      <c r="M21" s="72"/>
      <c r="N21" s="72"/>
      <c r="O21" s="72"/>
      <c r="P21" s="72"/>
      <c r="Q21" s="72"/>
      <c r="R21" s="72"/>
      <c r="S21" s="72"/>
    </row>
    <row r="22" spans="1:19">
      <c r="A22" s="76" t="s">
        <v>1093</v>
      </c>
      <c r="B22" s="78">
        <f>AVERAGE('Final Dataset'!Z:AC)</f>
        <v>0.41338385633286101</v>
      </c>
      <c r="C22" s="72"/>
      <c r="D22" s="72"/>
      <c r="E22" s="72"/>
      <c r="F22" s="72"/>
      <c r="G22" s="72"/>
      <c r="H22" s="72"/>
      <c r="I22" s="72"/>
      <c r="J22" s="72"/>
      <c r="K22" s="72"/>
      <c r="L22" s="72"/>
      <c r="M22" s="72"/>
      <c r="N22" s="72"/>
      <c r="O22" s="72"/>
      <c r="P22" s="72"/>
      <c r="Q22" s="72"/>
      <c r="R22" s="72"/>
      <c r="S22" s="72"/>
    </row>
    <row r="23" spans="1:19">
      <c r="A23" s="76" t="s">
        <v>1094</v>
      </c>
      <c r="B23" s="78">
        <f>SUM('Final Dataset'!K3:K34)/(SUM('Final Dataset'!B3:B34)*4*12)</f>
        <v>5.4954174862622072E-2</v>
      </c>
      <c r="C23" s="72"/>
      <c r="D23" s="72"/>
      <c r="E23" s="72"/>
      <c r="F23" s="72"/>
      <c r="G23" s="72"/>
      <c r="H23" s="72"/>
      <c r="I23" s="72"/>
      <c r="J23" s="72"/>
      <c r="K23" s="72"/>
      <c r="L23" s="72"/>
      <c r="M23" s="72"/>
      <c r="N23" s="72"/>
      <c r="O23" s="72"/>
      <c r="P23" s="72"/>
      <c r="Q23" s="72"/>
      <c r="R23" s="72"/>
      <c r="S23" s="72"/>
    </row>
    <row r="24" spans="1:19" ht="15" thickBot="1">
      <c r="A24" s="71" t="s">
        <v>1108</v>
      </c>
      <c r="B24" s="79">
        <f>CORREL('Final Dataset'!AG1:AG34,'Final Dataset'!AE1:AE34)</f>
        <v>-0.500339726434749</v>
      </c>
      <c r="C24" s="72"/>
      <c r="D24" s="72"/>
      <c r="E24" s="72"/>
      <c r="F24" s="72"/>
      <c r="G24" s="72"/>
      <c r="H24" s="72"/>
      <c r="I24" s="72"/>
      <c r="J24" s="72"/>
      <c r="K24" s="72"/>
      <c r="L24" s="72"/>
      <c r="M24" s="72"/>
      <c r="N24" s="72"/>
      <c r="O24" s="72"/>
      <c r="P24" s="72"/>
      <c r="Q24" s="72"/>
      <c r="R24" s="72"/>
      <c r="S24" s="72"/>
    </row>
    <row r="25" spans="1:19">
      <c r="A25" s="72"/>
      <c r="B25" s="72"/>
      <c r="C25" s="72"/>
      <c r="D25" s="72"/>
      <c r="E25" s="72"/>
      <c r="F25" s="72"/>
      <c r="G25" s="72"/>
      <c r="H25" s="72"/>
      <c r="I25" s="72"/>
      <c r="J25" s="72"/>
      <c r="K25" s="72"/>
      <c r="L25" s="72"/>
      <c r="M25" s="72"/>
      <c r="N25" s="72"/>
      <c r="O25" s="72"/>
      <c r="P25" s="72"/>
      <c r="Q25" s="72"/>
      <c r="R25" s="72"/>
      <c r="S25" s="72"/>
    </row>
    <row r="26" spans="1:19">
      <c r="A26" s="72"/>
      <c r="B26" s="72"/>
      <c r="C26" s="72"/>
      <c r="D26" s="72"/>
      <c r="E26" s="72"/>
      <c r="F26" s="72"/>
      <c r="G26" s="72"/>
      <c r="H26" s="72"/>
      <c r="I26" s="72"/>
      <c r="J26" s="72"/>
      <c r="K26" s="72"/>
      <c r="L26" s="72"/>
      <c r="M26" s="72"/>
      <c r="N26" s="72"/>
      <c r="O26" s="72"/>
      <c r="P26" s="72"/>
      <c r="Q26" s="72"/>
      <c r="R26" s="72"/>
      <c r="S26" s="72"/>
    </row>
    <row r="27" spans="1:19">
      <c r="A27" s="72"/>
      <c r="B27" s="72"/>
      <c r="C27" s="72"/>
      <c r="D27" s="72"/>
      <c r="E27" s="72"/>
      <c r="F27" s="72"/>
      <c r="G27" s="72"/>
      <c r="H27" s="72"/>
      <c r="I27" s="72"/>
      <c r="J27" s="72"/>
      <c r="K27" s="72"/>
      <c r="L27" s="72"/>
      <c r="M27" s="72"/>
      <c r="N27" s="72"/>
      <c r="O27" s="72"/>
      <c r="P27" s="72"/>
      <c r="Q27" s="72"/>
      <c r="R27" s="72"/>
      <c r="S27" s="72"/>
    </row>
    <row r="28" spans="1:19">
      <c r="A28" s="72"/>
      <c r="B28" s="72"/>
      <c r="C28" s="72"/>
      <c r="D28" s="72"/>
      <c r="E28" s="72"/>
      <c r="F28" s="72"/>
      <c r="G28" s="72"/>
      <c r="H28" s="72"/>
      <c r="I28" s="72"/>
      <c r="J28" s="72"/>
      <c r="K28" s="72"/>
      <c r="L28" s="72"/>
      <c r="M28" s="72"/>
      <c r="N28" s="72"/>
      <c r="O28" s="72"/>
      <c r="P28" s="72"/>
      <c r="Q28" s="72"/>
      <c r="R28" s="72"/>
      <c r="S28" s="72"/>
    </row>
    <row r="29" spans="1:19">
      <c r="A29" s="72"/>
      <c r="B29" s="72"/>
      <c r="C29" s="72"/>
      <c r="D29" s="72"/>
      <c r="E29" s="72"/>
      <c r="F29" s="72"/>
      <c r="G29" s="72"/>
      <c r="H29" s="72"/>
      <c r="I29" s="72"/>
      <c r="J29" s="72"/>
      <c r="K29" s="72"/>
      <c r="L29" s="72"/>
      <c r="M29" s="72"/>
      <c r="N29" s="72"/>
      <c r="O29" s="72"/>
      <c r="P29" s="72"/>
      <c r="Q29" s="72"/>
      <c r="R29" s="72"/>
      <c r="S29" s="72"/>
    </row>
    <row r="30" spans="1:19">
      <c r="A30" s="72"/>
      <c r="B30" s="72"/>
      <c r="C30" s="72"/>
      <c r="D30" s="72"/>
      <c r="E30" s="72"/>
      <c r="F30" s="72"/>
      <c r="G30" s="72"/>
      <c r="H30" s="72"/>
      <c r="I30" s="72"/>
      <c r="J30" s="72"/>
      <c r="K30" s="72"/>
      <c r="L30" s="72"/>
      <c r="M30" s="72"/>
      <c r="N30" s="72"/>
      <c r="O30" s="72"/>
      <c r="P30" s="72"/>
      <c r="Q30" s="72"/>
      <c r="R30" s="72"/>
      <c r="S30" s="72"/>
    </row>
    <row r="31" spans="1:19">
      <c r="A31" s="72"/>
      <c r="B31" s="72"/>
      <c r="C31" s="72"/>
      <c r="D31" s="72"/>
      <c r="E31" s="72"/>
      <c r="F31" s="72"/>
      <c r="G31" s="72"/>
      <c r="H31" s="72"/>
      <c r="I31" s="72"/>
      <c r="J31" s="72"/>
      <c r="K31" s="72"/>
      <c r="L31" s="72"/>
      <c r="M31" s="72"/>
      <c r="N31" s="72"/>
      <c r="O31" s="72"/>
      <c r="P31" s="72"/>
      <c r="Q31" s="72"/>
      <c r="R31" s="72"/>
      <c r="S31" s="72"/>
    </row>
    <row r="32" spans="1:19">
      <c r="A32" s="72"/>
      <c r="B32" s="72"/>
      <c r="C32" s="72"/>
      <c r="D32" s="72"/>
      <c r="E32" s="72"/>
      <c r="F32" s="72"/>
      <c r="G32" s="72"/>
      <c r="H32" s="72"/>
      <c r="I32" s="72"/>
      <c r="J32" s="72"/>
      <c r="K32" s="72"/>
      <c r="L32" s="72"/>
      <c r="M32" s="72"/>
      <c r="N32" s="72"/>
      <c r="O32" s="72"/>
      <c r="P32" s="72"/>
      <c r="Q32" s="72"/>
      <c r="R32" s="72"/>
      <c r="S32" s="72"/>
    </row>
    <row r="33" spans="1:19">
      <c r="A33" s="72"/>
      <c r="B33" s="72"/>
      <c r="C33" s="72"/>
      <c r="D33" s="72"/>
      <c r="E33" s="72"/>
      <c r="F33" s="72"/>
      <c r="G33" s="72"/>
      <c r="H33" s="72"/>
      <c r="I33" s="72"/>
      <c r="J33" s="72"/>
      <c r="K33" s="72"/>
      <c r="L33" s="72"/>
      <c r="M33" s="72"/>
      <c r="N33" s="72"/>
      <c r="O33" s="72"/>
      <c r="P33" s="72"/>
      <c r="Q33" s="72"/>
      <c r="R33" s="72"/>
      <c r="S33" s="72"/>
    </row>
    <row r="34" spans="1:19">
      <c r="A34" s="72"/>
      <c r="B34" s="72"/>
      <c r="C34" s="72"/>
      <c r="D34" s="72"/>
      <c r="E34" s="72"/>
      <c r="F34" s="72"/>
      <c r="G34" s="72"/>
      <c r="H34" s="72"/>
      <c r="I34" s="72"/>
      <c r="J34" s="72"/>
      <c r="K34" s="72"/>
      <c r="L34" s="72"/>
      <c r="M34" s="72"/>
      <c r="N34" s="72"/>
      <c r="O34" s="72"/>
      <c r="P34" s="72"/>
      <c r="Q34" s="72"/>
      <c r="R34" s="72"/>
      <c r="S34" s="72"/>
    </row>
    <row r="35" spans="1:19">
      <c r="A35" s="72"/>
      <c r="B35" s="72"/>
      <c r="C35" s="72"/>
      <c r="D35" s="72"/>
      <c r="E35" s="72"/>
      <c r="F35" s="72"/>
      <c r="G35" s="72"/>
      <c r="H35" s="72"/>
      <c r="I35" s="72"/>
      <c r="J35" s="72"/>
      <c r="K35" s="72"/>
      <c r="L35" s="72"/>
      <c r="M35" s="72"/>
      <c r="N35" s="72"/>
      <c r="O35" s="72"/>
      <c r="P35" s="72"/>
      <c r="Q35" s="72"/>
      <c r="R35" s="72"/>
      <c r="S35" s="72"/>
    </row>
    <row r="36" spans="1:19">
      <c r="A36" s="72"/>
      <c r="B36" s="72"/>
      <c r="C36" s="72"/>
      <c r="D36" s="72"/>
      <c r="E36" s="72"/>
      <c r="F36" s="72"/>
      <c r="G36" s="72"/>
      <c r="H36" s="72"/>
      <c r="I36" s="72"/>
      <c r="J36" s="72"/>
      <c r="K36" s="72"/>
      <c r="L36" s="72"/>
      <c r="M36" s="72"/>
      <c r="N36" s="72"/>
      <c r="O36" s="72"/>
      <c r="P36" s="72"/>
      <c r="Q36" s="72"/>
      <c r="R36" s="72"/>
      <c r="S36" s="72"/>
    </row>
    <row r="37" spans="1:19">
      <c r="A37" s="72"/>
      <c r="B37" s="72"/>
      <c r="C37" s="72"/>
      <c r="D37" s="72"/>
      <c r="E37" s="72"/>
      <c r="F37" s="72"/>
      <c r="G37" s="72"/>
      <c r="H37" s="72"/>
      <c r="I37" s="72"/>
      <c r="J37" s="72"/>
      <c r="K37" s="72"/>
      <c r="L37" s="72"/>
      <c r="M37" s="72"/>
      <c r="N37" s="72"/>
      <c r="O37" s="72"/>
      <c r="P37" s="72"/>
      <c r="Q37" s="72"/>
      <c r="R37" s="72"/>
      <c r="S37" s="72"/>
    </row>
    <row r="38" spans="1:19">
      <c r="A38" s="72"/>
      <c r="B38" s="72"/>
      <c r="C38" s="72"/>
      <c r="D38" s="72"/>
      <c r="E38" s="72"/>
      <c r="F38" s="72"/>
      <c r="G38" s="72"/>
      <c r="H38" s="72"/>
      <c r="I38" s="72"/>
      <c r="J38" s="72"/>
      <c r="K38" s="72"/>
      <c r="L38" s="72"/>
      <c r="M38" s="72"/>
      <c r="N38" s="72"/>
      <c r="O38" s="72"/>
      <c r="P38" s="72"/>
      <c r="Q38" s="72"/>
      <c r="R38" s="72"/>
      <c r="S38" s="72"/>
    </row>
    <row r="39" spans="1:19">
      <c r="A39" s="72"/>
      <c r="B39" s="72"/>
      <c r="C39" s="72"/>
      <c r="D39" s="72"/>
      <c r="E39" s="72"/>
      <c r="F39" s="72"/>
      <c r="G39" s="72"/>
      <c r="H39" s="72"/>
      <c r="I39" s="72"/>
      <c r="J39" s="72"/>
      <c r="K39" s="72"/>
      <c r="L39" s="72"/>
      <c r="M39" s="72"/>
      <c r="N39" s="72"/>
      <c r="O39" s="72"/>
      <c r="P39" s="72"/>
      <c r="Q39" s="72"/>
      <c r="R39" s="72"/>
      <c r="S39" s="72"/>
    </row>
    <row r="40" spans="1:19">
      <c r="A40" s="72"/>
      <c r="B40" s="72"/>
      <c r="C40" s="72"/>
      <c r="D40" s="72"/>
      <c r="E40" s="72"/>
      <c r="F40" s="72"/>
      <c r="G40" s="72"/>
      <c r="H40" s="72"/>
      <c r="I40" s="72"/>
      <c r="J40" s="72"/>
      <c r="K40" s="72"/>
      <c r="L40" s="72"/>
      <c r="M40" s="72"/>
      <c r="N40" s="72"/>
      <c r="O40" s="72"/>
      <c r="P40" s="72"/>
      <c r="Q40" s="72"/>
      <c r="R40" s="72"/>
      <c r="S40" s="72"/>
    </row>
    <row r="41" spans="1:19">
      <c r="A41" s="72"/>
      <c r="B41" s="72"/>
      <c r="C41" s="72"/>
      <c r="D41" s="72"/>
      <c r="E41" s="72"/>
      <c r="F41" s="72"/>
      <c r="G41" s="72"/>
      <c r="H41" s="72"/>
      <c r="I41" s="72"/>
      <c r="J41" s="72"/>
      <c r="K41" s="72"/>
      <c r="L41" s="72"/>
      <c r="M41" s="72"/>
      <c r="N41" s="72"/>
      <c r="O41" s="72"/>
      <c r="P41" s="72"/>
      <c r="Q41" s="72"/>
      <c r="R41" s="72"/>
      <c r="S41" s="72"/>
    </row>
    <row r="42" spans="1:19">
      <c r="A42" s="72"/>
      <c r="B42" s="72"/>
      <c r="C42" s="72"/>
      <c r="D42" s="72"/>
      <c r="E42" s="72"/>
      <c r="F42" s="72"/>
      <c r="G42" s="72"/>
      <c r="H42" s="72"/>
      <c r="I42" s="72"/>
      <c r="J42" s="72"/>
      <c r="K42" s="72"/>
      <c r="L42" s="72"/>
      <c r="M42" s="72"/>
      <c r="N42" s="72"/>
      <c r="O42" s="72"/>
      <c r="P42" s="72"/>
      <c r="Q42" s="72"/>
      <c r="R42" s="72"/>
      <c r="S42" s="72"/>
    </row>
    <row r="43" spans="1:19">
      <c r="A43" s="72"/>
      <c r="B43" s="72"/>
      <c r="C43" s="72"/>
      <c r="D43" s="72"/>
      <c r="E43" s="72"/>
      <c r="F43" s="72"/>
      <c r="G43" s="72"/>
      <c r="H43" s="72"/>
      <c r="I43" s="72"/>
      <c r="J43" s="72"/>
      <c r="K43" s="72"/>
      <c r="L43" s="72"/>
      <c r="M43" s="72"/>
      <c r="N43" s="72"/>
      <c r="O43" s="72"/>
      <c r="P43" s="72"/>
      <c r="Q43" s="72"/>
      <c r="R43" s="72"/>
      <c r="S43" s="72"/>
    </row>
    <row r="44" spans="1:19">
      <c r="A44" s="72"/>
      <c r="B44" s="72"/>
      <c r="C44" s="72"/>
      <c r="D44" s="72"/>
      <c r="E44" s="72"/>
      <c r="F44" s="72"/>
      <c r="G44" s="72"/>
      <c r="H44" s="72"/>
      <c r="I44" s="72"/>
      <c r="J44" s="72"/>
      <c r="K44" s="72"/>
      <c r="L44" s="72"/>
      <c r="M44" s="72"/>
      <c r="N44" s="72"/>
      <c r="O44" s="72"/>
      <c r="P44" s="72"/>
      <c r="Q44" s="72"/>
      <c r="R44" s="72"/>
      <c r="S44" s="72"/>
    </row>
    <row r="45" spans="1:19">
      <c r="A45" s="72"/>
      <c r="B45" s="72"/>
      <c r="C45" s="72"/>
      <c r="D45" s="72"/>
      <c r="E45" s="72"/>
      <c r="F45" s="72"/>
      <c r="G45" s="72"/>
      <c r="H45" s="72"/>
      <c r="I45" s="72"/>
      <c r="J45" s="72"/>
      <c r="K45" s="72"/>
      <c r="L45" s="72"/>
      <c r="M45" s="72"/>
      <c r="N45" s="72"/>
      <c r="O45" s="72"/>
      <c r="P45" s="72"/>
      <c r="Q45" s="72"/>
      <c r="R45" s="72"/>
      <c r="S45" s="72"/>
    </row>
    <row r="46" spans="1:19">
      <c r="A46" s="72"/>
      <c r="B46" s="72"/>
      <c r="C46" s="72"/>
      <c r="D46" s="72"/>
      <c r="E46" s="72"/>
      <c r="F46" s="72"/>
      <c r="G46" s="72"/>
      <c r="H46" s="72"/>
      <c r="I46" s="72"/>
      <c r="J46" s="72"/>
      <c r="K46" s="72"/>
      <c r="L46" s="72"/>
      <c r="M46" s="72"/>
      <c r="N46" s="72"/>
      <c r="O46" s="72"/>
      <c r="P46" s="72"/>
      <c r="Q46" s="72"/>
      <c r="R46" s="72"/>
      <c r="S46" s="72"/>
    </row>
    <row r="47" spans="1:19">
      <c r="A47" s="72"/>
      <c r="B47" s="72"/>
      <c r="C47" s="72"/>
      <c r="D47" s="72"/>
      <c r="E47" s="72"/>
      <c r="F47" s="72"/>
      <c r="G47" s="72"/>
      <c r="H47" s="72"/>
      <c r="I47" s="72"/>
      <c r="J47" s="72"/>
      <c r="K47" s="72"/>
      <c r="L47" s="72"/>
      <c r="M47" s="72"/>
      <c r="N47" s="72"/>
      <c r="O47" s="72"/>
      <c r="P47" s="72"/>
      <c r="Q47" s="72"/>
      <c r="R47" s="72"/>
      <c r="S47" s="72"/>
    </row>
    <row r="48" spans="1:19">
      <c r="A48" s="72"/>
      <c r="B48" s="72"/>
      <c r="C48" s="72"/>
      <c r="D48" s="72"/>
      <c r="E48" s="72"/>
      <c r="F48" s="72"/>
      <c r="G48" s="72"/>
      <c r="H48" s="72"/>
      <c r="I48" s="72"/>
      <c r="J48" s="72"/>
      <c r="K48" s="72"/>
      <c r="L48" s="72"/>
      <c r="M48" s="72"/>
      <c r="N48" s="72"/>
      <c r="O48" s="72"/>
      <c r="P48" s="72"/>
      <c r="Q48" s="72"/>
      <c r="R48" s="72"/>
      <c r="S48" s="72"/>
    </row>
    <row r="49" spans="1:19">
      <c r="A49" s="72"/>
      <c r="B49" s="72"/>
      <c r="C49" s="72"/>
      <c r="D49" s="72"/>
      <c r="E49" s="72"/>
      <c r="F49" s="72"/>
      <c r="G49" s="72"/>
      <c r="H49" s="72"/>
      <c r="I49" s="72"/>
      <c r="J49" s="72"/>
      <c r="K49" s="72"/>
      <c r="L49" s="72"/>
      <c r="M49" s="72"/>
      <c r="N49" s="72"/>
      <c r="O49" s="72"/>
      <c r="P49" s="72"/>
      <c r="Q49" s="72"/>
      <c r="R49" s="72"/>
      <c r="S49" s="72"/>
    </row>
    <row r="50" spans="1:19">
      <c r="A50" s="72"/>
      <c r="B50" s="72"/>
      <c r="C50" s="72"/>
      <c r="D50" s="72"/>
      <c r="E50" s="72"/>
      <c r="F50" s="72"/>
      <c r="G50" s="72"/>
      <c r="H50" s="72"/>
      <c r="I50" s="72"/>
      <c r="J50" s="72"/>
      <c r="K50" s="72"/>
      <c r="L50" s="72"/>
      <c r="M50" s="72"/>
      <c r="N50" s="72"/>
      <c r="O50" s="72"/>
      <c r="P50" s="72"/>
      <c r="Q50" s="72"/>
      <c r="R50" s="72"/>
      <c r="S50" s="72"/>
    </row>
    <row r="51" spans="1:19">
      <c r="A51" s="72"/>
      <c r="B51" s="72"/>
      <c r="C51" s="72"/>
      <c r="D51" s="72"/>
      <c r="E51" s="72"/>
      <c r="F51" s="72"/>
      <c r="G51" s="72"/>
      <c r="H51" s="72"/>
      <c r="I51" s="72"/>
      <c r="J51" s="72"/>
      <c r="K51" s="72"/>
      <c r="L51" s="72"/>
      <c r="M51" s="72"/>
      <c r="N51" s="72"/>
      <c r="O51" s="72"/>
      <c r="P51" s="72"/>
      <c r="Q51" s="72"/>
      <c r="R51" s="72"/>
      <c r="S51" s="72"/>
    </row>
    <row r="52" spans="1:19">
      <c r="A52" s="72"/>
      <c r="B52" s="72"/>
      <c r="C52" s="72"/>
      <c r="D52" s="72"/>
      <c r="E52" s="72"/>
      <c r="F52" s="72"/>
      <c r="G52" s="72"/>
      <c r="H52" s="72"/>
      <c r="I52" s="72"/>
      <c r="J52" s="72"/>
      <c r="K52" s="72"/>
      <c r="L52" s="72"/>
      <c r="M52" s="72"/>
      <c r="N52" s="72"/>
      <c r="O52" s="72"/>
      <c r="P52" s="72"/>
      <c r="Q52" s="72"/>
      <c r="R52" s="72"/>
      <c r="S52" s="72"/>
    </row>
    <row r="53" spans="1:19">
      <c r="A53" s="72"/>
      <c r="B53" s="72"/>
      <c r="C53" s="72"/>
      <c r="D53" s="72"/>
      <c r="E53" s="72"/>
      <c r="F53" s="72"/>
      <c r="G53" s="72"/>
      <c r="H53" s="72"/>
      <c r="I53" s="72"/>
      <c r="J53" s="72"/>
      <c r="K53" s="72"/>
      <c r="L53" s="72"/>
      <c r="M53" s="72"/>
      <c r="N53" s="72"/>
      <c r="O53" s="72"/>
      <c r="P53" s="72"/>
      <c r="Q53" s="72"/>
      <c r="R53" s="72"/>
      <c r="S53" s="72"/>
    </row>
    <row r="54" spans="1:19">
      <c r="A54" s="72"/>
      <c r="B54" s="72"/>
      <c r="C54" s="72"/>
      <c r="D54" s="72"/>
      <c r="E54" s="72"/>
      <c r="F54" s="72"/>
      <c r="G54" s="72"/>
      <c r="H54" s="72"/>
      <c r="I54" s="72"/>
      <c r="J54" s="72"/>
      <c r="K54" s="72"/>
      <c r="L54" s="72"/>
      <c r="M54" s="72"/>
      <c r="N54" s="72"/>
      <c r="O54" s="72"/>
      <c r="P54" s="72"/>
      <c r="Q54" s="72"/>
      <c r="R54" s="72"/>
      <c r="S54" s="72"/>
    </row>
    <row r="55" spans="1:19">
      <c r="A55" s="72"/>
      <c r="B55" s="72"/>
      <c r="C55" s="72"/>
      <c r="D55" s="72"/>
      <c r="E55" s="72"/>
      <c r="F55" s="72"/>
      <c r="G55" s="72"/>
      <c r="H55" s="72"/>
      <c r="I55" s="72"/>
      <c r="J55" s="72"/>
      <c r="K55" s="72"/>
      <c r="L55" s="72"/>
      <c r="M55" s="72"/>
      <c r="N55" s="72"/>
      <c r="O55" s="72"/>
      <c r="P55" s="72"/>
      <c r="Q55" s="72"/>
      <c r="R55" s="72"/>
      <c r="S55" s="72"/>
    </row>
    <row r="56" spans="1:19">
      <c r="A56" s="72"/>
      <c r="B56" s="72"/>
      <c r="C56" s="72"/>
      <c r="D56" s="72"/>
      <c r="E56" s="72"/>
      <c r="F56" s="72"/>
      <c r="G56" s="72"/>
      <c r="H56" s="72"/>
      <c r="I56" s="72"/>
      <c r="J56" s="72"/>
      <c r="K56" s="72"/>
      <c r="L56" s="72"/>
      <c r="M56" s="72"/>
      <c r="N56" s="72"/>
      <c r="O56" s="72"/>
      <c r="P56" s="72"/>
      <c r="Q56" s="72"/>
      <c r="R56" s="72"/>
      <c r="S56" s="72"/>
    </row>
    <row r="57" spans="1:19">
      <c r="A57" s="72"/>
      <c r="B57" s="72"/>
      <c r="C57" s="72"/>
      <c r="D57" s="72"/>
      <c r="E57" s="72"/>
      <c r="F57" s="72"/>
      <c r="G57" s="72"/>
      <c r="H57" s="72"/>
      <c r="I57" s="72"/>
      <c r="J57" s="72"/>
      <c r="K57" s="72"/>
      <c r="L57" s="72"/>
      <c r="M57" s="72"/>
      <c r="N57" s="72"/>
      <c r="O57" s="72"/>
      <c r="P57" s="72"/>
      <c r="Q57" s="72"/>
      <c r="R57" s="72"/>
      <c r="S57" s="72"/>
    </row>
    <row r="58" spans="1:19">
      <c r="A58" s="72"/>
      <c r="B58" s="72"/>
      <c r="C58" s="72"/>
      <c r="D58" s="72"/>
      <c r="E58" s="72"/>
      <c r="F58" s="72"/>
      <c r="G58" s="72"/>
      <c r="H58" s="72"/>
      <c r="I58" s="72"/>
      <c r="J58" s="72"/>
      <c r="K58" s="72"/>
      <c r="L58" s="72"/>
      <c r="M58" s="72"/>
      <c r="N58" s="72"/>
      <c r="O58" s="72"/>
      <c r="P58" s="72"/>
      <c r="Q58" s="72"/>
      <c r="R58" s="72"/>
      <c r="S58" s="72"/>
    </row>
    <row r="59" spans="1:19">
      <c r="A59" s="72"/>
      <c r="B59" s="72"/>
      <c r="C59" s="72"/>
      <c r="D59" s="72"/>
      <c r="E59" s="72"/>
      <c r="F59" s="72"/>
      <c r="G59" s="72"/>
      <c r="H59" s="72"/>
      <c r="I59" s="72"/>
      <c r="J59" s="72"/>
      <c r="K59" s="72"/>
      <c r="L59" s="72"/>
      <c r="M59" s="72"/>
      <c r="N59" s="72"/>
      <c r="O59" s="72"/>
      <c r="P59" s="72"/>
      <c r="Q59" s="72"/>
      <c r="R59" s="72"/>
      <c r="S59" s="72"/>
    </row>
    <row r="60" spans="1:19">
      <c r="A60" s="72"/>
      <c r="B60" s="72"/>
      <c r="C60" s="72"/>
      <c r="D60" s="72"/>
      <c r="E60" s="72"/>
      <c r="F60" s="72"/>
      <c r="G60" s="72"/>
      <c r="H60" s="72"/>
      <c r="I60" s="72"/>
      <c r="J60" s="72"/>
      <c r="K60" s="72"/>
      <c r="L60" s="72"/>
      <c r="M60" s="72"/>
      <c r="N60" s="72"/>
      <c r="O60" s="72"/>
      <c r="P60" s="72"/>
      <c r="Q60" s="72"/>
      <c r="R60" s="72"/>
      <c r="S60" s="72"/>
    </row>
    <row r="61" spans="1:19" ht="26">
      <c r="A61" s="80" t="s">
        <v>1122</v>
      </c>
      <c r="B61" s="80"/>
      <c r="C61" s="80"/>
      <c r="D61" s="80"/>
      <c r="E61" s="80"/>
      <c r="F61" s="80"/>
      <c r="G61" s="80"/>
      <c r="H61" s="80"/>
      <c r="I61" s="80"/>
      <c r="J61" s="80"/>
      <c r="K61" s="80"/>
      <c r="L61" s="80"/>
      <c r="M61" s="80"/>
      <c r="N61" s="80"/>
      <c r="O61" s="80"/>
      <c r="P61" s="80"/>
      <c r="Q61" s="80"/>
      <c r="R61" s="80"/>
      <c r="S61" s="72"/>
    </row>
    <row r="62" spans="1:19">
      <c r="A62" s="72" t="s">
        <v>1123</v>
      </c>
      <c r="B62" s="72"/>
      <c r="C62" s="72"/>
      <c r="D62" s="72"/>
      <c r="E62" s="72"/>
      <c r="F62" s="72"/>
      <c r="G62" s="72"/>
      <c r="H62" s="72"/>
      <c r="I62" s="72"/>
      <c r="J62" s="72"/>
      <c r="K62" s="72"/>
      <c r="L62" s="72"/>
      <c r="M62" s="72"/>
      <c r="N62" s="72"/>
      <c r="O62" s="72"/>
      <c r="P62" s="72"/>
      <c r="Q62" s="72"/>
      <c r="R62" s="72"/>
      <c r="S62" s="72"/>
    </row>
    <row r="63" spans="1:19">
      <c r="A63" s="72" t="s">
        <v>1124</v>
      </c>
      <c r="B63" s="72"/>
      <c r="C63" s="72"/>
      <c r="D63" s="72"/>
      <c r="E63" s="72"/>
      <c r="F63" s="72"/>
      <c r="G63" s="72"/>
      <c r="H63" s="72"/>
      <c r="I63" s="72"/>
      <c r="J63" s="72"/>
      <c r="K63" s="72"/>
      <c r="L63" s="72"/>
      <c r="M63" s="72"/>
      <c r="N63" s="72"/>
      <c r="O63" s="72"/>
      <c r="P63" s="72"/>
      <c r="Q63" s="72"/>
      <c r="R63" s="72"/>
      <c r="S63" s="72"/>
    </row>
    <row r="64" spans="1:19">
      <c r="A64" s="72" t="s">
        <v>1125</v>
      </c>
      <c r="B64" s="72"/>
      <c r="C64" s="72"/>
      <c r="D64" s="72"/>
      <c r="E64" s="72"/>
      <c r="F64" s="72"/>
      <c r="G64" s="72"/>
      <c r="H64" s="72"/>
      <c r="I64" s="72"/>
      <c r="J64" s="72"/>
      <c r="K64" s="72"/>
      <c r="L64" s="72"/>
      <c r="M64" s="72"/>
      <c r="N64" s="72"/>
      <c r="O64" s="72"/>
      <c r="P64" s="72"/>
      <c r="Q64" s="72"/>
      <c r="R64" s="72"/>
      <c r="S64" s="72"/>
    </row>
    <row r="65" spans="1:19">
      <c r="A65" s="72" t="s">
        <v>1126</v>
      </c>
      <c r="B65" s="72"/>
      <c r="C65" s="72"/>
      <c r="D65" s="72"/>
      <c r="E65" s="72"/>
      <c r="F65" s="72"/>
      <c r="G65" s="72"/>
      <c r="H65" s="72"/>
      <c r="I65" s="72"/>
      <c r="J65" s="72"/>
      <c r="K65" s="72"/>
      <c r="L65" s="72"/>
      <c r="M65" s="72"/>
      <c r="N65" s="72"/>
      <c r="O65" s="72"/>
      <c r="P65" s="72"/>
      <c r="Q65" s="72"/>
      <c r="R65" s="72"/>
      <c r="S65" s="72"/>
    </row>
    <row r="66" spans="1:19">
      <c r="A66" s="72" t="s">
        <v>1128</v>
      </c>
      <c r="B66" s="72"/>
      <c r="C66" s="72"/>
      <c r="D66" s="72"/>
      <c r="E66" s="72"/>
      <c r="F66" s="72"/>
      <c r="G66" s="72"/>
      <c r="H66" s="72"/>
      <c r="I66" s="72"/>
      <c r="J66" s="72"/>
      <c r="K66" s="72"/>
      <c r="L66" s="72"/>
      <c r="M66" s="72"/>
      <c r="N66" s="72"/>
      <c r="O66" s="72"/>
      <c r="P66" s="72"/>
      <c r="Q66" s="72"/>
      <c r="R66" s="72"/>
      <c r="S66" s="72"/>
    </row>
    <row r="67" spans="1:19">
      <c r="A67" s="72" t="s">
        <v>1129</v>
      </c>
      <c r="B67" s="72"/>
      <c r="C67" s="72"/>
      <c r="D67" s="72"/>
      <c r="E67" s="72"/>
      <c r="F67" s="72"/>
      <c r="G67" s="72"/>
      <c r="H67" s="72"/>
      <c r="I67" s="72"/>
      <c r="J67" s="72"/>
      <c r="K67" s="72"/>
      <c r="L67" s="72"/>
      <c r="M67" s="72"/>
      <c r="N67" s="72"/>
      <c r="O67" s="72"/>
      <c r="P67" s="72"/>
      <c r="Q67" s="72"/>
      <c r="R67" s="72"/>
      <c r="S67" s="72"/>
    </row>
    <row r="68" spans="1:19">
      <c r="A68" s="72" t="s">
        <v>1127</v>
      </c>
      <c r="B68" s="72"/>
      <c r="C68" s="72"/>
      <c r="D68" s="72"/>
      <c r="E68" s="72"/>
      <c r="F68" s="72"/>
      <c r="G68" s="72"/>
      <c r="H68" s="72"/>
      <c r="I68" s="72"/>
      <c r="J68" s="72"/>
      <c r="K68" s="72"/>
      <c r="L68" s="72"/>
      <c r="M68" s="72"/>
      <c r="N68" s="72"/>
      <c r="O68" s="72"/>
      <c r="P68" s="72"/>
      <c r="Q68" s="72"/>
      <c r="R68" s="72"/>
      <c r="S68" s="72"/>
    </row>
    <row r="69" spans="1:19">
      <c r="A69" s="72" t="s">
        <v>1130</v>
      </c>
      <c r="B69" s="72"/>
      <c r="C69" s="72"/>
      <c r="D69" s="72"/>
      <c r="E69" s="72"/>
      <c r="F69" s="72"/>
      <c r="G69" s="72"/>
      <c r="H69" s="72"/>
      <c r="I69" s="72"/>
      <c r="J69" s="72"/>
      <c r="K69" s="72"/>
      <c r="L69" s="72"/>
      <c r="M69" s="72"/>
      <c r="N69" s="72"/>
      <c r="O69" s="72"/>
      <c r="P69" s="72"/>
      <c r="Q69" s="72"/>
      <c r="R69" s="72"/>
      <c r="S69" s="72"/>
    </row>
    <row r="70" spans="1:19" ht="26">
      <c r="A70" s="80" t="s">
        <v>1131</v>
      </c>
      <c r="B70" s="80"/>
      <c r="C70" s="80"/>
      <c r="D70" s="80"/>
      <c r="E70" s="80"/>
      <c r="F70" s="80"/>
      <c r="G70" s="80"/>
      <c r="H70" s="80"/>
      <c r="I70" s="80"/>
      <c r="J70" s="80"/>
      <c r="K70" s="80"/>
      <c r="L70" s="80"/>
      <c r="M70" s="80"/>
      <c r="N70" s="80"/>
      <c r="O70" s="80"/>
      <c r="P70" s="80"/>
      <c r="Q70" s="80"/>
      <c r="R70" s="80"/>
      <c r="S70" s="72"/>
    </row>
    <row r="71" spans="1:19">
      <c r="A71" s="72" t="s">
        <v>1132</v>
      </c>
      <c r="B71" s="72"/>
      <c r="C71" s="72"/>
      <c r="D71" s="72"/>
      <c r="E71" s="72"/>
      <c r="F71" s="72"/>
      <c r="G71" s="72"/>
      <c r="H71" s="72"/>
      <c r="I71" s="72"/>
      <c r="J71" s="72"/>
      <c r="K71" s="72"/>
      <c r="L71" s="72"/>
      <c r="M71" s="72"/>
      <c r="N71" s="72"/>
      <c r="O71" s="72"/>
      <c r="P71" s="72"/>
      <c r="Q71" s="72"/>
      <c r="R71" s="72"/>
      <c r="S71" s="72"/>
    </row>
    <row r="72" spans="1:19">
      <c r="A72" s="72" t="s">
        <v>1133</v>
      </c>
      <c r="B72" s="72"/>
      <c r="C72" s="72"/>
      <c r="D72" s="72"/>
      <c r="E72" s="72"/>
      <c r="F72" s="72"/>
      <c r="G72" s="72"/>
      <c r="H72" s="72"/>
      <c r="I72" s="72"/>
      <c r="J72" s="72"/>
      <c r="K72" s="72"/>
      <c r="L72" s="72"/>
      <c r="M72" s="72"/>
      <c r="N72" s="72"/>
      <c r="O72" s="72"/>
      <c r="P72" s="72"/>
      <c r="Q72" s="72"/>
      <c r="R72" s="72"/>
      <c r="S72" s="72"/>
    </row>
    <row r="73" spans="1:19">
      <c r="A73" s="72" t="s">
        <v>1134</v>
      </c>
      <c r="B73" s="72"/>
      <c r="C73" s="72"/>
      <c r="D73" s="72"/>
      <c r="E73" s="72"/>
      <c r="F73" s="72"/>
      <c r="G73" s="72"/>
      <c r="H73" s="72"/>
      <c r="I73" s="72"/>
      <c r="J73" s="72"/>
      <c r="K73" s="72"/>
      <c r="L73" s="72"/>
      <c r="M73" s="72"/>
      <c r="N73" s="72"/>
      <c r="O73" s="72"/>
      <c r="P73" s="72"/>
      <c r="Q73" s="72"/>
      <c r="R73" s="72"/>
      <c r="S73" s="72"/>
    </row>
    <row r="74" spans="1:19">
      <c r="A74" s="72"/>
      <c r="B74" s="72"/>
      <c r="C74" s="72"/>
      <c r="D74" s="72"/>
      <c r="E74" s="72"/>
      <c r="F74" s="72"/>
      <c r="G74" s="72"/>
      <c r="H74" s="72"/>
      <c r="I74" s="72"/>
      <c r="J74" s="72"/>
      <c r="K74" s="72"/>
      <c r="L74" s="72"/>
      <c r="M74" s="72"/>
      <c r="N74" s="72"/>
      <c r="O74" s="72"/>
      <c r="P74" s="72"/>
      <c r="Q74" s="72"/>
      <c r="R74" s="72"/>
      <c r="S74" s="72"/>
    </row>
    <row r="75" spans="1:19">
      <c r="A75" s="72"/>
      <c r="B75" s="72"/>
      <c r="C75" s="72"/>
      <c r="D75" s="72"/>
      <c r="E75" s="72"/>
      <c r="F75" s="72"/>
      <c r="G75" s="72"/>
      <c r="H75" s="72"/>
      <c r="I75" s="72"/>
      <c r="J75" s="72"/>
      <c r="K75" s="72"/>
      <c r="L75" s="72"/>
      <c r="M75" s="72"/>
      <c r="N75" s="72"/>
      <c r="O75" s="72"/>
      <c r="P75" s="72"/>
      <c r="Q75" s="72"/>
      <c r="R75" s="72"/>
      <c r="S75" s="72"/>
    </row>
    <row r="76" spans="1:19">
      <c r="A76" s="72"/>
      <c r="B76" s="72"/>
      <c r="C76" s="72"/>
      <c r="D76" s="72"/>
      <c r="E76" s="72"/>
      <c r="F76" s="72"/>
      <c r="G76" s="72"/>
      <c r="H76" s="72"/>
      <c r="I76" s="72"/>
      <c r="J76" s="72"/>
      <c r="K76" s="72"/>
      <c r="L76" s="72"/>
      <c r="M76" s="72"/>
      <c r="N76" s="72"/>
      <c r="O76" s="72"/>
      <c r="P76" s="72"/>
      <c r="Q76" s="72"/>
      <c r="R76" s="72"/>
      <c r="S76" s="72"/>
    </row>
  </sheetData>
  <mergeCells count="6">
    <mergeCell ref="A70:R70"/>
    <mergeCell ref="A1:Q1"/>
    <mergeCell ref="A5:Q5"/>
    <mergeCell ref="A14:Q14"/>
    <mergeCell ref="A2:Q2"/>
    <mergeCell ref="A61:R6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AA2FA-C648-486A-8EC7-61C017C16F0E}">
  <dimension ref="A1:M87"/>
  <sheetViews>
    <sheetView zoomScale="73" zoomScaleNormal="73" workbookViewId="0">
      <selection activeCell="A67" sqref="A67"/>
    </sheetView>
  </sheetViews>
  <sheetFormatPr defaultRowHeight="14.5"/>
  <cols>
    <col min="1" max="1" width="28.453125" bestFit="1" customWidth="1"/>
    <col min="2" max="2" width="30.7265625" bestFit="1" customWidth="1"/>
    <col min="3" max="3" width="26.81640625" bestFit="1" customWidth="1"/>
    <col min="4" max="4" width="26.453125" bestFit="1" customWidth="1"/>
    <col min="5" max="5" width="30.54296875" bestFit="1" customWidth="1"/>
    <col min="6" max="6" width="30.7265625" bestFit="1" customWidth="1"/>
    <col min="7" max="7" width="11.81640625" hidden="1" customWidth="1"/>
    <col min="8" max="8" width="11.81640625" bestFit="1" customWidth="1"/>
    <col min="9" max="9" width="12.453125" bestFit="1" customWidth="1"/>
    <col min="10" max="10" width="35.7265625" bestFit="1" customWidth="1"/>
    <col min="11" max="11" width="35.6328125" bestFit="1" customWidth="1"/>
    <col min="12" max="13" width="20" bestFit="1" customWidth="1"/>
    <col min="14" max="14" width="19" bestFit="1" customWidth="1"/>
    <col min="15" max="30" width="6.6328125" bestFit="1" customWidth="1"/>
    <col min="31" max="31" width="11.6328125" bestFit="1" customWidth="1"/>
  </cols>
  <sheetData>
    <row r="1" spans="1:13">
      <c r="A1" t="s">
        <v>1095</v>
      </c>
      <c r="B1" t="s">
        <v>1096</v>
      </c>
      <c r="C1" t="s">
        <v>1097</v>
      </c>
      <c r="D1" t="s">
        <v>1098</v>
      </c>
    </row>
    <row r="2" spans="1:13">
      <c r="A2" s="24">
        <v>0.38610631613159691</v>
      </c>
      <c r="B2" s="24">
        <v>0.47977543646460397</v>
      </c>
      <c r="C2" s="24">
        <v>0.34273263968648005</v>
      </c>
      <c r="D2" s="24">
        <v>0.44492103304876296</v>
      </c>
      <c r="J2" s="51"/>
      <c r="K2" s="51"/>
      <c r="L2" s="51"/>
      <c r="M2" s="51"/>
    </row>
    <row r="3" spans="1:13">
      <c r="J3" s="51"/>
      <c r="K3" s="51"/>
      <c r="L3" s="51"/>
      <c r="M3" s="51"/>
    </row>
    <row r="4" spans="1:13" s="24" customFormat="1">
      <c r="A4" t="s">
        <v>944</v>
      </c>
      <c r="B4" t="s">
        <v>943</v>
      </c>
      <c r="C4"/>
      <c r="D4"/>
      <c r="E4"/>
      <c r="F4"/>
    </row>
    <row r="5" spans="1:13">
      <c r="A5" s="24">
        <v>855.71249999999998</v>
      </c>
      <c r="B5" s="24">
        <v>259.82069422603303</v>
      </c>
      <c r="J5" s="51"/>
      <c r="K5" s="51"/>
      <c r="L5" s="51"/>
      <c r="M5" s="51"/>
    </row>
    <row r="6" spans="1:13">
      <c r="J6" s="51"/>
      <c r="K6" s="51"/>
      <c r="L6" s="51"/>
      <c r="M6" s="51"/>
    </row>
    <row r="7" spans="1:13">
      <c r="A7" t="s">
        <v>1100</v>
      </c>
      <c r="B7" t="s">
        <v>1099</v>
      </c>
      <c r="J7" s="51"/>
      <c r="K7" s="51"/>
      <c r="L7" s="51"/>
      <c r="M7" s="51"/>
    </row>
    <row r="8" spans="1:13">
      <c r="A8" s="24">
        <v>21069.599999999995</v>
      </c>
      <c r="B8" s="24">
        <v>26364.200000000004</v>
      </c>
      <c r="J8" s="51"/>
      <c r="K8" s="51"/>
      <c r="L8" s="51"/>
      <c r="M8" s="51"/>
    </row>
    <row r="9" spans="1:13">
      <c r="J9" s="51"/>
      <c r="K9" s="51"/>
      <c r="L9" s="51"/>
      <c r="M9" s="51"/>
    </row>
    <row r="10" spans="1:13">
      <c r="J10" s="51"/>
      <c r="K10" s="51"/>
      <c r="L10" s="51"/>
      <c r="M10" s="51"/>
    </row>
    <row r="11" spans="1:13">
      <c r="A11" t="s">
        <v>1101</v>
      </c>
      <c r="J11" s="51"/>
      <c r="K11" s="51"/>
      <c r="L11" s="51"/>
      <c r="M11" s="51"/>
    </row>
    <row r="12" spans="1:13">
      <c r="A12" s="24">
        <v>733.26874999999995</v>
      </c>
      <c r="J12" s="51"/>
      <c r="K12" s="51"/>
      <c r="L12" s="51"/>
      <c r="M12" s="51"/>
    </row>
    <row r="13" spans="1:13">
      <c r="J13" s="51"/>
      <c r="K13" s="51"/>
      <c r="L13" s="51"/>
      <c r="M13" s="51"/>
    </row>
    <row r="14" spans="1:13">
      <c r="J14" s="51"/>
      <c r="K14" s="51"/>
      <c r="L14" s="51"/>
      <c r="M14" s="51"/>
    </row>
    <row r="15" spans="1:13">
      <c r="J15" s="51"/>
      <c r="K15" s="51"/>
      <c r="L15" s="51"/>
      <c r="M15" s="51"/>
    </row>
    <row r="16" spans="1:13">
      <c r="J16" s="51"/>
      <c r="K16" s="51"/>
      <c r="L16" s="51"/>
      <c r="M16" s="51"/>
    </row>
    <row r="17" spans="1:13">
      <c r="J17" s="51"/>
      <c r="K17" s="51"/>
      <c r="L17" s="51"/>
      <c r="M17" s="51"/>
    </row>
    <row r="18" spans="1:13">
      <c r="A18" s="82" t="s">
        <v>938</v>
      </c>
      <c r="B18" s="84" t="s">
        <v>1102</v>
      </c>
      <c r="D18" s="82" t="s">
        <v>938</v>
      </c>
      <c r="E18" s="84" t="s">
        <v>1102</v>
      </c>
      <c r="J18" s="51"/>
      <c r="K18" s="51"/>
      <c r="L18" s="51"/>
      <c r="M18" s="51"/>
    </row>
    <row r="19" spans="1:13">
      <c r="A19" s="83"/>
      <c r="B19" s="84"/>
      <c r="D19" s="83"/>
      <c r="E19" s="84"/>
      <c r="J19" s="51"/>
      <c r="K19" s="51"/>
      <c r="L19" s="51"/>
      <c r="M19" s="51"/>
    </row>
    <row r="20" spans="1:13">
      <c r="A20" s="29" t="s">
        <v>911</v>
      </c>
      <c r="B20" s="51">
        <v>0.9731784656215281</v>
      </c>
      <c r="D20" s="29" t="s">
        <v>883</v>
      </c>
      <c r="E20" s="51">
        <v>0.54223788939206796</v>
      </c>
      <c r="J20" s="51"/>
      <c r="K20" s="51"/>
      <c r="L20" s="51"/>
      <c r="M20" s="51"/>
    </row>
    <row r="21" spans="1:13">
      <c r="A21" s="29" t="s">
        <v>887</v>
      </c>
      <c r="B21" s="51">
        <v>0.89656930884400365</v>
      </c>
      <c r="D21" s="29" t="s">
        <v>862</v>
      </c>
      <c r="E21" s="51">
        <v>0.5535985373630945</v>
      </c>
      <c r="J21" s="51"/>
      <c r="K21" s="51"/>
      <c r="L21" s="51"/>
      <c r="M21" s="51"/>
    </row>
    <row r="22" spans="1:13">
      <c r="A22" s="29" t="s">
        <v>861</v>
      </c>
      <c r="B22" s="51">
        <v>0.80471318158100691</v>
      </c>
      <c r="D22" s="29" t="s">
        <v>857</v>
      </c>
      <c r="E22" s="51">
        <v>0.55518355257020247</v>
      </c>
      <c r="J22" s="51"/>
      <c r="K22" s="51"/>
      <c r="L22" s="51"/>
      <c r="M22" s="51"/>
    </row>
    <row r="23" spans="1:13">
      <c r="A23" s="29" t="s">
        <v>866</v>
      </c>
      <c r="B23" s="51">
        <v>0.78899918032786887</v>
      </c>
      <c r="D23" s="29" t="s">
        <v>870</v>
      </c>
      <c r="E23" s="51">
        <v>0.55711639467266938</v>
      </c>
      <c r="J23" s="51"/>
      <c r="K23" s="51"/>
      <c r="L23" s="51"/>
      <c r="M23" s="51"/>
    </row>
    <row r="24" spans="1:13">
      <c r="A24" s="29" t="s">
        <v>879</v>
      </c>
      <c r="B24" s="51">
        <v>0.7641512030193427</v>
      </c>
      <c r="D24" s="29" t="s">
        <v>871</v>
      </c>
      <c r="E24" s="51">
        <v>0.58172410252693629</v>
      </c>
      <c r="J24" s="51"/>
      <c r="K24" s="51"/>
      <c r="L24" s="51"/>
      <c r="M24" s="51"/>
    </row>
    <row r="25" spans="1:13">
      <c r="A25" s="29" t="s">
        <v>860</v>
      </c>
      <c r="B25" s="51">
        <v>0.75176329018602195</v>
      </c>
      <c r="D25" s="29" t="s">
        <v>885</v>
      </c>
      <c r="E25" s="51">
        <v>0.60737192884677904</v>
      </c>
      <c r="J25" s="51"/>
      <c r="K25" s="51"/>
      <c r="L25" s="51"/>
      <c r="M25" s="51"/>
    </row>
    <row r="26" spans="1:13">
      <c r="A26" s="29" t="s">
        <v>873</v>
      </c>
      <c r="B26" s="51">
        <v>0.74659994452662715</v>
      </c>
      <c r="D26" s="29" t="s">
        <v>913</v>
      </c>
      <c r="E26" s="51">
        <v>0.60934349509669139</v>
      </c>
      <c r="J26" s="51"/>
      <c r="K26" s="51"/>
      <c r="L26" s="51"/>
      <c r="M26" s="51"/>
    </row>
    <row r="27" spans="1:13">
      <c r="A27" s="29" t="s">
        <v>884</v>
      </c>
      <c r="B27" s="51">
        <v>0.7223176233963905</v>
      </c>
      <c r="D27" s="29" t="s">
        <v>920</v>
      </c>
      <c r="E27" s="51">
        <v>0.61411963996763752</v>
      </c>
      <c r="J27" s="51"/>
      <c r="K27" s="51"/>
      <c r="L27" s="51"/>
      <c r="M27" s="51"/>
    </row>
    <row r="28" spans="1:13">
      <c r="A28" s="29" t="s">
        <v>858</v>
      </c>
      <c r="B28" s="51">
        <v>0.72169738863287258</v>
      </c>
      <c r="D28" s="29" t="s">
        <v>865</v>
      </c>
      <c r="E28" s="51">
        <v>0.61617668311988605</v>
      </c>
      <c r="J28" s="51"/>
      <c r="K28" s="51"/>
      <c r="L28" s="51"/>
      <c r="M28" s="51"/>
    </row>
    <row r="29" spans="1:13">
      <c r="A29" s="30" t="s">
        <v>891</v>
      </c>
      <c r="B29" s="51">
        <v>0.72071130418230278</v>
      </c>
      <c r="D29" s="29" t="s">
        <v>886</v>
      </c>
      <c r="E29" s="51">
        <v>0.61684157476580104</v>
      </c>
      <c r="J29" s="51"/>
      <c r="K29" s="51"/>
      <c r="L29" s="51"/>
      <c r="M29" s="51"/>
    </row>
    <row r="30" spans="1:13">
      <c r="A30" s="29" t="s">
        <v>863</v>
      </c>
      <c r="B30" s="51">
        <v>0.68901930003894096</v>
      </c>
      <c r="D30" s="29" t="s">
        <v>878</v>
      </c>
      <c r="E30" s="51">
        <v>0.62070630081300804</v>
      </c>
      <c r="J30" s="51"/>
      <c r="K30" s="51"/>
      <c r="L30" s="51"/>
      <c r="M30" s="51"/>
    </row>
    <row r="31" spans="1:13">
      <c r="A31" s="29" t="s">
        <v>872</v>
      </c>
      <c r="B31" s="51">
        <v>0.68762987259214314</v>
      </c>
      <c r="D31" s="29" t="s">
        <v>877</v>
      </c>
      <c r="E31" s="51">
        <v>0.62635605417138551</v>
      </c>
      <c r="J31" s="51"/>
      <c r="K31" s="51"/>
      <c r="L31" s="51"/>
      <c r="M31" s="51"/>
    </row>
    <row r="32" spans="1:13">
      <c r="A32" s="29" t="s">
        <v>868</v>
      </c>
      <c r="B32" s="51">
        <v>0.68171544380324278</v>
      </c>
      <c r="D32" s="29" t="s">
        <v>859</v>
      </c>
      <c r="E32" s="51">
        <v>0.62661360002063338</v>
      </c>
      <c r="J32" s="51"/>
      <c r="K32" s="51"/>
      <c r="L32" s="51"/>
      <c r="M32" s="51"/>
    </row>
    <row r="33" spans="1:13">
      <c r="A33" s="29" t="s">
        <v>903</v>
      </c>
      <c r="B33" s="51">
        <v>0.67801007096639532</v>
      </c>
      <c r="D33" s="29" t="s">
        <v>880</v>
      </c>
      <c r="E33" s="51">
        <v>0.63963222471350267</v>
      </c>
      <c r="J33" s="51"/>
      <c r="K33" s="51"/>
      <c r="L33" s="51"/>
      <c r="M33" s="51"/>
    </row>
    <row r="34" spans="1:13" hidden="1">
      <c r="A34" s="29" t="s">
        <v>876</v>
      </c>
      <c r="B34" s="51">
        <v>0.67655845038040308</v>
      </c>
      <c r="D34" s="29" t="s">
        <v>876</v>
      </c>
      <c r="E34" s="51">
        <v>0.67655845038040308</v>
      </c>
      <c r="J34" s="51"/>
      <c r="K34" s="51"/>
      <c r="L34" s="51"/>
      <c r="M34" s="51"/>
    </row>
    <row r="35" spans="1:13" hidden="1">
      <c r="A35" s="29" t="s">
        <v>882</v>
      </c>
      <c r="B35" s="51">
        <v>0.66951401217347195</v>
      </c>
      <c r="D35" s="29" t="s">
        <v>882</v>
      </c>
      <c r="E35" s="51">
        <v>0.66951401217347195</v>
      </c>
      <c r="J35" s="51"/>
      <c r="K35" s="51"/>
      <c r="L35" s="51"/>
      <c r="M35" s="51"/>
    </row>
    <row r="36" spans="1:13">
      <c r="A36" s="29" t="s">
        <v>869</v>
      </c>
      <c r="B36" s="51">
        <v>0.65022663877266385</v>
      </c>
      <c r="D36" s="29" t="s">
        <v>864</v>
      </c>
      <c r="E36" s="51">
        <v>0.6469062725678324</v>
      </c>
    </row>
    <row r="37" spans="1:13">
      <c r="A37" s="29" t="s">
        <v>864</v>
      </c>
      <c r="B37" s="51">
        <v>0.6469062725678324</v>
      </c>
      <c r="D37" s="29" t="s">
        <v>869</v>
      </c>
      <c r="E37" s="51">
        <v>0.65022663877266385</v>
      </c>
    </row>
    <row r="38" spans="1:13">
      <c r="A38" s="29" t="s">
        <v>880</v>
      </c>
      <c r="B38" s="51">
        <v>0.63963222471350267</v>
      </c>
      <c r="D38" s="29" t="s">
        <v>903</v>
      </c>
      <c r="E38" s="51">
        <v>0.67801007096639532</v>
      </c>
    </row>
    <row r="39" spans="1:13">
      <c r="A39" s="29" t="s">
        <v>859</v>
      </c>
      <c r="B39" s="51">
        <v>0.62661360002063338</v>
      </c>
      <c r="D39" s="29" t="s">
        <v>868</v>
      </c>
      <c r="E39" s="51">
        <v>0.68171544380324278</v>
      </c>
    </row>
    <row r="40" spans="1:13">
      <c r="A40" s="29" t="s">
        <v>877</v>
      </c>
      <c r="B40" s="51">
        <v>0.62635605417138551</v>
      </c>
      <c r="D40" s="29" t="s">
        <v>872</v>
      </c>
      <c r="E40" s="51">
        <v>0.68762987259214314</v>
      </c>
    </row>
    <row r="41" spans="1:13">
      <c r="A41" s="29" t="s">
        <v>878</v>
      </c>
      <c r="B41" s="51">
        <v>0.62070630081300804</v>
      </c>
      <c r="D41" s="29" t="s">
        <v>863</v>
      </c>
      <c r="E41" s="51">
        <v>0.68901930003894096</v>
      </c>
    </row>
    <row r="42" spans="1:13">
      <c r="A42" s="29" t="s">
        <v>886</v>
      </c>
      <c r="B42" s="51">
        <v>0.61684157476580104</v>
      </c>
      <c r="D42" s="30" t="s">
        <v>891</v>
      </c>
      <c r="E42" s="51">
        <v>0.72071130418230278</v>
      </c>
    </row>
    <row r="43" spans="1:13">
      <c r="A43" s="29" t="s">
        <v>865</v>
      </c>
      <c r="B43" s="51">
        <v>0.61617668311988605</v>
      </c>
      <c r="D43" s="29" t="s">
        <v>858</v>
      </c>
      <c r="E43" s="51">
        <v>0.72169738863287258</v>
      </c>
    </row>
    <row r="44" spans="1:13">
      <c r="A44" s="29" t="s">
        <v>920</v>
      </c>
      <c r="B44" s="51">
        <v>0.61411963996763752</v>
      </c>
      <c r="D44" s="29" t="s">
        <v>884</v>
      </c>
      <c r="E44" s="51">
        <v>0.7223176233963905</v>
      </c>
    </row>
    <row r="45" spans="1:13">
      <c r="A45" s="29" t="s">
        <v>913</v>
      </c>
      <c r="B45" s="51">
        <v>0.60934349509669139</v>
      </c>
      <c r="D45" s="29" t="s">
        <v>873</v>
      </c>
      <c r="E45" s="51">
        <v>0.74659994452662715</v>
      </c>
    </row>
    <row r="46" spans="1:13">
      <c r="A46" s="29" t="s">
        <v>885</v>
      </c>
      <c r="B46" s="51">
        <v>0.60737192884677904</v>
      </c>
      <c r="D46" s="29" t="s">
        <v>860</v>
      </c>
      <c r="E46" s="51">
        <v>0.75176329018602195</v>
      </c>
    </row>
    <row r="47" spans="1:13">
      <c r="A47" s="29" t="s">
        <v>871</v>
      </c>
      <c r="B47" s="51">
        <v>0.58172410252693629</v>
      </c>
      <c r="D47" s="29" t="s">
        <v>879</v>
      </c>
      <c r="E47" s="51">
        <v>0.7641512030193427</v>
      </c>
    </row>
    <row r="48" spans="1:13">
      <c r="A48" s="29" t="s">
        <v>870</v>
      </c>
      <c r="B48" s="51">
        <v>0.55711639467266938</v>
      </c>
      <c r="D48" s="29" t="s">
        <v>866</v>
      </c>
      <c r="E48" s="51">
        <v>0.78899918032786887</v>
      </c>
    </row>
    <row r="49" spans="1:5">
      <c r="A49" s="29" t="s">
        <v>857</v>
      </c>
      <c r="B49" s="51">
        <v>0.55518355257020247</v>
      </c>
      <c r="D49" s="29" t="s">
        <v>861</v>
      </c>
      <c r="E49" s="51">
        <v>0.80471318158100691</v>
      </c>
    </row>
    <row r="50" spans="1:5">
      <c r="A50" s="29" t="s">
        <v>862</v>
      </c>
      <c r="B50" s="51">
        <v>0.5535985373630945</v>
      </c>
      <c r="D50" s="29" t="s">
        <v>887</v>
      </c>
      <c r="E50" s="51">
        <v>0.89656930884400365</v>
      </c>
    </row>
    <row r="51" spans="1:5">
      <c r="A51" s="29" t="s">
        <v>883</v>
      </c>
      <c r="B51" s="51">
        <v>0.54223788939206796</v>
      </c>
      <c r="D51" s="29" t="s">
        <v>911</v>
      </c>
      <c r="E51" s="51">
        <v>0.9731784656215281</v>
      </c>
    </row>
    <row r="55" spans="1:5">
      <c r="A55" s="52"/>
      <c r="B55" s="52"/>
    </row>
    <row r="56" spans="1:5">
      <c r="B56" s="51"/>
    </row>
    <row r="57" spans="1:5">
      <c r="B57" s="51"/>
    </row>
    <row r="58" spans="1:5">
      <c r="B58" s="51"/>
    </row>
    <row r="59" spans="1:5">
      <c r="B59" s="51"/>
    </row>
    <row r="60" spans="1:5">
      <c r="B60" s="51"/>
    </row>
    <row r="61" spans="1:5">
      <c r="B61" s="51"/>
    </row>
    <row r="62" spans="1:5">
      <c r="B62" s="51"/>
    </row>
    <row r="63" spans="1:5">
      <c r="B63" s="51"/>
    </row>
    <row r="64" spans="1:5">
      <c r="B64" s="51"/>
    </row>
    <row r="65" spans="2:2">
      <c r="B65" s="51"/>
    </row>
    <row r="66" spans="2:2">
      <c r="B66" s="51"/>
    </row>
    <row r="67" spans="2:2">
      <c r="B67" s="51"/>
    </row>
    <row r="68" spans="2:2">
      <c r="B68" s="51"/>
    </row>
    <row r="69" spans="2:2">
      <c r="B69" s="51"/>
    </row>
    <row r="70" spans="2:2">
      <c r="B70" s="51"/>
    </row>
    <row r="71" spans="2:2">
      <c r="B71" s="51"/>
    </row>
    <row r="72" spans="2:2">
      <c r="B72" s="51"/>
    </row>
    <row r="73" spans="2:2">
      <c r="B73" s="51"/>
    </row>
    <row r="74" spans="2:2">
      <c r="B74" s="51"/>
    </row>
    <row r="75" spans="2:2">
      <c r="B75" s="51"/>
    </row>
    <row r="76" spans="2:2">
      <c r="B76" s="51"/>
    </row>
    <row r="77" spans="2:2">
      <c r="B77" s="51"/>
    </row>
    <row r="78" spans="2:2">
      <c r="B78" s="51"/>
    </row>
    <row r="79" spans="2:2">
      <c r="B79" s="51"/>
    </row>
    <row r="80" spans="2:2">
      <c r="B80" s="51"/>
    </row>
    <row r="81" spans="2:2">
      <c r="B81" s="51"/>
    </row>
    <row r="82" spans="2:2">
      <c r="B82" s="51"/>
    </row>
    <row r="83" spans="2:2">
      <c r="B83" s="51"/>
    </row>
    <row r="84" spans="2:2">
      <c r="B84" s="51"/>
    </row>
    <row r="85" spans="2:2">
      <c r="B85" s="51"/>
    </row>
    <row r="86" spans="2:2">
      <c r="B86" s="51"/>
    </row>
    <row r="87" spans="2:2">
      <c r="B87" s="51"/>
    </row>
  </sheetData>
  <mergeCells count="4">
    <mergeCell ref="A18:A19"/>
    <mergeCell ref="B18:B19"/>
    <mergeCell ref="D18:D19"/>
    <mergeCell ref="E18: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0072C-2E85-4E05-8484-B3A3B96D8AA5}">
  <dimension ref="A1:AI103"/>
  <sheetViews>
    <sheetView topLeftCell="A8" zoomScale="73" zoomScaleNormal="85" workbookViewId="0">
      <selection activeCell="AG1" activeCellId="1" sqref="AE1:AE34 AG1:AG34"/>
    </sheetView>
  </sheetViews>
  <sheetFormatPr defaultRowHeight="14.5"/>
  <cols>
    <col min="1" max="1" width="23.453125" bestFit="1" customWidth="1"/>
    <col min="2" max="2" width="34" bestFit="1" customWidth="1"/>
    <col min="3" max="3" width="30" bestFit="1" customWidth="1"/>
    <col min="4" max="4" width="32.7265625" bestFit="1" customWidth="1"/>
    <col min="5" max="5" width="36.08984375" bestFit="1" customWidth="1"/>
    <col min="6" max="6" width="35.90625" bestFit="1" customWidth="1"/>
    <col min="7" max="7" width="31.453125" bestFit="1" customWidth="1"/>
    <col min="8" max="8" width="22.54296875" bestFit="1" customWidth="1"/>
    <col min="9" max="9" width="25.36328125" bestFit="1" customWidth="1"/>
    <col min="10" max="11" width="9" bestFit="1" customWidth="1"/>
    <col min="12" max="13" width="8.81640625" bestFit="1" customWidth="1"/>
    <col min="14" max="14" width="9.1796875" bestFit="1" customWidth="1"/>
    <col min="15" max="15" width="9" bestFit="1" customWidth="1"/>
    <col min="16" max="16" width="18.453125" bestFit="1" customWidth="1"/>
    <col min="17" max="17" width="19.36328125" bestFit="1" customWidth="1"/>
    <col min="18" max="18" width="18.81640625" bestFit="1" customWidth="1"/>
    <col min="19" max="19" width="20.7265625" bestFit="1" customWidth="1"/>
    <col min="20" max="20" width="33.453125" bestFit="1" customWidth="1"/>
    <col min="21" max="21" width="21.81640625" bestFit="1" customWidth="1"/>
    <col min="22" max="22" width="12.54296875" bestFit="1" customWidth="1"/>
    <col min="23" max="23" width="13.6328125" bestFit="1" customWidth="1"/>
    <col min="24" max="24" width="25.36328125" bestFit="1" customWidth="1"/>
    <col min="25" max="25" width="23.08984375" bestFit="1" customWidth="1"/>
    <col min="26" max="26" width="45.54296875" bestFit="1" customWidth="1"/>
    <col min="27" max="27" width="54.6328125" bestFit="1" customWidth="1"/>
    <col min="28" max="28" width="35.90625" bestFit="1" customWidth="1"/>
    <col min="29" max="29" width="35.54296875" bestFit="1" customWidth="1"/>
    <col min="30" max="30" width="36.08984375" bestFit="1" customWidth="1"/>
    <col min="31" max="31" width="48.36328125" bestFit="1" customWidth="1"/>
    <col min="32" max="32" width="49.453125" bestFit="1" customWidth="1"/>
    <col min="33" max="33" width="30" bestFit="1" customWidth="1"/>
    <col min="34" max="34" width="27.54296875" style="66" bestFit="1" customWidth="1"/>
  </cols>
  <sheetData>
    <row r="1" spans="1:34">
      <c r="A1" s="82" t="s">
        <v>938</v>
      </c>
      <c r="B1" s="82" t="s">
        <v>930</v>
      </c>
      <c r="C1" s="32" t="s">
        <v>933</v>
      </c>
      <c r="D1" s="32" t="s">
        <v>934</v>
      </c>
      <c r="E1" s="32" t="s">
        <v>931</v>
      </c>
      <c r="F1" s="32" t="s">
        <v>932</v>
      </c>
      <c r="G1" s="32" t="s">
        <v>945</v>
      </c>
      <c r="H1" s="23" t="s">
        <v>847</v>
      </c>
      <c r="I1" s="23" t="s">
        <v>848</v>
      </c>
      <c r="J1" s="23" t="s">
        <v>849</v>
      </c>
      <c r="K1" s="23" t="s">
        <v>850</v>
      </c>
      <c r="L1" s="23" t="s">
        <v>851</v>
      </c>
      <c r="M1" s="23" t="s">
        <v>852</v>
      </c>
      <c r="N1" s="23" t="s">
        <v>853</v>
      </c>
      <c r="O1" s="23" t="s">
        <v>854</v>
      </c>
      <c r="P1" t="str">
        <f>_xlfn.XLOOKUP(A1,'JTS0501 2022'!BY:BY,'JTS0501 2022'!BZ:BZ)</f>
        <v>5000EmpPTt</v>
      </c>
      <c r="Q1" t="str">
        <f>_xlfn.XLOOKUP(A1,'JTS0501 2022'!BY:BY,'JTS0501 2022'!CI:CI)</f>
        <v>5000EmpCyct</v>
      </c>
      <c r="R1" t="str">
        <f>_xlfn.XLOOKUP(A1,'JTS0501 2022'!BY:BY,'JTS0501 2022'!CR:CR)</f>
        <v>5000EmpCart</v>
      </c>
      <c r="S1" t="str">
        <f>_xlfn.XLOOKUP(A1,'JTS0501 2022'!BY:BY,'JTS0501 2022'!DA:DA)</f>
        <v>5000EmpWalkt</v>
      </c>
      <c r="T1" s="36" t="s">
        <v>1073</v>
      </c>
      <c r="U1" s="36" t="s">
        <v>1070</v>
      </c>
      <c r="V1" s="36" t="s">
        <v>1066</v>
      </c>
      <c r="W1" s="36" t="s">
        <v>1068</v>
      </c>
      <c r="X1" s="36" t="s">
        <v>1072</v>
      </c>
      <c r="Y1" s="36" t="s">
        <v>1071</v>
      </c>
      <c r="Z1" s="52" t="s">
        <v>1075</v>
      </c>
      <c r="AA1" s="52" t="s">
        <v>1106</v>
      </c>
      <c r="AB1" s="52" t="s">
        <v>1105</v>
      </c>
      <c r="AC1" s="52" t="s">
        <v>1104</v>
      </c>
      <c r="AD1" s="52" t="s">
        <v>1103</v>
      </c>
      <c r="AE1" s="52" t="s">
        <v>1081</v>
      </c>
      <c r="AF1" s="52" t="s">
        <v>1085</v>
      </c>
      <c r="AG1" s="52" t="s">
        <v>1102</v>
      </c>
      <c r="AH1" s="69" t="s">
        <v>1107</v>
      </c>
    </row>
    <row r="2" spans="1:34" hidden="1">
      <c r="A2" s="83"/>
      <c r="B2" s="83"/>
      <c r="C2" s="33"/>
      <c r="D2" s="33"/>
      <c r="E2" s="32"/>
      <c r="F2" s="33"/>
      <c r="H2" s="25">
        <v>811.92666666666673</v>
      </c>
      <c r="I2" s="25">
        <v>947.24777777777797</v>
      </c>
      <c r="J2" s="25">
        <v>1082.568888888889</v>
      </c>
      <c r="K2" s="25">
        <v>1217.8900000000001</v>
      </c>
      <c r="L2" s="25">
        <v>1488.5322222222223</v>
      </c>
      <c r="M2" s="25">
        <v>1759.1744444444446</v>
      </c>
      <c r="N2" s="25">
        <v>2029.8166666666668</v>
      </c>
      <c r="O2" s="25">
        <v>2435.7800000000002</v>
      </c>
      <c r="P2">
        <f>_xlfn.XLOOKUP(A2,'JTS0501 2022'!BY:BY,'JTS0501 2022'!BZ:BZ)</f>
        <v>0</v>
      </c>
      <c r="Q2">
        <f>_xlfn.XLOOKUP(A2,'JTS0501 2022'!BY:BY,'JTS0501 2022'!CI:CI)</f>
        <v>0</v>
      </c>
      <c r="R2">
        <f>_xlfn.XLOOKUP(A2,'JTS0501 2022'!BY:BY,'JTS0501 2022'!CR:CR)</f>
        <v>0</v>
      </c>
      <c r="S2">
        <f>_xlfn.XLOOKUP(A2,'JTS0501 2022'!BY:BY,'JTS0501 2022'!DA:DA)</f>
        <v>0</v>
      </c>
      <c r="T2" s="50">
        <v>2400</v>
      </c>
      <c r="U2" s="50">
        <v>1350</v>
      </c>
      <c r="V2" s="50">
        <v>726</v>
      </c>
      <c r="W2" s="50">
        <v>0</v>
      </c>
      <c r="X2" s="50">
        <v>1965</v>
      </c>
      <c r="Y2" s="50">
        <v>1700</v>
      </c>
      <c r="AH2" s="70"/>
    </row>
    <row r="3" spans="1:34">
      <c r="A3" s="29" t="s">
        <v>911</v>
      </c>
      <c r="B3" s="30">
        <v>810.1</v>
      </c>
      <c r="C3" s="31">
        <v>1041.5</v>
      </c>
      <c r="D3" s="31">
        <v>691.5</v>
      </c>
      <c r="E3" s="34">
        <f>_xlfn.FORECAST.LINEAR(19,A20:A49,B20:B49)</f>
        <v>349.71723421033226</v>
      </c>
      <c r="F3" s="31">
        <v>988</v>
      </c>
      <c r="G3" s="67" t="s">
        <v>958</v>
      </c>
      <c r="H3" s="25">
        <v>1019.8999999999999</v>
      </c>
      <c r="I3" s="25">
        <v>1189.8833333333332</v>
      </c>
      <c r="J3" s="25">
        <v>1359.8666666666666</v>
      </c>
      <c r="K3" s="25">
        <v>1529.85</v>
      </c>
      <c r="L3" s="25">
        <v>1869.8166666666666</v>
      </c>
      <c r="M3" s="25">
        <v>2209.7833333333333</v>
      </c>
      <c r="N3" s="25">
        <v>2549.75</v>
      </c>
      <c r="O3" s="25">
        <v>3059.7</v>
      </c>
      <c r="P3">
        <f>_xlfn.XLOOKUP(A3,'JTS0501 2022'!BY:BY,'JTS0501 2022'!BZ:BZ)</f>
        <v>11.8558967026365</v>
      </c>
      <c r="Q3">
        <f>_xlfn.XLOOKUP(A3,'JTS0501 2022'!BY:BY,'JTS0501 2022'!CI:CI)</f>
        <v>9.2291756122169595</v>
      </c>
      <c r="R3">
        <f>_xlfn.XLOOKUP(A3,'JTS0501 2022'!BY:BY,'JTS0501 2022'!CR:CR)</f>
        <v>9.2115195587472307</v>
      </c>
      <c r="S3">
        <f>_xlfn.XLOOKUP(A3,'JTS0501 2022'!BY:BY,'JTS0501 2022'!DA:DA)</f>
        <v>12.995040955271699</v>
      </c>
      <c r="T3" s="50">
        <v>8000</v>
      </c>
      <c r="U3" s="50">
        <v>2396</v>
      </c>
      <c r="V3" s="50">
        <v>1177</v>
      </c>
      <c r="W3" s="50">
        <v>1603</v>
      </c>
      <c r="X3" s="50">
        <v>5688</v>
      </c>
      <c r="Y3" s="50">
        <v>3358</v>
      </c>
      <c r="Z3" s="51">
        <f t="shared" ref="Z3:Z34" si="0">W3/(C3*4)</f>
        <v>0.38478156505040806</v>
      </c>
      <c r="AA3" s="51">
        <f t="shared" ref="AA3:AA34" si="1">W3/(D3*4)</f>
        <v>0.57953723788864786</v>
      </c>
      <c r="AB3" s="51">
        <f t="shared" ref="AB3:AB34" si="2">Y3/((C3+D3)*4)</f>
        <v>0.48442008078476628</v>
      </c>
      <c r="AC3" s="51">
        <f t="shared" ref="AC3:AC34" si="3">X3/((C3+D3)*4)</f>
        <v>0.82054241200230815</v>
      </c>
      <c r="AD3" s="51">
        <f t="shared" ref="AD3:AD34" si="4">AVERAGE(Z3:AC3)</f>
        <v>0.56732032393153253</v>
      </c>
      <c r="AE3">
        <f t="shared" ref="AE3:AE34" si="5">0.31*P3+0.38*Q3+0.27*R3+0.04*S3</f>
        <v>10.189326629532381</v>
      </c>
      <c r="AF3">
        <f>_xlfn.XLOOKUP(A3,'House Prices'!C:C,'House Prices'!Z:Z)</f>
        <v>22.8</v>
      </c>
      <c r="AG3" s="51">
        <f>(K3+(MEDIAN(T3:Y3)*12)+AH3)/(B3*4*12)</f>
        <v>0.9731784656215281</v>
      </c>
      <c r="AH3" s="70" t="str">
        <f>_xlfn.XLOOKUP(G3,'TfL Fare'!A4:A47,'TfL Fare'!I4:I47)</f>
        <v>£1,788</v>
      </c>
    </row>
    <row r="4" spans="1:34">
      <c r="A4" s="29" t="s">
        <v>887</v>
      </c>
      <c r="B4" s="30">
        <v>843.3</v>
      </c>
      <c r="C4" s="31">
        <v>932</v>
      </c>
      <c r="D4" s="31">
        <v>760.2</v>
      </c>
      <c r="E4" s="31">
        <v>258.10000000000002</v>
      </c>
      <c r="F4" s="31">
        <v>958.2</v>
      </c>
      <c r="G4" s="67" t="s">
        <v>958</v>
      </c>
      <c r="H4" s="25">
        <v>758.34888888888884</v>
      </c>
      <c r="I4" s="25">
        <v>866.68444444444447</v>
      </c>
      <c r="J4" s="25">
        <v>975.02</v>
      </c>
      <c r="K4" s="25">
        <v>1191.691111111111</v>
      </c>
      <c r="L4" s="25">
        <v>1408.3622222222223</v>
      </c>
      <c r="M4" s="25">
        <v>1625.0333333333333</v>
      </c>
      <c r="N4" s="25">
        <v>1950.04</v>
      </c>
      <c r="P4">
        <f>_xlfn.XLOOKUP(A4,'JTS0501 2022'!BY:BY,'JTS0501 2022'!BZ:BZ)</f>
        <v>9.6599693818958006</v>
      </c>
      <c r="Q4">
        <f>_xlfn.XLOOKUP(A4,'JTS0501 2022'!BY:BY,'JTS0501 2022'!CI:CI)</f>
        <v>8.7964300444867405</v>
      </c>
      <c r="R4">
        <f>_xlfn.XLOOKUP(A4,'JTS0501 2022'!BY:BY,'JTS0501 2022'!CR:CR)</f>
        <v>8.0254302420454007</v>
      </c>
      <c r="S4">
        <f>_xlfn.XLOOKUP(A4,'JTS0501 2022'!BY:BY,'JTS0501 2022'!DA:DA)</f>
        <v>11.614199299589499</v>
      </c>
      <c r="T4" s="50">
        <v>9750</v>
      </c>
      <c r="U4" s="50">
        <v>2492</v>
      </c>
      <c r="V4" s="50">
        <v>1000</v>
      </c>
      <c r="W4" s="50">
        <v>1647</v>
      </c>
      <c r="X4" s="50">
        <v>4658</v>
      </c>
      <c r="Y4" s="50">
        <v>3358</v>
      </c>
      <c r="Z4" s="51">
        <f t="shared" si="0"/>
        <v>0.44179184549356221</v>
      </c>
      <c r="AA4" s="51">
        <f t="shared" si="1"/>
        <v>0.54163378058405676</v>
      </c>
      <c r="AB4" s="51">
        <f t="shared" si="2"/>
        <v>0.49609975180238741</v>
      </c>
      <c r="AC4" s="51">
        <f t="shared" si="3"/>
        <v>0.68815742819997638</v>
      </c>
      <c r="AD4" s="51">
        <f t="shared" si="4"/>
        <v>0.54192070151999572</v>
      </c>
      <c r="AE4">
        <f t="shared" si="5"/>
        <v>8.9686680626284989</v>
      </c>
      <c r="AF4">
        <f>_xlfn.XLOOKUP(A4,'House Prices'!C:C,'House Prices'!Z:Z)</f>
        <v>18.309999999999999</v>
      </c>
      <c r="AG4" s="51">
        <f t="shared" ref="AG4:AG34" si="6">(K4+MEDIAN(T4:Y4)*12)/(B4*4*12)</f>
        <v>0.89656930884400365</v>
      </c>
      <c r="AH4" s="70" t="str">
        <f>_xlfn.XLOOKUP(G4,'TfL Fare'!A5:A48,'TfL Fare'!I5:I48)</f>
        <v>£1,788</v>
      </c>
    </row>
    <row r="5" spans="1:34">
      <c r="A5" s="29" t="s">
        <v>861</v>
      </c>
      <c r="B5" s="30">
        <v>766.6</v>
      </c>
      <c r="C5" s="31">
        <v>797.5</v>
      </c>
      <c r="D5" s="31">
        <v>727.6</v>
      </c>
      <c r="E5" s="34">
        <f>_xlfn.FORECAST.LINEAR(6,A35:A64,B35:B64)</f>
        <v>289.41934637927608</v>
      </c>
      <c r="F5" s="31">
        <v>864.8</v>
      </c>
      <c r="G5" t="s">
        <v>950</v>
      </c>
      <c r="H5" s="25">
        <v>1340.58</v>
      </c>
      <c r="I5" s="25">
        <v>1564.01</v>
      </c>
      <c r="J5" s="25">
        <v>1787.4399999999998</v>
      </c>
      <c r="K5" s="25">
        <v>2010.87</v>
      </c>
      <c r="L5" s="25">
        <v>2457.73</v>
      </c>
      <c r="M5" s="25">
        <v>2904.5899999999997</v>
      </c>
      <c r="N5" s="25">
        <v>3351.45</v>
      </c>
      <c r="O5" s="25">
        <v>4021.74</v>
      </c>
      <c r="P5">
        <f>_xlfn.XLOOKUP(A5,'JTS0501 2022'!BY:BY,'JTS0501 2022'!BZ:BZ)</f>
        <v>11.1809441794646</v>
      </c>
      <c r="Q5">
        <f>_xlfn.XLOOKUP(A5,'JTS0501 2022'!BY:BY,'JTS0501 2022'!CI:CI)</f>
        <v>9.4133961952916803</v>
      </c>
      <c r="R5">
        <f>_xlfn.XLOOKUP(A5,'JTS0501 2022'!BY:BY,'JTS0501 2022'!CR:CR)</f>
        <v>8.4902056311952592</v>
      </c>
      <c r="S5">
        <f>_xlfn.XLOOKUP(A5,'JTS0501 2022'!BY:BY,'JTS0501 2022'!DA:DA)</f>
        <v>14.000429159865</v>
      </c>
      <c r="T5" s="50">
        <v>0</v>
      </c>
      <c r="U5" s="50">
        <v>2300</v>
      </c>
      <c r="V5" s="50">
        <v>0</v>
      </c>
      <c r="W5" s="50">
        <v>2300</v>
      </c>
      <c r="X5" s="50">
        <v>4575</v>
      </c>
      <c r="Y5" s="50">
        <v>3075</v>
      </c>
      <c r="Z5" s="51">
        <f t="shared" si="0"/>
        <v>0.72100313479623823</v>
      </c>
      <c r="AA5" s="51">
        <f t="shared" si="1"/>
        <v>0.79026937877954917</v>
      </c>
      <c r="AB5" s="51">
        <f t="shared" si="2"/>
        <v>0.50406530719297094</v>
      </c>
      <c r="AC5" s="51">
        <f t="shared" si="3"/>
        <v>0.74995082289685921</v>
      </c>
      <c r="AD5" s="51">
        <f t="shared" si="4"/>
        <v>0.69132216091640442</v>
      </c>
      <c r="AE5">
        <f t="shared" si="5"/>
        <v>9.8955559366621841</v>
      </c>
      <c r="AF5">
        <f>_xlfn.XLOOKUP(A5,'House Prices'!C:C,'House Prices'!Z:Z)</f>
        <v>16.84</v>
      </c>
      <c r="AG5" s="51">
        <f t="shared" si="6"/>
        <v>0.80471318158100691</v>
      </c>
      <c r="AH5" s="70">
        <f>_xlfn.XLOOKUP(G5,'TfL Fare'!A6:A49,'TfL Fare'!I6:I49)</f>
        <v>2100</v>
      </c>
    </row>
    <row r="6" spans="1:34">
      <c r="A6" s="29" t="s">
        <v>866</v>
      </c>
      <c r="B6" s="30">
        <v>762.5</v>
      </c>
      <c r="C6" s="31">
        <v>811.4</v>
      </c>
      <c r="D6" s="31">
        <v>698.4</v>
      </c>
      <c r="E6" s="31">
        <v>230</v>
      </c>
      <c r="F6" s="31">
        <v>882</v>
      </c>
      <c r="G6" t="s">
        <v>950</v>
      </c>
      <c r="H6" s="25">
        <v>1251.58</v>
      </c>
      <c r="I6" s="25">
        <v>1460.1766666666667</v>
      </c>
      <c r="J6" s="25">
        <v>1668.7733333333333</v>
      </c>
      <c r="K6" s="25">
        <v>1877.37</v>
      </c>
      <c r="L6" s="25">
        <v>2294.5633333333335</v>
      </c>
      <c r="M6" s="25">
        <v>2711.7566666666662</v>
      </c>
      <c r="N6" s="25">
        <v>3128.95</v>
      </c>
      <c r="O6" s="25">
        <v>3754.74</v>
      </c>
      <c r="P6">
        <f>_xlfn.XLOOKUP(A6,'JTS0501 2022'!BY:BY,'JTS0501 2022'!BZ:BZ)</f>
        <v>22.390329527616601</v>
      </c>
      <c r="Q6">
        <f>_xlfn.XLOOKUP(A6,'JTS0501 2022'!BY:BY,'JTS0501 2022'!CI:CI)</f>
        <v>16.6896144062021</v>
      </c>
      <c r="R6">
        <f>_xlfn.XLOOKUP(A6,'JTS0501 2022'!BY:BY,'JTS0501 2022'!CR:CR)</f>
        <v>12.3067558170046</v>
      </c>
      <c r="S6">
        <f>_xlfn.XLOOKUP(A6,'JTS0501 2022'!BY:BY,'JTS0501 2022'!DA:DA)</f>
        <v>37.725420573977701</v>
      </c>
      <c r="T6" s="50">
        <v>3950</v>
      </c>
      <c r="U6" s="50">
        <v>2000</v>
      </c>
      <c r="V6" s="50">
        <v>976</v>
      </c>
      <c r="W6" s="50">
        <v>1280</v>
      </c>
      <c r="X6" s="50">
        <v>3200</v>
      </c>
      <c r="Y6" s="50">
        <v>2500</v>
      </c>
      <c r="Z6" s="51">
        <f t="shared" si="0"/>
        <v>0.39438008380576783</v>
      </c>
      <c r="AA6" s="51">
        <f t="shared" si="1"/>
        <v>0.45819014891179843</v>
      </c>
      <c r="AB6" s="51">
        <f t="shared" si="2"/>
        <v>0.4139621141873096</v>
      </c>
      <c r="AC6" s="51">
        <f t="shared" si="3"/>
        <v>0.52987150615975631</v>
      </c>
      <c r="AD6" s="51">
        <f t="shared" si="4"/>
        <v>0.44910096326615806</v>
      </c>
      <c r="AE6">
        <f t="shared" si="5"/>
        <v>18.114896521468292</v>
      </c>
      <c r="AF6">
        <f>_xlfn.XLOOKUP(A6,'House Prices'!C:C,'House Prices'!Z:Z)</f>
        <v>12.63</v>
      </c>
      <c r="AG6" s="51">
        <f t="shared" si="6"/>
        <v>0.78899918032786887</v>
      </c>
      <c r="AH6" s="70">
        <v>2100</v>
      </c>
    </row>
    <row r="7" spans="1:34">
      <c r="A7" s="29" t="s">
        <v>879</v>
      </c>
      <c r="B7" s="30">
        <v>635.9</v>
      </c>
      <c r="C7" s="31">
        <v>702.4</v>
      </c>
      <c r="D7" s="31">
        <v>577.79999999999995</v>
      </c>
      <c r="E7" s="31">
        <v>246.1</v>
      </c>
      <c r="F7" s="31">
        <v>758.8</v>
      </c>
      <c r="G7" t="s">
        <v>953</v>
      </c>
      <c r="H7" s="25">
        <v>1149.56</v>
      </c>
      <c r="I7" s="25">
        <v>1341.1533333333332</v>
      </c>
      <c r="J7" s="25">
        <v>1532.7466666666667</v>
      </c>
      <c r="K7" s="25">
        <v>1724.34</v>
      </c>
      <c r="L7" s="25">
        <v>2107.5266666666666</v>
      </c>
      <c r="M7" s="25">
        <v>2490.7133333333331</v>
      </c>
      <c r="N7" s="25">
        <v>2873.8999999999996</v>
      </c>
      <c r="O7" s="25">
        <v>3448.68</v>
      </c>
      <c r="P7">
        <f>_xlfn.XLOOKUP(A7,'JTS0501 2022'!BY:BY,'JTS0501 2022'!BZ:BZ)</f>
        <v>18.7025160198497</v>
      </c>
      <c r="Q7">
        <f>_xlfn.XLOOKUP(A7,'JTS0501 2022'!BY:BY,'JTS0501 2022'!CI:CI)</f>
        <v>12.842757539472</v>
      </c>
      <c r="R7">
        <f>_xlfn.XLOOKUP(A7,'JTS0501 2022'!BY:BY,'JTS0501 2022'!CR:CR)</f>
        <v>9.7104840213564891</v>
      </c>
      <c r="S7">
        <f>_xlfn.XLOOKUP(A7,'JTS0501 2022'!BY:BY,'JTS0501 2022'!DA:DA)</f>
        <v>25.203304559302499</v>
      </c>
      <c r="T7" s="50">
        <v>2525</v>
      </c>
      <c r="U7" s="50">
        <v>1650</v>
      </c>
      <c r="V7" s="50">
        <v>701</v>
      </c>
      <c r="W7" s="50">
        <v>1380</v>
      </c>
      <c r="X7" s="50">
        <v>2200</v>
      </c>
      <c r="Y7" s="50">
        <v>1950</v>
      </c>
      <c r="Z7" s="51">
        <f t="shared" si="0"/>
        <v>0.49117312072892938</v>
      </c>
      <c r="AA7" s="51">
        <f t="shared" si="1"/>
        <v>0.59709241952232606</v>
      </c>
      <c r="AB7" s="51">
        <f t="shared" si="2"/>
        <v>0.38079987501952828</v>
      </c>
      <c r="AC7" s="51">
        <f t="shared" si="3"/>
        <v>0.42962037181690366</v>
      </c>
      <c r="AD7" s="51">
        <f t="shared" si="4"/>
        <v>0.47467144677192186</v>
      </c>
      <c r="AE7">
        <f t="shared" si="5"/>
        <v>14.307990699291119</v>
      </c>
      <c r="AF7">
        <f>_xlfn.XLOOKUP(A7,'House Prices'!C:C,'House Prices'!Z:Z)</f>
        <v>11.21</v>
      </c>
      <c r="AG7" s="51">
        <f t="shared" si="6"/>
        <v>0.7641512030193427</v>
      </c>
      <c r="AH7" s="70">
        <v>1484</v>
      </c>
    </row>
    <row r="8" spans="1:34">
      <c r="A8" s="29" t="s">
        <v>860</v>
      </c>
      <c r="B8" s="30">
        <v>818.9</v>
      </c>
      <c r="C8" s="31">
        <v>943.1</v>
      </c>
      <c r="D8" s="31">
        <v>704.7</v>
      </c>
      <c r="E8" s="31">
        <v>252.1</v>
      </c>
      <c r="F8" s="31">
        <v>958.2</v>
      </c>
      <c r="G8" s="67" t="s">
        <v>949</v>
      </c>
      <c r="H8" s="25">
        <v>1299.8066666666666</v>
      </c>
      <c r="I8" s="25">
        <v>1516.4411111111112</v>
      </c>
      <c r="J8" s="25">
        <v>1733.0755555555556</v>
      </c>
      <c r="K8" s="25">
        <v>1949.71</v>
      </c>
      <c r="L8" s="25">
        <v>2382.9788888888888</v>
      </c>
      <c r="M8" s="25">
        <v>2816.2477777777776</v>
      </c>
      <c r="N8" s="25">
        <v>3249.5166666666669</v>
      </c>
      <c r="O8" s="25">
        <v>3899.42</v>
      </c>
      <c r="P8">
        <f>_xlfn.XLOOKUP(A8,'JTS0501 2022'!BY:BY,'JTS0501 2022'!BZ:BZ)</f>
        <v>23.299309901147101</v>
      </c>
      <c r="Q8">
        <f>_xlfn.XLOOKUP(A8,'JTS0501 2022'!BY:BY,'JTS0501 2022'!CI:CI)</f>
        <v>18.558241841087799</v>
      </c>
      <c r="R8">
        <f>_xlfn.XLOOKUP(A8,'JTS0501 2022'!BY:BY,'JTS0501 2022'!CR:CR)</f>
        <v>12.9938938381054</v>
      </c>
      <c r="S8">
        <f>_xlfn.XLOOKUP(A8,'JTS0501 2022'!BY:BY,'JTS0501 2022'!DA:DA)</f>
        <v>42.817867977124699</v>
      </c>
      <c r="T8" s="50">
        <v>4090</v>
      </c>
      <c r="U8" s="50">
        <v>2000</v>
      </c>
      <c r="V8" s="50">
        <v>875</v>
      </c>
      <c r="W8" s="50">
        <v>1450</v>
      </c>
      <c r="X8" s="50">
        <v>3500</v>
      </c>
      <c r="Y8" s="50">
        <v>2600</v>
      </c>
      <c r="Z8" s="51">
        <f t="shared" si="0"/>
        <v>0.38437069239741278</v>
      </c>
      <c r="AA8" s="51">
        <f t="shared" si="1"/>
        <v>0.51440329218106995</v>
      </c>
      <c r="AB8" s="51">
        <f t="shared" si="2"/>
        <v>0.3944653477363757</v>
      </c>
      <c r="AC8" s="51">
        <f t="shared" si="3"/>
        <v>0.53101104502973651</v>
      </c>
      <c r="AD8" s="51">
        <f t="shared" si="4"/>
        <v>0.45606259433614876</v>
      </c>
      <c r="AE8">
        <f t="shared" si="5"/>
        <v>19.495984024342413</v>
      </c>
      <c r="AF8">
        <f>_xlfn.XLOOKUP(A8,'House Prices'!C:C,'House Prices'!Z:Z)</f>
        <v>10.56</v>
      </c>
      <c r="AG8" s="51">
        <f t="shared" si="6"/>
        <v>0.75176329018602195</v>
      </c>
      <c r="AH8" s="70">
        <v>1780</v>
      </c>
    </row>
    <row r="9" spans="1:34">
      <c r="A9" s="29" t="s">
        <v>873</v>
      </c>
      <c r="B9" s="30">
        <v>811.2</v>
      </c>
      <c r="C9" s="31">
        <v>872.7</v>
      </c>
      <c r="D9" s="31">
        <v>748.5</v>
      </c>
      <c r="E9" s="31">
        <v>276.60000000000002</v>
      </c>
      <c r="F9" s="31">
        <v>935</v>
      </c>
      <c r="G9" t="s">
        <v>950</v>
      </c>
      <c r="H9" s="25">
        <v>1280.54</v>
      </c>
      <c r="I9" s="25">
        <v>1493.9633333333334</v>
      </c>
      <c r="J9" s="25">
        <v>1707.3866666666665</v>
      </c>
      <c r="K9" s="25">
        <v>1920.81</v>
      </c>
      <c r="L9" s="25">
        <v>2347.6566666666668</v>
      </c>
      <c r="M9" s="25">
        <v>2774.5033333333331</v>
      </c>
      <c r="N9" s="25">
        <v>3201.35</v>
      </c>
      <c r="O9" s="25">
        <v>3841.6200000000003</v>
      </c>
      <c r="P9">
        <f>_xlfn.XLOOKUP(A9,'JTS0501 2022'!BY:BY,'JTS0501 2022'!BZ:BZ)</f>
        <v>15.348288402425601</v>
      </c>
      <c r="Q9">
        <f>_xlfn.XLOOKUP(A9,'JTS0501 2022'!BY:BY,'JTS0501 2022'!CI:CI)</f>
        <v>11.537751357960101</v>
      </c>
      <c r="R9">
        <f>_xlfn.XLOOKUP(A9,'JTS0501 2022'!BY:BY,'JTS0501 2022'!CR:CR)</f>
        <v>9.2823738929608197</v>
      </c>
      <c r="S9">
        <f>_xlfn.XLOOKUP(A9,'JTS0501 2022'!BY:BY,'JTS0501 2022'!DA:DA)</f>
        <v>20.954541152786302</v>
      </c>
      <c r="T9" s="50">
        <v>4500</v>
      </c>
      <c r="U9" s="50">
        <v>2000</v>
      </c>
      <c r="V9" s="50">
        <v>895</v>
      </c>
      <c r="W9" s="50">
        <v>1400</v>
      </c>
      <c r="X9" s="50">
        <v>3100</v>
      </c>
      <c r="Y9" s="50">
        <v>2525</v>
      </c>
      <c r="Z9" s="51">
        <f t="shared" si="0"/>
        <v>0.40105419961040445</v>
      </c>
      <c r="AA9" s="51">
        <f t="shared" si="1"/>
        <v>0.46760187040748163</v>
      </c>
      <c r="AB9" s="51">
        <f t="shared" si="2"/>
        <v>0.38937207007155195</v>
      </c>
      <c r="AC9" s="51">
        <f t="shared" si="3"/>
        <v>0.47804095731556873</v>
      </c>
      <c r="AD9" s="51">
        <f t="shared" si="4"/>
        <v>0.4340172743512517</v>
      </c>
      <c r="AE9">
        <f t="shared" si="5"/>
        <v>12.486737517987649</v>
      </c>
      <c r="AF9">
        <f>_xlfn.XLOOKUP(A9,'House Prices'!C:C,'House Prices'!Z:Z)</f>
        <v>13.22</v>
      </c>
      <c r="AG9" s="51">
        <f t="shared" si="6"/>
        <v>0.74659994452662715</v>
      </c>
      <c r="AH9" s="70">
        <v>2100</v>
      </c>
    </row>
    <row r="10" spans="1:34">
      <c r="A10" s="29" t="s">
        <v>884</v>
      </c>
      <c r="B10" s="30">
        <v>766.5</v>
      </c>
      <c r="C10" s="31">
        <v>806.4</v>
      </c>
      <c r="D10" s="31">
        <v>691.8</v>
      </c>
      <c r="E10" s="31">
        <v>240.9</v>
      </c>
      <c r="F10" s="31">
        <v>882.2</v>
      </c>
      <c r="G10" t="s">
        <v>958</v>
      </c>
      <c r="H10" s="25">
        <v>1117.0066666666667</v>
      </c>
      <c r="I10" s="25">
        <v>1303.1744444444444</v>
      </c>
      <c r="J10" s="25">
        <v>1489.3422222222223</v>
      </c>
      <c r="K10" s="25">
        <v>1675.51</v>
      </c>
      <c r="L10" s="25">
        <v>2047.8455555555556</v>
      </c>
      <c r="M10" s="25">
        <v>2420.181111111111</v>
      </c>
      <c r="N10" s="25">
        <v>2792.5166666666669</v>
      </c>
      <c r="O10" s="25">
        <v>3351.02</v>
      </c>
      <c r="P10">
        <f>_xlfn.XLOOKUP(A10,'JTS0501 2022'!BY:BY,'JTS0501 2022'!BZ:BZ)</f>
        <v>11.3857679613954</v>
      </c>
      <c r="Q10">
        <f>_xlfn.XLOOKUP(A10,'JTS0501 2022'!BY:BY,'JTS0501 2022'!CI:CI)</f>
        <v>9.1361890635354204</v>
      </c>
      <c r="R10">
        <f>_xlfn.XLOOKUP(A10,'JTS0501 2022'!BY:BY,'JTS0501 2022'!CR:CR)</f>
        <v>8.0554667281536396</v>
      </c>
      <c r="S10">
        <f>_xlfn.XLOOKUP(A10,'JTS0501 2022'!BY:BY,'JTS0501 2022'!DA:DA)</f>
        <v>12.600870242536899</v>
      </c>
      <c r="T10" s="50">
        <v>3700</v>
      </c>
      <c r="U10" s="50">
        <v>1850</v>
      </c>
      <c r="V10" s="50">
        <v>852</v>
      </c>
      <c r="W10" s="50">
        <v>1750</v>
      </c>
      <c r="X10" s="50">
        <v>2750</v>
      </c>
      <c r="Y10" s="50">
        <v>2300</v>
      </c>
      <c r="Z10" s="51">
        <f t="shared" si="0"/>
        <v>0.54253472222222221</v>
      </c>
      <c r="AA10" s="51">
        <f t="shared" si="1"/>
        <v>0.63240821046545248</v>
      </c>
      <c r="AB10" s="51">
        <f t="shared" si="2"/>
        <v>0.38379388599652919</v>
      </c>
      <c r="AC10" s="51">
        <f t="shared" si="3"/>
        <v>0.45888399412628494</v>
      </c>
      <c r="AD10" s="51">
        <f t="shared" si="4"/>
        <v>0.50440520320262228</v>
      </c>
      <c r="AE10">
        <f t="shared" si="5"/>
        <v>9.6803507384789924</v>
      </c>
      <c r="AF10">
        <f>_xlfn.XLOOKUP(A10,'House Prices'!C:C,'House Prices'!Z:Z)</f>
        <v>10.210000000000001</v>
      </c>
      <c r="AG10" s="51">
        <f t="shared" si="6"/>
        <v>0.7223176233963905</v>
      </c>
      <c r="AH10" s="70">
        <v>1788</v>
      </c>
    </row>
    <row r="11" spans="1:34">
      <c r="A11" s="29" t="s">
        <v>858</v>
      </c>
      <c r="B11" s="30">
        <v>694.4</v>
      </c>
      <c r="C11" s="31">
        <v>861</v>
      </c>
      <c r="D11" s="31">
        <v>599.20000000000005</v>
      </c>
      <c r="E11" s="31">
        <v>240.7</v>
      </c>
      <c r="F11" s="31">
        <v>849.1</v>
      </c>
      <c r="G11" t="s">
        <v>948</v>
      </c>
      <c r="H11" s="25">
        <v>1436.6933333333334</v>
      </c>
      <c r="I11" s="25">
        <v>1676.142222222222</v>
      </c>
      <c r="J11" s="25">
        <v>1915.5911111111111</v>
      </c>
      <c r="K11" s="25">
        <v>2155.04</v>
      </c>
      <c r="L11" s="25">
        <v>2633.9377777777777</v>
      </c>
      <c r="M11" s="25">
        <v>3112.8355555555554</v>
      </c>
      <c r="N11" s="25">
        <v>3591.7333333333331</v>
      </c>
      <c r="O11" s="25">
        <v>4310.08</v>
      </c>
      <c r="P11">
        <f>_xlfn.XLOOKUP(A11,'JTS0501 2022'!BY:BY,'JTS0501 2022'!BZ:BZ)</f>
        <v>37.547367811859097</v>
      </c>
      <c r="Q11">
        <f>_xlfn.XLOOKUP(A11,'JTS0501 2022'!BY:BY,'JTS0501 2022'!CI:CI)</f>
        <v>27.115534020158201</v>
      </c>
      <c r="R11">
        <f>_xlfn.XLOOKUP(A11,'JTS0501 2022'!BY:BY,'JTS0501 2022'!CR:CR)</f>
        <v>16.474677092054201</v>
      </c>
      <c r="S11">
        <f>_xlfn.XLOOKUP(A11,'JTS0501 2022'!BY:BY,'JTS0501 2022'!DA:DA)</f>
        <v>69.900254353760999</v>
      </c>
      <c r="T11" s="50">
        <v>3200</v>
      </c>
      <c r="U11" s="50">
        <v>1650</v>
      </c>
      <c r="V11" s="50">
        <v>776</v>
      </c>
      <c r="W11" s="50">
        <v>1160</v>
      </c>
      <c r="X11" s="50">
        <v>2400</v>
      </c>
      <c r="Y11" s="50">
        <v>2000</v>
      </c>
      <c r="Z11" s="51">
        <f t="shared" si="0"/>
        <v>0.33681765389082463</v>
      </c>
      <c r="AA11" s="51">
        <f t="shared" si="1"/>
        <v>0.48397863818424564</v>
      </c>
      <c r="AB11" s="51">
        <f t="shared" si="2"/>
        <v>0.34241884673332418</v>
      </c>
      <c r="AC11" s="51">
        <f t="shared" si="3"/>
        <v>0.41090261607998901</v>
      </c>
      <c r="AD11" s="51">
        <f t="shared" si="4"/>
        <v>0.39352943872209589</v>
      </c>
      <c r="AE11">
        <f t="shared" si="5"/>
        <v>29.187759938341507</v>
      </c>
      <c r="AF11">
        <f>_xlfn.XLOOKUP(A11,'House Prices'!C:C,'House Prices'!Z:Z)</f>
        <v>9.41</v>
      </c>
      <c r="AG11" s="51">
        <f t="shared" si="6"/>
        <v>0.72169738863287258</v>
      </c>
      <c r="AH11" s="70">
        <v>1484</v>
      </c>
    </row>
    <row r="12" spans="1:34">
      <c r="A12" s="30" t="s">
        <v>891</v>
      </c>
      <c r="B12" s="30">
        <v>612.9</v>
      </c>
      <c r="C12" s="31">
        <v>659.1</v>
      </c>
      <c r="D12" s="31">
        <v>571.70000000000005</v>
      </c>
      <c r="E12" s="31">
        <v>266.39999999999998</v>
      </c>
      <c r="F12" s="31">
        <v>744.1</v>
      </c>
      <c r="G12" s="67" t="s">
        <v>946</v>
      </c>
      <c r="H12" s="25">
        <v>1335.1666666666667</v>
      </c>
      <c r="I12" s="25">
        <v>1557.6944444444443</v>
      </c>
      <c r="J12" s="25">
        <v>1780.2222222222222</v>
      </c>
      <c r="K12" s="25">
        <v>2002.75</v>
      </c>
      <c r="L12" s="25">
        <v>2447.8055555555557</v>
      </c>
      <c r="M12" s="25">
        <v>2892.8611111111113</v>
      </c>
      <c r="N12" s="25">
        <v>3337.9166666666665</v>
      </c>
      <c r="O12" s="25">
        <v>4005.5</v>
      </c>
      <c r="P12">
        <f>_xlfn.XLOOKUP(A12,'JTS0501 2022'!BY:BY,'JTS0501 2022'!BZ:BZ)</f>
        <v>23.884422392537299</v>
      </c>
      <c r="Q12">
        <f>_xlfn.XLOOKUP(A12,'JTS0501 2022'!BY:BY,'JTS0501 2022'!CI:CI)</f>
        <v>16.684623257857201</v>
      </c>
      <c r="R12">
        <f>_xlfn.XLOOKUP(A12,'JTS0501 2022'!BY:BY,'JTS0501 2022'!CR:CR)</f>
        <v>12.4545850220051</v>
      </c>
      <c r="S12">
        <f>_xlfn.XLOOKUP(A12,'JTS0501 2022'!BY:BY,'JTS0501 2022'!DA:DA)</f>
        <v>36.508476947158101</v>
      </c>
      <c r="T12" s="50">
        <v>3150</v>
      </c>
      <c r="U12" s="50">
        <v>1450</v>
      </c>
      <c r="V12" s="50">
        <v>726</v>
      </c>
      <c r="W12" s="50">
        <v>1100</v>
      </c>
      <c r="X12" s="50">
        <v>2400</v>
      </c>
      <c r="Y12" s="50">
        <v>1750</v>
      </c>
      <c r="Z12" s="51">
        <f t="shared" si="0"/>
        <v>0.41723562433621603</v>
      </c>
      <c r="AA12" s="51">
        <f t="shared" si="1"/>
        <v>0.48102151478047922</v>
      </c>
      <c r="AB12" s="51">
        <f t="shared" si="2"/>
        <v>0.35545986350341235</v>
      </c>
      <c r="AC12" s="51">
        <f t="shared" si="3"/>
        <v>0.48748781280467979</v>
      </c>
      <c r="AD12" s="51">
        <f t="shared" si="4"/>
        <v>0.43530120385619686</v>
      </c>
      <c r="AE12">
        <f t="shared" si="5"/>
        <v>18.567404813500001</v>
      </c>
      <c r="AF12">
        <f>_xlfn.XLOOKUP(A12,'House Prices'!C:C,'House Prices'!Z:Z)</f>
        <v>9.52</v>
      </c>
      <c r="AG12" s="51">
        <f t="shared" si="6"/>
        <v>0.72071130418230278</v>
      </c>
      <c r="AH12" s="70">
        <v>1340</v>
      </c>
    </row>
    <row r="13" spans="1:34">
      <c r="A13" s="29" t="s">
        <v>863</v>
      </c>
      <c r="B13" s="30">
        <v>684.8</v>
      </c>
      <c r="C13" s="31">
        <v>737.7</v>
      </c>
      <c r="D13" s="31">
        <v>651.20000000000005</v>
      </c>
      <c r="E13" s="31">
        <v>243.3</v>
      </c>
      <c r="F13" s="31">
        <v>784.9</v>
      </c>
      <c r="G13" s="67" t="s">
        <v>952</v>
      </c>
      <c r="H13" s="25">
        <v>1298.8933333333332</v>
      </c>
      <c r="I13" s="25">
        <v>1515.3755555555554</v>
      </c>
      <c r="J13" s="25">
        <v>1731.8577777777778</v>
      </c>
      <c r="K13" s="25">
        <v>1948.34</v>
      </c>
      <c r="L13" s="25">
        <v>2381.304444444444</v>
      </c>
      <c r="M13" s="25">
        <v>2814.2688888888888</v>
      </c>
      <c r="N13" s="25">
        <v>3247.2333333333331</v>
      </c>
      <c r="O13" s="25">
        <v>3896.6799999999994</v>
      </c>
      <c r="P13">
        <f>_xlfn.XLOOKUP(A13,'JTS0501 2022'!BY:BY,'JTS0501 2022'!BZ:BZ)</f>
        <v>27.257130383680899</v>
      </c>
      <c r="Q13">
        <f>_xlfn.XLOOKUP(A13,'JTS0501 2022'!BY:BY,'JTS0501 2022'!CI:CI)</f>
        <v>18.617864840477498</v>
      </c>
      <c r="R13">
        <f>_xlfn.XLOOKUP(A13,'JTS0501 2022'!BY:BY,'JTS0501 2022'!CR:CR)</f>
        <v>13.5770068776605</v>
      </c>
      <c r="S13">
        <f>_xlfn.XLOOKUP(A13,'JTS0501 2022'!BY:BY,'JTS0501 2022'!DA:DA)</f>
        <v>42.454194676931003</v>
      </c>
      <c r="T13" s="50">
        <v>2900</v>
      </c>
      <c r="U13" s="50">
        <v>1550</v>
      </c>
      <c r="V13" s="50">
        <v>826</v>
      </c>
      <c r="W13" s="50">
        <v>1345</v>
      </c>
      <c r="X13" s="50">
        <v>2445</v>
      </c>
      <c r="Y13" s="50">
        <v>1900</v>
      </c>
      <c r="Z13" s="51">
        <f t="shared" si="0"/>
        <v>0.45580859427951737</v>
      </c>
      <c r="AA13" s="51">
        <f t="shared" si="1"/>
        <v>0.51635442260442255</v>
      </c>
      <c r="AB13" s="51">
        <f t="shared" si="2"/>
        <v>0.34199726402188779</v>
      </c>
      <c r="AC13" s="51">
        <f t="shared" si="3"/>
        <v>0.44009647922816614</v>
      </c>
      <c r="AD13" s="51">
        <f t="shared" si="4"/>
        <v>0.43856419003349845</v>
      </c>
      <c r="AE13">
        <f t="shared" si="5"/>
        <v>20.888458702368101</v>
      </c>
      <c r="AF13">
        <f>_xlfn.XLOOKUP(A13,'House Prices'!C:C,'House Prices'!Z:Z)</f>
        <v>12.81</v>
      </c>
      <c r="AG13" s="51">
        <f t="shared" si="6"/>
        <v>0.68901930003894096</v>
      </c>
      <c r="AH13" s="70" t="str">
        <f>_xlfn.XLOOKUP(G13,'TfL Fare'!A13:A56,'TfL Fare'!I13:I56)</f>
        <v>£1,780</v>
      </c>
    </row>
    <row r="14" spans="1:34">
      <c r="A14" s="29" t="s">
        <v>872</v>
      </c>
      <c r="B14" s="30">
        <v>659.3</v>
      </c>
      <c r="C14" s="31">
        <v>738.5</v>
      </c>
      <c r="D14" s="31">
        <v>574.9</v>
      </c>
      <c r="E14" s="31">
        <v>239.7</v>
      </c>
      <c r="F14" s="31">
        <v>766.6</v>
      </c>
      <c r="G14" t="s">
        <v>957</v>
      </c>
      <c r="H14" s="25">
        <v>1327.34</v>
      </c>
      <c r="I14" s="25">
        <v>1548.5633333333333</v>
      </c>
      <c r="J14" s="25">
        <v>1769.7866666666666</v>
      </c>
      <c r="K14" s="25">
        <v>1991.01</v>
      </c>
      <c r="L14" s="25">
        <v>2433.4566666666669</v>
      </c>
      <c r="M14" s="25">
        <v>2875.9033333333336</v>
      </c>
      <c r="N14" s="25">
        <v>3318.3500000000004</v>
      </c>
      <c r="O14" s="25">
        <v>3982.02</v>
      </c>
      <c r="P14">
        <f>_xlfn.XLOOKUP(A14,'JTS0501 2022'!BY:BY,'JTS0501 2022'!BZ:BZ)</f>
        <v>19.1631319691536</v>
      </c>
      <c r="Q14">
        <f>_xlfn.XLOOKUP(A14,'JTS0501 2022'!BY:BY,'JTS0501 2022'!CI:CI)</f>
        <v>12.882431273373101</v>
      </c>
      <c r="R14">
        <f>_xlfn.XLOOKUP(A14,'JTS0501 2022'!BY:BY,'JTS0501 2022'!CR:CR)</f>
        <v>10.454077781393501</v>
      </c>
      <c r="S14">
        <f>_xlfn.XLOOKUP(A14,'JTS0501 2022'!BY:BY,'JTS0501 2022'!DA:DA)</f>
        <v>24.023984925144301</v>
      </c>
      <c r="T14" s="50">
        <v>3100</v>
      </c>
      <c r="U14" s="50">
        <v>1495</v>
      </c>
      <c r="V14" s="50">
        <v>700</v>
      </c>
      <c r="W14" s="50">
        <v>1150</v>
      </c>
      <c r="X14" s="50">
        <v>2250</v>
      </c>
      <c r="Y14" s="50">
        <v>1800</v>
      </c>
      <c r="Z14" s="51">
        <f t="shared" si="0"/>
        <v>0.38930264048747459</v>
      </c>
      <c r="AA14" s="51">
        <f t="shared" si="1"/>
        <v>0.50008697164724303</v>
      </c>
      <c r="AB14" s="51">
        <f t="shared" si="2"/>
        <v>0.34262220191868431</v>
      </c>
      <c r="AC14" s="51">
        <f t="shared" si="3"/>
        <v>0.42827775239835536</v>
      </c>
      <c r="AD14" s="51">
        <f t="shared" si="4"/>
        <v>0.41507239161293935</v>
      </c>
      <c r="AE14">
        <f t="shared" si="5"/>
        <v>14.619455192301411</v>
      </c>
      <c r="AF14">
        <f>_xlfn.XLOOKUP(A14,'House Prices'!C:C,'House Prices'!Z:Z)</f>
        <v>12.02</v>
      </c>
      <c r="AG14" s="51">
        <f t="shared" si="6"/>
        <v>0.68762987259214314</v>
      </c>
      <c r="AH14" s="70">
        <v>2236</v>
      </c>
    </row>
    <row r="15" spans="1:34">
      <c r="A15" s="29" t="s">
        <v>868</v>
      </c>
      <c r="B15" s="30">
        <v>727.8</v>
      </c>
      <c r="C15" s="31">
        <v>745.6</v>
      </c>
      <c r="D15" s="31">
        <v>683.1</v>
      </c>
      <c r="E15" s="31">
        <v>240.5</v>
      </c>
      <c r="F15" s="31">
        <v>814.5</v>
      </c>
      <c r="G15" t="s">
        <v>947</v>
      </c>
      <c r="H15" s="25">
        <v>1404.88</v>
      </c>
      <c r="I15" s="25">
        <v>1639.0266666666669</v>
      </c>
      <c r="J15" s="25">
        <v>1873.1733333333334</v>
      </c>
      <c r="K15" s="25">
        <v>2107.3200000000002</v>
      </c>
      <c r="L15" s="25">
        <v>2575.6133333333332</v>
      </c>
      <c r="M15" s="25">
        <v>3043.9066666666672</v>
      </c>
      <c r="N15" s="25">
        <v>3512.2000000000003</v>
      </c>
      <c r="O15" s="25">
        <v>4214.6400000000003</v>
      </c>
      <c r="P15">
        <f>_xlfn.XLOOKUP(A15,'JTS0501 2022'!BY:BY,'JTS0501 2022'!BZ:BZ)</f>
        <v>27.571533494425601</v>
      </c>
      <c r="Q15">
        <f>_xlfn.XLOOKUP(A15,'JTS0501 2022'!BY:BY,'JTS0501 2022'!CI:CI)</f>
        <v>18.9605704636841</v>
      </c>
      <c r="R15">
        <f>_xlfn.XLOOKUP(A15,'JTS0501 2022'!BY:BY,'JTS0501 2022'!CR:CR)</f>
        <v>13.4240429799507</v>
      </c>
      <c r="S15">
        <f>_xlfn.XLOOKUP(A15,'JTS0501 2022'!BY:BY,'JTS0501 2022'!DA:DA)</f>
        <v>45.407652521482703</v>
      </c>
      <c r="T15" s="50">
        <v>3350</v>
      </c>
      <c r="U15" s="50">
        <v>1625</v>
      </c>
      <c r="V15" s="50">
        <v>686</v>
      </c>
      <c r="W15" s="50">
        <v>1067</v>
      </c>
      <c r="X15" s="50">
        <v>2500</v>
      </c>
      <c r="Y15" s="50">
        <v>1993</v>
      </c>
      <c r="Z15" s="51">
        <f t="shared" si="0"/>
        <v>0.35776555793991416</v>
      </c>
      <c r="AA15" s="51">
        <f t="shared" si="1"/>
        <v>0.39049919484702095</v>
      </c>
      <c r="AB15" s="51">
        <f t="shared" si="2"/>
        <v>0.34874361307482327</v>
      </c>
      <c r="AC15" s="51">
        <f t="shared" si="3"/>
        <v>0.4374606285434311</v>
      </c>
      <c r="AD15" s="51">
        <f t="shared" si="4"/>
        <v>0.38361724860129737</v>
      </c>
      <c r="AE15">
        <f t="shared" si="5"/>
        <v>21.192989864917891</v>
      </c>
      <c r="AF15">
        <f>_xlfn.XLOOKUP(A15,'House Prices'!C:C,'House Prices'!Z:Z)</f>
        <v>12.64</v>
      </c>
      <c r="AG15" s="51">
        <f t="shared" si="6"/>
        <v>0.68171544380324278</v>
      </c>
      <c r="AH15" s="70" t="str">
        <f>_xlfn.XLOOKUP(G15,'TfL Fare'!A15:A58,'TfL Fare'!I15:I58)</f>
        <v>£1,340</v>
      </c>
    </row>
    <row r="16" spans="1:34">
      <c r="A16" s="29" t="s">
        <v>903</v>
      </c>
      <c r="B16" s="30">
        <v>798.5</v>
      </c>
      <c r="C16" s="31">
        <v>889.5</v>
      </c>
      <c r="D16" s="31">
        <v>702.3</v>
      </c>
      <c r="E16" s="31">
        <v>262.2</v>
      </c>
      <c r="F16" s="31">
        <v>862.4</v>
      </c>
      <c r="G16" t="s">
        <v>954</v>
      </c>
      <c r="H16" s="25">
        <v>924.51333333333321</v>
      </c>
      <c r="I16" s="25">
        <v>1078.5988888888887</v>
      </c>
      <c r="J16" s="25">
        <v>1232.6844444444444</v>
      </c>
      <c r="K16" s="25">
        <v>1386.77</v>
      </c>
      <c r="L16" s="25">
        <v>1694.941111111111</v>
      </c>
      <c r="M16" s="25">
        <v>2003.112222222222</v>
      </c>
      <c r="N16" s="25">
        <v>2311.2833333333333</v>
      </c>
      <c r="O16" s="25">
        <v>2773.54</v>
      </c>
      <c r="P16">
        <f>_xlfn.XLOOKUP(A16,'JTS0501 2022'!BY:BY,'JTS0501 2022'!BZ:BZ)</f>
        <v>13.558100756402</v>
      </c>
      <c r="Q16">
        <f>_xlfn.XLOOKUP(A16,'JTS0501 2022'!BY:BY,'JTS0501 2022'!CI:CI)</f>
        <v>9.70133437399301</v>
      </c>
      <c r="R16">
        <f>_xlfn.XLOOKUP(A16,'JTS0501 2022'!BY:BY,'JTS0501 2022'!CR:CR)</f>
        <v>8.5055886103586502</v>
      </c>
      <c r="S16">
        <f>_xlfn.XLOOKUP(A16,'JTS0501 2022'!BY:BY,'JTS0501 2022'!DA:DA)</f>
        <v>14.771244777473701</v>
      </c>
      <c r="T16" s="50">
        <v>4600</v>
      </c>
      <c r="U16" s="50">
        <v>1850</v>
      </c>
      <c r="V16" s="50">
        <v>1026</v>
      </c>
      <c r="W16" s="50">
        <v>1500</v>
      </c>
      <c r="X16" s="50">
        <v>3300</v>
      </c>
      <c r="Y16" s="50">
        <v>2250</v>
      </c>
      <c r="Z16" s="51">
        <f t="shared" si="0"/>
        <v>0.42158516020236086</v>
      </c>
      <c r="AA16" s="51">
        <f t="shared" si="1"/>
        <v>0.53395984621956427</v>
      </c>
      <c r="AB16" s="51">
        <f t="shared" si="2"/>
        <v>0.35337353938937055</v>
      </c>
      <c r="AC16" s="51">
        <f t="shared" si="3"/>
        <v>0.51828119110441007</v>
      </c>
      <c r="AD16" s="51">
        <f t="shared" si="4"/>
        <v>0.4567999342289264</v>
      </c>
      <c r="AE16">
        <f t="shared" si="5"/>
        <v>10.776877012497748</v>
      </c>
      <c r="AF16">
        <f>_xlfn.XLOOKUP(A16,'House Prices'!C:C,'House Prices'!Z:Z)</f>
        <v>15.83</v>
      </c>
      <c r="AG16" s="51">
        <f t="shared" si="6"/>
        <v>0.67801007096639532</v>
      </c>
      <c r="AH16" s="70">
        <f>_xlfn.XLOOKUP(G16,'TfL Fare'!A7:A50,'TfL Fare'!I7:I50)</f>
        <v>1340</v>
      </c>
    </row>
    <row r="17" spans="1:35">
      <c r="A17" s="29" t="s">
        <v>876</v>
      </c>
      <c r="B17" s="30">
        <v>797.4</v>
      </c>
      <c r="C17" s="31">
        <v>854.9</v>
      </c>
      <c r="D17" s="31">
        <v>747.4</v>
      </c>
      <c r="E17" s="31">
        <v>288.5</v>
      </c>
      <c r="F17" s="31">
        <v>883.5</v>
      </c>
      <c r="G17" t="s">
        <v>950</v>
      </c>
      <c r="H17" s="25">
        <v>1243.6066666666668</v>
      </c>
      <c r="I17" s="25">
        <v>1450.8744444444446</v>
      </c>
      <c r="J17" s="25">
        <v>1658.1422222222222</v>
      </c>
      <c r="K17" s="25">
        <v>1865.41</v>
      </c>
      <c r="L17" s="25">
        <v>2279.945555555556</v>
      </c>
      <c r="M17" s="25">
        <v>2694.4811111111112</v>
      </c>
      <c r="N17" s="25">
        <v>3109.0166666666669</v>
      </c>
      <c r="O17" s="25">
        <v>3730.8200000000006</v>
      </c>
      <c r="P17">
        <f>_xlfn.XLOOKUP(A17,'JTS0501 2022'!BY:BY,'JTS0501 2022'!BZ:BZ)</f>
        <v>21.620163587624798</v>
      </c>
      <c r="Q17">
        <f>_xlfn.XLOOKUP(A17,'JTS0501 2022'!BY:BY,'JTS0501 2022'!CI:CI)</f>
        <v>15.166524233015799</v>
      </c>
      <c r="R17">
        <f>_xlfn.XLOOKUP(A17,'JTS0501 2022'!BY:BY,'JTS0501 2022'!CR:CR)</f>
        <v>12.021570151874201</v>
      </c>
      <c r="S17">
        <f>_xlfn.XLOOKUP(A17,'JTS0501 2022'!BY:BY,'JTS0501 2022'!DA:DA)</f>
        <v>32.8434766752531</v>
      </c>
      <c r="T17" s="50">
        <v>3750</v>
      </c>
      <c r="U17" s="50">
        <v>1800</v>
      </c>
      <c r="V17" s="50">
        <v>830</v>
      </c>
      <c r="W17" s="50">
        <v>1375</v>
      </c>
      <c r="X17" s="50">
        <v>2850</v>
      </c>
      <c r="Y17" s="50">
        <v>2205</v>
      </c>
      <c r="Z17" s="51">
        <f t="shared" si="0"/>
        <v>0.40209381214177098</v>
      </c>
      <c r="AA17" s="51">
        <f t="shared" si="1"/>
        <v>0.45992774953170995</v>
      </c>
      <c r="AB17" s="51">
        <f t="shared" si="2"/>
        <v>0.34403669724770641</v>
      </c>
      <c r="AC17" s="51">
        <f t="shared" si="3"/>
        <v>0.4446732821568995</v>
      </c>
      <c r="AD17" s="51">
        <f t="shared" si="4"/>
        <v>0.41268288526952174</v>
      </c>
      <c r="AE17">
        <f t="shared" si="5"/>
        <v>17.025092928725851</v>
      </c>
      <c r="AF17">
        <f>_xlfn.XLOOKUP(A17,'House Prices'!C:C,'House Prices'!Z:Z)</f>
        <v>11.12</v>
      </c>
      <c r="AG17" s="51">
        <f t="shared" si="6"/>
        <v>0.67655845038040308</v>
      </c>
      <c r="AH17" s="70">
        <v>2100</v>
      </c>
    </row>
    <row r="18" spans="1:35">
      <c r="A18" s="29" t="s">
        <v>882</v>
      </c>
      <c r="B18" s="30">
        <v>788.6</v>
      </c>
      <c r="C18" s="31">
        <v>833.2</v>
      </c>
      <c r="D18" s="31">
        <v>713.3</v>
      </c>
      <c r="E18" s="31">
        <v>239.1</v>
      </c>
      <c r="F18" s="31">
        <v>880.4</v>
      </c>
      <c r="G18" t="s">
        <v>950</v>
      </c>
      <c r="H18" s="25">
        <v>1195.3200000000002</v>
      </c>
      <c r="I18" s="25">
        <v>1394.54</v>
      </c>
      <c r="J18" s="25">
        <v>1593.76</v>
      </c>
      <c r="K18" s="25">
        <v>1792.98</v>
      </c>
      <c r="L18" s="25">
        <v>2191.42</v>
      </c>
      <c r="M18" s="25">
        <v>2589.86</v>
      </c>
      <c r="N18" s="25">
        <v>2988.3</v>
      </c>
      <c r="O18" s="25">
        <v>3585.96</v>
      </c>
      <c r="P18">
        <f>_xlfn.XLOOKUP(A18,'JTS0501 2022'!BY:BY,'JTS0501 2022'!BZ:BZ)</f>
        <v>16.408720891098898</v>
      </c>
      <c r="Q18">
        <f>_xlfn.XLOOKUP(A18,'JTS0501 2022'!BY:BY,'JTS0501 2022'!CI:CI)</f>
        <v>11.778046335464699</v>
      </c>
      <c r="R18">
        <f>_xlfn.XLOOKUP(A18,'JTS0501 2022'!BY:BY,'JTS0501 2022'!CR:CR)</f>
        <v>10.2809720874791</v>
      </c>
      <c r="S18">
        <f>_xlfn.XLOOKUP(A18,'JTS0501 2022'!BY:BY,'JTS0501 2022'!DA:DA)</f>
        <v>21.410664578944601</v>
      </c>
      <c r="T18" s="50">
        <v>3500</v>
      </c>
      <c r="U18" s="50">
        <v>1725</v>
      </c>
      <c r="V18" s="50">
        <v>875</v>
      </c>
      <c r="W18" s="50">
        <v>1400</v>
      </c>
      <c r="X18" s="50">
        <v>2700</v>
      </c>
      <c r="Y18" s="50">
        <v>2200</v>
      </c>
      <c r="Z18" s="51">
        <f t="shared" si="0"/>
        <v>0.42006721075372055</v>
      </c>
      <c r="AA18" s="51">
        <f t="shared" si="1"/>
        <v>0.49067713444553485</v>
      </c>
      <c r="AB18" s="51">
        <f t="shared" si="2"/>
        <v>0.35564177174264466</v>
      </c>
      <c r="AC18" s="51">
        <f t="shared" si="3"/>
        <v>0.43646944713870028</v>
      </c>
      <c r="AD18" s="51">
        <f t="shared" si="4"/>
        <v>0.42571389102015006</v>
      </c>
      <c r="AE18">
        <f t="shared" si="5"/>
        <v>13.194650130494384</v>
      </c>
      <c r="AF18">
        <f>_xlfn.XLOOKUP(A18,'House Prices'!C:C,'House Prices'!Z:Z)</f>
        <v>12.24</v>
      </c>
      <c r="AG18" s="51">
        <f t="shared" si="6"/>
        <v>0.66951401217347195</v>
      </c>
      <c r="AH18" s="70">
        <v>2100</v>
      </c>
    </row>
    <row r="19" spans="1:35">
      <c r="A19" s="29" t="s">
        <v>869</v>
      </c>
      <c r="B19" s="30">
        <v>669.2</v>
      </c>
      <c r="C19" s="31">
        <v>814.7</v>
      </c>
      <c r="D19" s="31">
        <v>584.4</v>
      </c>
      <c r="E19" s="31">
        <v>255.6</v>
      </c>
      <c r="F19" s="31">
        <v>853.8</v>
      </c>
      <c r="G19" s="67" t="s">
        <v>955</v>
      </c>
      <c r="H19" s="25">
        <v>1524.2133333333336</v>
      </c>
      <c r="I19" s="25">
        <v>1778.248888888889</v>
      </c>
      <c r="J19" s="25">
        <v>2032.2844444444445</v>
      </c>
      <c r="K19" s="25">
        <v>2286.3200000000002</v>
      </c>
      <c r="L19" s="25">
        <v>2794.3911111111111</v>
      </c>
      <c r="M19" s="25">
        <v>3302.4622222222224</v>
      </c>
      <c r="N19" s="25">
        <v>3810.5333333333338</v>
      </c>
      <c r="O19" s="25">
        <v>4572.6400000000003</v>
      </c>
      <c r="P19">
        <f>_xlfn.XLOOKUP(A19,'JTS0501 2022'!BY:BY,'JTS0501 2022'!BZ:BZ)</f>
        <v>23.258123380509002</v>
      </c>
      <c r="Q19">
        <f>_xlfn.XLOOKUP(A19,'JTS0501 2022'!BY:BY,'JTS0501 2022'!CI:CI)</f>
        <v>17.241083015565199</v>
      </c>
      <c r="R19">
        <f>_xlfn.XLOOKUP(A19,'JTS0501 2022'!BY:BY,'JTS0501 2022'!CR:CR)</f>
        <v>13.063192800471599</v>
      </c>
      <c r="S19">
        <f>_xlfn.XLOOKUP(A19,'JTS0501 2022'!BY:BY,'JTS0501 2022'!DA:DA)</f>
        <v>39.4829418931036</v>
      </c>
      <c r="T19" s="50">
        <v>2800</v>
      </c>
      <c r="U19" s="50">
        <v>1400</v>
      </c>
      <c r="V19" s="50">
        <v>826</v>
      </c>
      <c r="W19" s="50">
        <v>1088</v>
      </c>
      <c r="X19" s="50">
        <v>2150</v>
      </c>
      <c r="Y19" s="50">
        <v>1700</v>
      </c>
      <c r="Z19" s="51">
        <f t="shared" si="0"/>
        <v>0.33386522646372896</v>
      </c>
      <c r="AA19" s="51">
        <f t="shared" si="1"/>
        <v>0.46543463381245725</v>
      </c>
      <c r="AB19" s="51">
        <f t="shared" si="2"/>
        <v>0.30376670716889431</v>
      </c>
      <c r="AC19" s="51">
        <f t="shared" si="3"/>
        <v>0.38417554141948396</v>
      </c>
      <c r="AD19" s="51">
        <f t="shared" si="4"/>
        <v>0.37181052721614116</v>
      </c>
      <c r="AE19">
        <f t="shared" si="5"/>
        <v>18.868009525724041</v>
      </c>
      <c r="AF19">
        <f>_xlfn.XLOOKUP(A19,'House Prices'!C:C,'House Prices'!Z:Z)</f>
        <v>12.85</v>
      </c>
      <c r="AG19" s="51">
        <f t="shared" si="6"/>
        <v>0.65022663877266385</v>
      </c>
      <c r="AH19" s="70" t="str">
        <f>_xlfn.XLOOKUP(G19,'TfL Fare'!A12:A55,'TfL Fare'!I12:I55)</f>
        <v>£1,340</v>
      </c>
    </row>
    <row r="20" spans="1:35">
      <c r="A20" s="29" t="s">
        <v>864</v>
      </c>
      <c r="B20" s="30">
        <v>646.20000000000005</v>
      </c>
      <c r="C20" s="31">
        <v>715.9</v>
      </c>
      <c r="D20" s="31">
        <v>603.70000000000005</v>
      </c>
      <c r="E20" s="31">
        <v>251</v>
      </c>
      <c r="F20" s="31">
        <v>838.4</v>
      </c>
      <c r="G20" s="67" t="s">
        <v>948</v>
      </c>
      <c r="H20" s="25">
        <v>1376.9866666666667</v>
      </c>
      <c r="I20" s="25">
        <v>1606.4844444444445</v>
      </c>
      <c r="J20" s="25">
        <v>1835.9822222222222</v>
      </c>
      <c r="K20" s="25">
        <v>2065.48</v>
      </c>
      <c r="L20" s="25">
        <v>2524.4755555555553</v>
      </c>
      <c r="M20" s="25">
        <v>2983.4711111111114</v>
      </c>
      <c r="N20" s="25">
        <v>3442.4666666666667</v>
      </c>
      <c r="O20" s="25">
        <v>4130.96</v>
      </c>
      <c r="P20">
        <f>_xlfn.XLOOKUP(A20,'JTS0501 2022'!BY:BY,'JTS0501 2022'!BZ:BZ)</f>
        <v>26.530366451786101</v>
      </c>
      <c r="Q20">
        <f>_xlfn.XLOOKUP(A20,'JTS0501 2022'!BY:BY,'JTS0501 2022'!CI:CI)</f>
        <v>17.631755163430299</v>
      </c>
      <c r="R20">
        <f>_xlfn.XLOOKUP(A20,'JTS0501 2022'!BY:BY,'JTS0501 2022'!CR:CR)</f>
        <v>12.4728482181986</v>
      </c>
      <c r="S20">
        <f>_xlfn.XLOOKUP(A20,'JTS0501 2022'!BY:BY,'JTS0501 2022'!DA:DA)</f>
        <v>40.053617977495001</v>
      </c>
      <c r="T20" s="50">
        <v>2900</v>
      </c>
      <c r="U20" s="50">
        <v>1350</v>
      </c>
      <c r="V20" s="50">
        <v>738</v>
      </c>
      <c r="W20" s="50">
        <v>1100</v>
      </c>
      <c r="X20" s="50">
        <v>2050</v>
      </c>
      <c r="Y20" s="50">
        <v>1650</v>
      </c>
      <c r="Z20" s="51">
        <f t="shared" si="0"/>
        <v>0.3841318619918983</v>
      </c>
      <c r="AA20" s="51">
        <f t="shared" si="1"/>
        <v>0.45552426702004306</v>
      </c>
      <c r="AB20" s="51">
        <f t="shared" si="2"/>
        <v>0.31259472567444685</v>
      </c>
      <c r="AC20" s="51">
        <f t="shared" si="3"/>
        <v>0.38837526523188848</v>
      </c>
      <c r="AD20" s="51">
        <f t="shared" si="4"/>
        <v>0.38515652997956917</v>
      </c>
      <c r="AE20">
        <f t="shared" si="5"/>
        <v>19.894294300170625</v>
      </c>
      <c r="AF20">
        <f>_xlfn.XLOOKUP(A20,'House Prices'!C:C,'House Prices'!Z:Z)</f>
        <v>10.59</v>
      </c>
      <c r="AG20" s="51">
        <f t="shared" si="6"/>
        <v>0.6469062725678324</v>
      </c>
      <c r="AH20" s="70">
        <f>_xlfn.XLOOKUP(G20,'TfL Fare'!A26:A69,'TfL Fare'!I26:I69)</f>
        <v>1484</v>
      </c>
    </row>
    <row r="21" spans="1:35">
      <c r="A21" s="29" t="s">
        <v>880</v>
      </c>
      <c r="B21" s="30">
        <v>669</v>
      </c>
      <c r="C21" s="31">
        <v>804.9</v>
      </c>
      <c r="D21" s="31">
        <v>552</v>
      </c>
      <c r="E21" s="31">
        <v>240.2</v>
      </c>
      <c r="F21" s="31">
        <v>820.1</v>
      </c>
      <c r="G21" s="67" t="s">
        <v>959</v>
      </c>
      <c r="H21" s="25">
        <v>1393.2466666666667</v>
      </c>
      <c r="I21" s="25">
        <v>1625.4544444444446</v>
      </c>
      <c r="J21" s="25">
        <v>1857.6622222222222</v>
      </c>
      <c r="K21" s="25">
        <v>2089.87</v>
      </c>
      <c r="L21" s="25">
        <v>2554.2855555555557</v>
      </c>
      <c r="M21" s="25">
        <v>3018.701111111111</v>
      </c>
      <c r="N21" s="25">
        <v>3483.1166666666668</v>
      </c>
      <c r="O21" s="25">
        <v>4179.74</v>
      </c>
      <c r="P21">
        <f>_xlfn.XLOOKUP(A21,'JTS0501 2022'!BY:BY,'JTS0501 2022'!BZ:BZ)</f>
        <v>25.0976118383829</v>
      </c>
      <c r="Q21">
        <f>_xlfn.XLOOKUP(A21,'JTS0501 2022'!BY:BY,'JTS0501 2022'!CI:CI)</f>
        <v>17.587397180353999</v>
      </c>
      <c r="R21">
        <f>_xlfn.XLOOKUP(A21,'JTS0501 2022'!BY:BY,'JTS0501 2022'!CR:CR)</f>
        <v>13.4284935409803</v>
      </c>
      <c r="S21">
        <f>_xlfn.XLOOKUP(A21,'JTS0501 2022'!BY:BY,'JTS0501 2022'!DA:DA)</f>
        <v>40.419915526190302</v>
      </c>
      <c r="T21" s="50">
        <v>2600</v>
      </c>
      <c r="U21" s="50">
        <v>1375</v>
      </c>
      <c r="V21" s="50">
        <v>876</v>
      </c>
      <c r="W21" s="50">
        <v>998</v>
      </c>
      <c r="X21" s="50">
        <v>2100</v>
      </c>
      <c r="Y21" s="50">
        <v>1700</v>
      </c>
      <c r="Z21" s="51">
        <f t="shared" si="0"/>
        <v>0.30997639458317805</v>
      </c>
      <c r="AA21" s="51">
        <f t="shared" si="1"/>
        <v>0.45199275362318841</v>
      </c>
      <c r="AB21" s="51">
        <f t="shared" si="2"/>
        <v>0.31321394354779275</v>
      </c>
      <c r="AC21" s="51">
        <f t="shared" si="3"/>
        <v>0.38691134202962635</v>
      </c>
      <c r="AD21" s="51">
        <f t="shared" si="4"/>
        <v>0.36552360844594639</v>
      </c>
      <c r="AE21">
        <f t="shared" si="5"/>
        <v>19.705960475545513</v>
      </c>
      <c r="AF21">
        <f>_xlfn.XLOOKUP(A21,'House Prices'!C:C,'House Prices'!Z:Z)</f>
        <v>11.56</v>
      </c>
      <c r="AG21" s="51">
        <f t="shared" si="6"/>
        <v>0.63963222471350267</v>
      </c>
      <c r="AH21" s="70" t="str">
        <f>_xlfn.XLOOKUP(G21,'TfL Fare'!A22:A65,'TfL Fare'!I22:I65)</f>
        <v>£1,340</v>
      </c>
    </row>
    <row r="22" spans="1:35">
      <c r="A22" s="29" t="s">
        <v>859</v>
      </c>
      <c r="B22" s="30">
        <v>646.20000000000005</v>
      </c>
      <c r="C22" s="31">
        <v>720.7</v>
      </c>
      <c r="D22" s="31">
        <v>581.79999999999995</v>
      </c>
      <c r="E22" s="31">
        <v>289.5</v>
      </c>
      <c r="F22" s="31">
        <v>747.6</v>
      </c>
      <c r="G22" t="s">
        <v>947</v>
      </c>
      <c r="H22" s="25">
        <v>1357.3666666666666</v>
      </c>
      <c r="I22" s="25">
        <v>1583.5944444444444</v>
      </c>
      <c r="J22" s="25">
        <v>1809.8222222222221</v>
      </c>
      <c r="K22" s="25">
        <v>2036.05</v>
      </c>
      <c r="L22" s="25">
        <v>2488.5055555555555</v>
      </c>
      <c r="M22" s="25">
        <v>2940.9611111111108</v>
      </c>
      <c r="N22" s="25">
        <v>3393.4166666666665</v>
      </c>
      <c r="O22" s="25">
        <v>4072.1000000000004</v>
      </c>
      <c r="P22">
        <f>_xlfn.XLOOKUP(A22,'JTS0501 2022'!BY:BY,'JTS0501 2022'!BZ:BZ)</f>
        <v>20.408481861524098</v>
      </c>
      <c r="Q22">
        <f>_xlfn.XLOOKUP(A22,'JTS0501 2022'!BY:BY,'JTS0501 2022'!CI:CI)</f>
        <v>14.5964986485672</v>
      </c>
      <c r="R22">
        <f>_xlfn.XLOOKUP(A22,'JTS0501 2022'!BY:BY,'JTS0501 2022'!CR:CR)</f>
        <v>11.6092529770707</v>
      </c>
      <c r="S22">
        <f>_xlfn.XLOOKUP(A22,'JTS0501 2022'!BY:BY,'JTS0501 2022'!DA:DA)</f>
        <v>30.404374794624299</v>
      </c>
      <c r="T22" s="50">
        <v>2500</v>
      </c>
      <c r="U22" s="50">
        <v>1300</v>
      </c>
      <c r="V22" s="50">
        <v>718</v>
      </c>
      <c r="W22" s="50">
        <v>995</v>
      </c>
      <c r="X22" s="50">
        <v>2000</v>
      </c>
      <c r="Y22" s="50">
        <v>1600</v>
      </c>
      <c r="Z22" s="51">
        <f t="shared" si="0"/>
        <v>0.34515054807825724</v>
      </c>
      <c r="AA22" s="51">
        <f t="shared" si="1"/>
        <v>0.4275524235132348</v>
      </c>
      <c r="AB22" s="51">
        <f t="shared" si="2"/>
        <v>0.30710172744721687</v>
      </c>
      <c r="AC22" s="51">
        <f t="shared" si="3"/>
        <v>0.38387715930902111</v>
      </c>
      <c r="AD22" s="51">
        <f t="shared" si="4"/>
        <v>0.3659204645869325</v>
      </c>
      <c r="AE22">
        <f t="shared" si="5"/>
        <v>16.223972159122066</v>
      </c>
      <c r="AF22">
        <f>_xlfn.XLOOKUP(A22,'House Prices'!C:C,'House Prices'!Z:Z)</f>
        <v>14.18</v>
      </c>
      <c r="AG22" s="51">
        <f t="shared" si="6"/>
        <v>0.62661360002063338</v>
      </c>
      <c r="AH22" s="70" t="str">
        <f>_xlfn.XLOOKUP(G22,'TfL Fare'!A8:A51,'TfL Fare'!I8:I51)</f>
        <v>£1,340</v>
      </c>
    </row>
    <row r="23" spans="1:35">
      <c r="A23" s="29" t="s">
        <v>877</v>
      </c>
      <c r="B23" s="30">
        <v>706.4</v>
      </c>
      <c r="C23" s="31">
        <v>739</v>
      </c>
      <c r="D23" s="31">
        <v>675.2</v>
      </c>
      <c r="E23" s="31">
        <v>248.8</v>
      </c>
      <c r="F23" s="31">
        <v>843</v>
      </c>
      <c r="G23" s="67" t="s">
        <v>953</v>
      </c>
      <c r="H23" s="25">
        <v>1358.6533333333334</v>
      </c>
      <c r="I23" s="25">
        <v>1585.0955555555556</v>
      </c>
      <c r="J23" s="25">
        <v>1811.5377777777778</v>
      </c>
      <c r="K23" s="25">
        <v>2037.98</v>
      </c>
      <c r="L23" s="25">
        <v>2490.8644444444444</v>
      </c>
      <c r="M23" s="25">
        <v>2943.7488888888893</v>
      </c>
      <c r="N23" s="25">
        <v>3396.6333333333332</v>
      </c>
      <c r="O23" s="25">
        <v>4075.96</v>
      </c>
      <c r="P23">
        <f>_xlfn.XLOOKUP(A23,'JTS0501 2022'!BY:BY,'JTS0501 2022'!BZ:BZ)</f>
        <v>28.334675925167801</v>
      </c>
      <c r="Q23">
        <f>_xlfn.XLOOKUP(A23,'JTS0501 2022'!BY:BY,'JTS0501 2022'!CI:CI)</f>
        <v>21.584846258443399</v>
      </c>
      <c r="R23">
        <f>_xlfn.XLOOKUP(A23,'JTS0501 2022'!BY:BY,'JTS0501 2022'!CR:CR)</f>
        <v>16.233599930438899</v>
      </c>
      <c r="S23">
        <f>_xlfn.XLOOKUP(A23,'JTS0501 2022'!BY:BY,'JTS0501 2022'!DA:DA)</f>
        <v>53.564479966578702</v>
      </c>
      <c r="T23" s="50">
        <v>2900</v>
      </c>
      <c r="U23" s="50">
        <v>1450</v>
      </c>
      <c r="V23" s="50">
        <v>821</v>
      </c>
      <c r="W23" s="50">
        <v>1150</v>
      </c>
      <c r="X23" s="50">
        <v>2200</v>
      </c>
      <c r="Y23" s="50">
        <v>1750</v>
      </c>
      <c r="Z23" s="51">
        <f t="shared" si="0"/>
        <v>0.38903924221921515</v>
      </c>
      <c r="AA23" s="51">
        <f t="shared" si="1"/>
        <v>0.42579976303317535</v>
      </c>
      <c r="AB23" s="51">
        <f t="shared" si="2"/>
        <v>0.30936218356668083</v>
      </c>
      <c r="AC23" s="51">
        <f t="shared" si="3"/>
        <v>0.38891245934097013</v>
      </c>
      <c r="AD23" s="51">
        <f t="shared" si="4"/>
        <v>0.37827841204001034</v>
      </c>
      <c r="AE23">
        <f t="shared" si="5"/>
        <v>23.511642294892162</v>
      </c>
      <c r="AF23">
        <f>_xlfn.XLOOKUP(A23,'House Prices'!C:C,'House Prices'!Z:Z)</f>
        <v>10.14</v>
      </c>
      <c r="AG23" s="51">
        <f t="shared" si="6"/>
        <v>0.62635605417138551</v>
      </c>
      <c r="AH23" s="70">
        <v>1484</v>
      </c>
    </row>
    <row r="24" spans="1:35">
      <c r="A24" s="29" t="s">
        <v>878</v>
      </c>
      <c r="B24" s="30">
        <v>721.6</v>
      </c>
      <c r="C24" s="31">
        <v>844.7</v>
      </c>
      <c r="D24" s="31">
        <v>670.9</v>
      </c>
      <c r="E24" s="31">
        <v>256.10000000000002</v>
      </c>
      <c r="F24" s="31">
        <v>876.3</v>
      </c>
      <c r="G24" s="67" t="s">
        <v>947</v>
      </c>
      <c r="H24" s="25">
        <v>1332.8533333333335</v>
      </c>
      <c r="I24" s="25">
        <v>1554.9955555555555</v>
      </c>
      <c r="J24" s="25">
        <v>1777.1377777777777</v>
      </c>
      <c r="K24" s="25">
        <v>1999.28</v>
      </c>
      <c r="L24" s="25">
        <v>2443.5644444444442</v>
      </c>
      <c r="M24" s="25">
        <v>2887.8488888888887</v>
      </c>
      <c r="N24" s="25">
        <v>3332.1333333333332</v>
      </c>
      <c r="O24" s="25">
        <v>3998.56</v>
      </c>
      <c r="P24">
        <f>_xlfn.XLOOKUP(A24,'JTS0501 2022'!BY:BY,'JTS0501 2022'!BZ:BZ)</f>
        <v>20.882228599934201</v>
      </c>
      <c r="Q24">
        <f>_xlfn.XLOOKUP(A24,'JTS0501 2022'!BY:BY,'JTS0501 2022'!CI:CI)</f>
        <v>13.546968058587099</v>
      </c>
      <c r="R24">
        <f>_xlfn.XLOOKUP(A24,'JTS0501 2022'!BY:BY,'JTS0501 2022'!CR:CR)</f>
        <v>10.661470751045201</v>
      </c>
      <c r="S24">
        <f>_xlfn.XLOOKUP(A24,'JTS0501 2022'!BY:BY,'JTS0501 2022'!DA:DA)</f>
        <v>26.465967582497498</v>
      </c>
      <c r="T24" s="50">
        <v>3350</v>
      </c>
      <c r="U24" s="50">
        <v>1500</v>
      </c>
      <c r="V24" s="50">
        <v>824</v>
      </c>
      <c r="W24" s="50">
        <v>1388</v>
      </c>
      <c r="X24" s="50">
        <v>2450</v>
      </c>
      <c r="Y24" s="50">
        <v>1750</v>
      </c>
      <c r="Z24" s="51">
        <f t="shared" si="0"/>
        <v>0.41079673256777555</v>
      </c>
      <c r="AA24" s="51">
        <f t="shared" si="1"/>
        <v>0.51721568042927413</v>
      </c>
      <c r="AB24" s="51">
        <f t="shared" si="2"/>
        <v>0.28866455529163371</v>
      </c>
      <c r="AC24" s="51">
        <f t="shared" si="3"/>
        <v>0.40413037740828717</v>
      </c>
      <c r="AD24" s="51">
        <f t="shared" si="4"/>
        <v>0.40520183642424268</v>
      </c>
      <c r="AE24">
        <f t="shared" si="5"/>
        <v>15.558574534324807</v>
      </c>
      <c r="AF24">
        <f>_xlfn.XLOOKUP(A24,'House Prices'!C:C,'House Prices'!Z:Z)</f>
        <v>11.74</v>
      </c>
      <c r="AG24" s="51">
        <f t="shared" si="6"/>
        <v>0.62070630081300804</v>
      </c>
      <c r="AH24" s="70" t="str">
        <f>_xlfn.XLOOKUP(G24,'TfL Fare'!A20:A63,'TfL Fare'!I20:I63)</f>
        <v>£1,340</v>
      </c>
    </row>
    <row r="25" spans="1:35">
      <c r="A25" s="29" t="s">
        <v>886</v>
      </c>
      <c r="B25" s="30">
        <v>843.3</v>
      </c>
      <c r="C25" s="31">
        <v>912.3</v>
      </c>
      <c r="D25" s="31">
        <v>796.4</v>
      </c>
      <c r="E25" s="31">
        <v>251.3</v>
      </c>
      <c r="F25" s="31">
        <v>921.1</v>
      </c>
      <c r="G25" t="s">
        <v>950</v>
      </c>
      <c r="H25" s="25">
        <v>645.83999999999992</v>
      </c>
      <c r="I25" s="25">
        <v>753.48</v>
      </c>
      <c r="J25" s="25">
        <v>861.12</v>
      </c>
      <c r="K25" s="25">
        <v>968.76</v>
      </c>
      <c r="L25" s="25">
        <v>1184.04</v>
      </c>
      <c r="M25" s="25">
        <v>1399.32</v>
      </c>
      <c r="N25" s="25">
        <v>1614.6</v>
      </c>
      <c r="O25" s="25">
        <v>1937.52</v>
      </c>
      <c r="P25">
        <f>_xlfn.XLOOKUP(A25,'JTS0501 2022'!BY:BY,'JTS0501 2022'!BZ:BZ)</f>
        <v>23.3179362826207</v>
      </c>
      <c r="Q25">
        <f>_xlfn.XLOOKUP(A25,'JTS0501 2022'!BY:BY,'JTS0501 2022'!CI:CI)</f>
        <v>16.641529660509299</v>
      </c>
      <c r="R25">
        <f>_xlfn.XLOOKUP(A25,'JTS0501 2022'!BY:BY,'JTS0501 2022'!CR:CR)</f>
        <v>13.7911315029699</v>
      </c>
      <c r="S25">
        <f>_xlfn.XLOOKUP(A25,'JTS0501 2022'!BY:BY,'JTS0501 2022'!DA:DA)</f>
        <v>36.662914193403999</v>
      </c>
      <c r="T25" s="50">
        <v>4125</v>
      </c>
      <c r="U25" s="50">
        <v>1750</v>
      </c>
      <c r="V25" s="50">
        <v>1139</v>
      </c>
      <c r="W25" s="50">
        <v>1350</v>
      </c>
      <c r="X25" s="50">
        <v>2900</v>
      </c>
      <c r="Y25" s="50">
        <v>2250</v>
      </c>
      <c r="Z25" s="51">
        <f t="shared" si="0"/>
        <v>0.36994409733640254</v>
      </c>
      <c r="AA25" s="51">
        <f t="shared" si="1"/>
        <v>0.42378201908588647</v>
      </c>
      <c r="AB25" s="51">
        <f t="shared" si="2"/>
        <v>0.32919763562942589</v>
      </c>
      <c r="AC25" s="51">
        <f t="shared" si="3"/>
        <v>0.42429917481126006</v>
      </c>
      <c r="AD25" s="51">
        <f t="shared" si="4"/>
        <v>0.38680573171574378</v>
      </c>
      <c r="AE25">
        <f t="shared" si="5"/>
        <v>18.742463592143984</v>
      </c>
      <c r="AF25">
        <f>_xlfn.XLOOKUP(A25,'House Prices'!C:C,'House Prices'!Z:Z)</f>
        <v>12.87</v>
      </c>
      <c r="AG25" s="51">
        <f t="shared" si="6"/>
        <v>0.61684157476580104</v>
      </c>
      <c r="AH25" s="70">
        <f>2100</f>
        <v>2100</v>
      </c>
      <c r="AI25" s="65"/>
    </row>
    <row r="26" spans="1:35">
      <c r="A26" s="29" t="s">
        <v>865</v>
      </c>
      <c r="B26" s="30">
        <v>749.6</v>
      </c>
      <c r="C26" s="31">
        <v>843.2</v>
      </c>
      <c r="D26" s="31">
        <v>656.5</v>
      </c>
      <c r="E26" s="31">
        <v>280.60000000000002</v>
      </c>
      <c r="F26" s="31">
        <v>852.1</v>
      </c>
      <c r="G26" s="67" t="s">
        <v>953</v>
      </c>
      <c r="H26" s="25">
        <v>1280.3533333333335</v>
      </c>
      <c r="I26" s="25">
        <v>1493.7455555555555</v>
      </c>
      <c r="J26" s="25">
        <v>1707.1377777777777</v>
      </c>
      <c r="K26" s="25">
        <v>1920.53</v>
      </c>
      <c r="L26" s="25">
        <v>2347.3144444444442</v>
      </c>
      <c r="M26" s="25">
        <v>2774.0988888888887</v>
      </c>
      <c r="N26" s="25">
        <v>3200.8833333333332</v>
      </c>
      <c r="O26" s="25">
        <v>3841.06</v>
      </c>
      <c r="P26">
        <f>_xlfn.XLOOKUP(A26,'JTS0501 2022'!BY:BY,'JTS0501 2022'!BZ:BZ)</f>
        <v>24.682604869576501</v>
      </c>
      <c r="Q26">
        <f>_xlfn.XLOOKUP(A26,'JTS0501 2022'!BY:BY,'JTS0501 2022'!CI:CI)</f>
        <v>16.480559228089401</v>
      </c>
      <c r="R26">
        <f>_xlfn.XLOOKUP(A26,'JTS0501 2022'!BY:BY,'JTS0501 2022'!CR:CR)</f>
        <v>11.9559028468578</v>
      </c>
      <c r="S26">
        <f>_xlfn.XLOOKUP(A26,'JTS0501 2022'!BY:BY,'JTS0501 2022'!DA:DA)</f>
        <v>35.0852991450801</v>
      </c>
      <c r="T26" s="50">
        <v>2750</v>
      </c>
      <c r="U26" s="50">
        <v>1525</v>
      </c>
      <c r="V26" s="50">
        <v>770</v>
      </c>
      <c r="W26" s="50">
        <v>1150</v>
      </c>
      <c r="X26" s="50">
        <v>2100</v>
      </c>
      <c r="Y26" s="50">
        <v>1850</v>
      </c>
      <c r="Z26" s="51">
        <f t="shared" si="0"/>
        <v>0.34096299810246677</v>
      </c>
      <c r="AA26" s="51">
        <f t="shared" si="1"/>
        <v>0.43792840822543794</v>
      </c>
      <c r="AB26" s="51">
        <f t="shared" si="2"/>
        <v>0.30839501233580047</v>
      </c>
      <c r="AC26" s="51">
        <f t="shared" si="3"/>
        <v>0.35007001400280052</v>
      </c>
      <c r="AD26" s="51">
        <f t="shared" si="4"/>
        <v>0.35933910816662645</v>
      </c>
      <c r="AE26">
        <f t="shared" si="5"/>
        <v>18.5457257506975</v>
      </c>
      <c r="AF26">
        <f>_xlfn.XLOOKUP(A26,'House Prices'!C:C,'House Prices'!Z:Z)</f>
        <v>10.09</v>
      </c>
      <c r="AG26" s="51">
        <f t="shared" si="6"/>
        <v>0.61617668311988605</v>
      </c>
      <c r="AH26" s="70">
        <v>1484</v>
      </c>
    </row>
    <row r="27" spans="1:35">
      <c r="A27" s="29" t="s">
        <v>920</v>
      </c>
      <c r="B27" s="30">
        <v>824</v>
      </c>
      <c r="C27" s="31">
        <v>1022.5</v>
      </c>
      <c r="D27" s="31">
        <v>733.9</v>
      </c>
      <c r="E27" s="31">
        <v>241.4</v>
      </c>
      <c r="F27" s="31">
        <v>962</v>
      </c>
      <c r="G27" t="s">
        <v>949</v>
      </c>
      <c r="H27" s="25">
        <v>1509.1066666666666</v>
      </c>
      <c r="I27" s="25">
        <v>1760.6244444444444</v>
      </c>
      <c r="J27" s="25">
        <v>2012.142222222222</v>
      </c>
      <c r="K27" s="25">
        <v>2263.66</v>
      </c>
      <c r="L27" s="25">
        <v>2766.6955555555555</v>
      </c>
      <c r="M27" s="25">
        <v>3269.7311111111107</v>
      </c>
      <c r="N27" s="25">
        <v>3772.766666666666</v>
      </c>
      <c r="O27" s="25">
        <v>4527.32</v>
      </c>
      <c r="P27">
        <f>_xlfn.XLOOKUP(A27,'JTS0501 2022'!BY:BY,'JTS0501 2022'!BZ:BZ)</f>
        <v>22.076278471936199</v>
      </c>
      <c r="Q27">
        <f>_xlfn.XLOOKUP(A27,'JTS0501 2022'!BY:BY,'JTS0501 2022'!CI:CI)</f>
        <v>16.387141637552201</v>
      </c>
      <c r="R27">
        <f>_xlfn.XLOOKUP(A27,'JTS0501 2022'!BY:BY,'JTS0501 2022'!CR:CR)</f>
        <v>13.058855157445899</v>
      </c>
      <c r="S27">
        <f>_xlfn.XLOOKUP(A27,'JTS0501 2022'!BY:BY,'JTS0501 2022'!DA:DA)</f>
        <v>36.171084765933003</v>
      </c>
      <c r="T27" s="50">
        <v>3850</v>
      </c>
      <c r="U27" s="50">
        <v>1571</v>
      </c>
      <c r="V27" s="50">
        <v>725</v>
      </c>
      <c r="W27" s="50">
        <v>1175</v>
      </c>
      <c r="X27" s="50">
        <v>2700</v>
      </c>
      <c r="Y27" s="50">
        <v>2100</v>
      </c>
      <c r="Z27" s="51">
        <f t="shared" si="0"/>
        <v>0.28728606356968217</v>
      </c>
      <c r="AA27" s="51">
        <f t="shared" si="1"/>
        <v>0.40025889085706501</v>
      </c>
      <c r="AB27" s="51">
        <f t="shared" si="2"/>
        <v>0.2989068549305397</v>
      </c>
      <c r="AC27" s="51">
        <f t="shared" si="3"/>
        <v>0.38430881348212248</v>
      </c>
      <c r="AD27" s="51">
        <f t="shared" si="4"/>
        <v>0.34269015570985234</v>
      </c>
      <c r="AE27">
        <f t="shared" si="5"/>
        <v>18.043494431717768</v>
      </c>
      <c r="AF27">
        <f>_xlfn.XLOOKUP(A27,'House Prices'!C:C,'House Prices'!Z:Z)</f>
        <v>12.76</v>
      </c>
      <c r="AG27" s="51">
        <f t="shared" si="6"/>
        <v>0.61411963996763752</v>
      </c>
      <c r="AH27" s="70">
        <f>_xlfn.XLOOKUP(G27,'TfL Fare'!A14:A57,'TfL Fare'!I14:I57)</f>
        <v>1780</v>
      </c>
    </row>
    <row r="28" spans="1:35">
      <c r="A28" s="29" t="s">
        <v>913</v>
      </c>
      <c r="B28" s="30">
        <v>727.4</v>
      </c>
      <c r="C28" s="31">
        <v>912.2</v>
      </c>
      <c r="D28" s="31">
        <v>574.29999999999995</v>
      </c>
      <c r="E28" s="31">
        <v>291.7</v>
      </c>
      <c r="F28" s="31">
        <v>844</v>
      </c>
      <c r="G28" t="s">
        <v>949</v>
      </c>
      <c r="H28" s="25">
        <v>1583.5666666666666</v>
      </c>
      <c r="I28" s="25">
        <v>1847.4944444444445</v>
      </c>
      <c r="J28" s="25">
        <v>2111.422222222222</v>
      </c>
      <c r="K28" s="25">
        <v>2375.35</v>
      </c>
      <c r="L28" s="25">
        <v>2903.2055555555553</v>
      </c>
      <c r="M28" s="25">
        <v>3431.0611111111111</v>
      </c>
      <c r="N28" s="25">
        <v>3958.9166666666665</v>
      </c>
      <c r="O28" s="25">
        <v>4750.7</v>
      </c>
      <c r="P28">
        <f>_xlfn.XLOOKUP(A28,'JTS0501 2022'!BY:BY,'JTS0501 2022'!BZ:BZ)</f>
        <v>18.0064196025277</v>
      </c>
      <c r="Q28">
        <f>_xlfn.XLOOKUP(A28,'JTS0501 2022'!BY:BY,'JTS0501 2022'!CI:CI)</f>
        <v>13.5825455100581</v>
      </c>
      <c r="R28">
        <f>_xlfn.XLOOKUP(A28,'JTS0501 2022'!BY:BY,'JTS0501 2022'!CR:CR)</f>
        <v>10.334465876564</v>
      </c>
      <c r="S28">
        <f>_xlfn.XLOOKUP(A28,'JTS0501 2022'!BY:BY,'JTS0501 2022'!DA:DA)</f>
        <v>27.4877323102254</v>
      </c>
      <c r="T28" s="50">
        <v>3000</v>
      </c>
      <c r="U28" s="50">
        <v>1400</v>
      </c>
      <c r="V28" s="50">
        <v>757</v>
      </c>
      <c r="W28" s="50">
        <v>1075</v>
      </c>
      <c r="X28" s="50">
        <v>2322</v>
      </c>
      <c r="Y28" s="50">
        <v>1750</v>
      </c>
      <c r="Z28" s="51">
        <f t="shared" si="0"/>
        <v>0.29461740846305634</v>
      </c>
      <c r="AA28" s="51">
        <f t="shared" si="1"/>
        <v>0.46796099599512453</v>
      </c>
      <c r="AB28" s="51">
        <f t="shared" si="2"/>
        <v>0.29431550622267072</v>
      </c>
      <c r="AC28" s="51">
        <f t="shared" si="3"/>
        <v>0.39051463168516648</v>
      </c>
      <c r="AD28" s="51">
        <f t="shared" si="4"/>
        <v>0.36185213559150453</v>
      </c>
      <c r="AE28">
        <f t="shared" si="5"/>
        <v>14.633172449686962</v>
      </c>
      <c r="AF28">
        <f>_xlfn.XLOOKUP(A28,'House Prices'!C:C,'House Prices'!Z:Z)</f>
        <v>12.24</v>
      </c>
      <c r="AG28" s="51">
        <f t="shared" si="6"/>
        <v>0.60934349509669139</v>
      </c>
      <c r="AH28" s="70">
        <f>_xlfn.XLOOKUP(G28,'TfL Fare'!A18:A61,'TfL Fare'!I18:I61)</f>
        <v>1780</v>
      </c>
    </row>
    <row r="29" spans="1:35">
      <c r="A29" s="29" t="s">
        <v>885</v>
      </c>
      <c r="B29" s="30">
        <v>717.7</v>
      </c>
      <c r="C29" s="31">
        <v>804.8</v>
      </c>
      <c r="D29" s="31">
        <v>626.79999999999995</v>
      </c>
      <c r="E29" s="31">
        <v>242.5</v>
      </c>
      <c r="F29" s="31">
        <v>839.7</v>
      </c>
      <c r="G29" s="67" t="s">
        <v>960</v>
      </c>
      <c r="H29" s="25">
        <v>1449.1466666666665</v>
      </c>
      <c r="I29" s="25">
        <v>1690.671111111111</v>
      </c>
      <c r="J29" s="25">
        <v>1932.1955555555553</v>
      </c>
      <c r="K29" s="25">
        <v>2173.7199999999998</v>
      </c>
      <c r="L29" s="25">
        <v>2656.7688888888888</v>
      </c>
      <c r="M29" s="25">
        <v>3139.8177777777773</v>
      </c>
      <c r="N29" s="25">
        <v>3622.8666666666663</v>
      </c>
      <c r="O29" s="25">
        <v>4347.4399999999996</v>
      </c>
      <c r="P29">
        <f>_xlfn.XLOOKUP(A29,'JTS0501 2022'!BY:BY,'JTS0501 2022'!BZ:BZ)</f>
        <v>22.606062385975001</v>
      </c>
      <c r="Q29">
        <f>_xlfn.XLOOKUP(A29,'JTS0501 2022'!BY:BY,'JTS0501 2022'!CI:CI)</f>
        <v>15.8568388190074</v>
      </c>
      <c r="R29">
        <f>_xlfn.XLOOKUP(A29,'JTS0501 2022'!BY:BY,'JTS0501 2022'!CR:CR)</f>
        <v>11.5410646859049</v>
      </c>
      <c r="S29">
        <f>_xlfn.XLOOKUP(A29,'JTS0501 2022'!BY:BY,'JTS0501 2022'!DA:DA)</f>
        <v>34.982493907124699</v>
      </c>
      <c r="T29" s="50">
        <v>2500</v>
      </c>
      <c r="U29" s="50">
        <v>1400</v>
      </c>
      <c r="V29" s="50">
        <v>764</v>
      </c>
      <c r="W29" s="50">
        <v>1188</v>
      </c>
      <c r="X29" s="50">
        <v>2150</v>
      </c>
      <c r="Y29" s="50">
        <v>1725</v>
      </c>
      <c r="Z29" s="51">
        <f t="shared" si="0"/>
        <v>0.36903578528827041</v>
      </c>
      <c r="AA29" s="51">
        <f t="shared" si="1"/>
        <v>0.47383535417996175</v>
      </c>
      <c r="AB29" s="51">
        <f t="shared" si="2"/>
        <v>0.30123637887678123</v>
      </c>
      <c r="AC29" s="51">
        <f t="shared" si="3"/>
        <v>0.37545403744062589</v>
      </c>
      <c r="AD29" s="51">
        <f t="shared" si="4"/>
        <v>0.37989038894640986</v>
      </c>
      <c r="AE29">
        <f t="shared" si="5"/>
        <v>17.548865312354376</v>
      </c>
      <c r="AF29">
        <f>_xlfn.XLOOKUP(A29,'House Prices'!C:C,'House Prices'!Z:Z)</f>
        <v>11.59</v>
      </c>
      <c r="AG29" s="51">
        <f t="shared" si="6"/>
        <v>0.60737192884677904</v>
      </c>
      <c r="AH29" s="70" t="str">
        <f>_xlfn.XLOOKUP(G29,'TfL Fare'!A21:A64,'TfL Fare'!I21:I64)</f>
        <v>£1,484</v>
      </c>
    </row>
    <row r="30" spans="1:35">
      <c r="A30" s="29" t="s">
        <v>871</v>
      </c>
      <c r="B30" s="30">
        <v>689.9</v>
      </c>
      <c r="C30" s="31">
        <v>762.8</v>
      </c>
      <c r="D30" s="31">
        <v>600.9</v>
      </c>
      <c r="E30" s="31">
        <v>274.3</v>
      </c>
      <c r="F30" s="31">
        <v>804.1</v>
      </c>
      <c r="G30" s="67" t="s">
        <v>955</v>
      </c>
      <c r="H30" s="25">
        <v>1242.6066666666668</v>
      </c>
      <c r="I30" s="25">
        <v>1449.7077777777779</v>
      </c>
      <c r="J30" s="25">
        <v>1656.808888888889</v>
      </c>
      <c r="K30" s="25">
        <v>1863.91</v>
      </c>
      <c r="L30" s="25">
        <v>2278.1122222222225</v>
      </c>
      <c r="M30" s="25">
        <v>2692.3144444444447</v>
      </c>
      <c r="N30" s="25">
        <v>3106.5166666666669</v>
      </c>
      <c r="O30" s="25">
        <v>3727.8200000000006</v>
      </c>
      <c r="P30">
        <f>_xlfn.XLOOKUP(A30,'JTS0501 2022'!BY:BY,'JTS0501 2022'!BZ:BZ)</f>
        <v>20.318991222579299</v>
      </c>
      <c r="Q30">
        <f>_xlfn.XLOOKUP(A30,'JTS0501 2022'!BY:BY,'JTS0501 2022'!CI:CI)</f>
        <v>15.9413162859287</v>
      </c>
      <c r="R30">
        <f>_xlfn.XLOOKUP(A30,'JTS0501 2022'!BY:BY,'JTS0501 2022'!CR:CR)</f>
        <v>11.502305816374401</v>
      </c>
      <c r="S30">
        <f>_xlfn.XLOOKUP(A30,'JTS0501 2022'!BY:BY,'JTS0501 2022'!DA:DA)</f>
        <v>33.652922075407702</v>
      </c>
      <c r="T30" s="50">
        <v>2500</v>
      </c>
      <c r="U30" s="50">
        <v>1300</v>
      </c>
      <c r="V30" s="50">
        <v>650</v>
      </c>
      <c r="W30" s="50">
        <v>1050</v>
      </c>
      <c r="X30" s="50">
        <v>1969</v>
      </c>
      <c r="Y30" s="50">
        <v>1600</v>
      </c>
      <c r="Z30" s="51">
        <f t="shared" si="0"/>
        <v>0.34412690089145254</v>
      </c>
      <c r="AA30" s="51">
        <f t="shared" si="1"/>
        <v>0.43684473290064907</v>
      </c>
      <c r="AB30" s="51">
        <f t="shared" si="2"/>
        <v>0.2933196450832295</v>
      </c>
      <c r="AC30" s="51">
        <f t="shared" si="3"/>
        <v>0.36096648823054928</v>
      </c>
      <c r="AD30" s="51">
        <f t="shared" si="4"/>
        <v>0.35881444177647004</v>
      </c>
      <c r="AE30">
        <f t="shared" si="5"/>
        <v>16.808326921089886</v>
      </c>
      <c r="AF30">
        <f>_xlfn.XLOOKUP(A30,'House Prices'!C:C,'House Prices'!Z:Z)</f>
        <v>11.49</v>
      </c>
      <c r="AG30" s="51">
        <f t="shared" si="6"/>
        <v>0.58172410252693629</v>
      </c>
      <c r="AH30" s="70" t="str">
        <f>_xlfn.XLOOKUP(G30,'TfL Fare'!A23:A66,'TfL Fare'!I23:I66)</f>
        <v>£1,340</v>
      </c>
    </row>
    <row r="31" spans="1:35">
      <c r="A31" s="29" t="s">
        <v>870</v>
      </c>
      <c r="B31" s="30">
        <v>710.8</v>
      </c>
      <c r="C31" s="31">
        <v>850.9</v>
      </c>
      <c r="D31" s="31">
        <v>605</v>
      </c>
      <c r="E31" s="31">
        <v>286.39999999999998</v>
      </c>
      <c r="F31" s="31">
        <v>822.5</v>
      </c>
      <c r="G31" s="67" t="s">
        <v>956</v>
      </c>
      <c r="H31" s="25">
        <v>1471.9466666666667</v>
      </c>
      <c r="I31" s="25">
        <v>1717.2711111111112</v>
      </c>
      <c r="J31" s="25">
        <v>1962.5955555555556</v>
      </c>
      <c r="K31" s="25">
        <v>2207.92</v>
      </c>
      <c r="L31" s="25">
        <v>2698.568888888889</v>
      </c>
      <c r="M31" s="25">
        <v>3189.2177777777779</v>
      </c>
      <c r="N31" s="25">
        <v>3679.8666666666668</v>
      </c>
      <c r="O31" s="25">
        <v>4415.84</v>
      </c>
      <c r="P31">
        <f>_xlfn.XLOOKUP(A31,'JTS0501 2022'!BY:BY,'JTS0501 2022'!BZ:BZ)</f>
        <v>25.8584112598339</v>
      </c>
      <c r="Q31">
        <f>_xlfn.XLOOKUP(A31,'JTS0501 2022'!BY:BY,'JTS0501 2022'!CI:CI)</f>
        <v>19.849900401665099</v>
      </c>
      <c r="R31">
        <f>_xlfn.XLOOKUP(A31,'JTS0501 2022'!BY:BY,'JTS0501 2022'!CR:CR)</f>
        <v>13.495924409313</v>
      </c>
      <c r="S31">
        <f>_xlfn.XLOOKUP(A31,'JTS0501 2022'!BY:BY,'JTS0501 2022'!DA:DA)</f>
        <v>48.118614434255697</v>
      </c>
      <c r="T31" s="50">
        <v>2400</v>
      </c>
      <c r="U31" s="50">
        <v>1250</v>
      </c>
      <c r="V31" s="50">
        <v>801</v>
      </c>
      <c r="W31" s="50">
        <v>973</v>
      </c>
      <c r="X31" s="50">
        <v>1850</v>
      </c>
      <c r="Y31" s="50">
        <v>1550</v>
      </c>
      <c r="Z31" s="51">
        <f t="shared" si="0"/>
        <v>0.2858737807027853</v>
      </c>
      <c r="AA31" s="51">
        <f t="shared" si="1"/>
        <v>0.40206611570247935</v>
      </c>
      <c r="AB31" s="51">
        <f t="shared" si="2"/>
        <v>0.26615838999931313</v>
      </c>
      <c r="AC31" s="51">
        <f t="shared" si="3"/>
        <v>0.31767291709595435</v>
      </c>
      <c r="AD31" s="51">
        <f t="shared" si="4"/>
        <v>0.31794280087513305</v>
      </c>
      <c r="AE31">
        <f t="shared" si="5"/>
        <v>21.127713811065984</v>
      </c>
      <c r="AF31">
        <f>_xlfn.XLOOKUP(A31,'House Prices'!C:C,'House Prices'!Z:Z)</f>
        <v>9.7100000000000009</v>
      </c>
      <c r="AG31" s="51">
        <f t="shared" si="6"/>
        <v>0.55711639467266938</v>
      </c>
      <c r="AH31" s="70" t="str">
        <f>_xlfn.XLOOKUP(G31,'TfL Fare'!A32:A75,'TfL Fare'!I32:I75)</f>
        <v>£1,340</v>
      </c>
    </row>
    <row r="32" spans="1:35">
      <c r="A32" s="29" t="s">
        <v>857</v>
      </c>
      <c r="B32" s="30">
        <v>714.6</v>
      </c>
      <c r="C32" s="31">
        <v>774.2</v>
      </c>
      <c r="D32" s="31">
        <v>671.4</v>
      </c>
      <c r="E32" s="31">
        <v>257.7</v>
      </c>
      <c r="F32" s="31">
        <v>862.4</v>
      </c>
      <c r="G32" t="s">
        <v>947</v>
      </c>
      <c r="H32" s="25">
        <v>1295.4933333333333</v>
      </c>
      <c r="I32" s="25">
        <v>1511.4088888888889</v>
      </c>
      <c r="J32" s="25">
        <v>1727.3244444444445</v>
      </c>
      <c r="K32" s="25">
        <v>1943.24</v>
      </c>
      <c r="L32" s="25">
        <v>2375.0711111111109</v>
      </c>
      <c r="M32" s="25">
        <v>2806.902222222222</v>
      </c>
      <c r="N32" s="25">
        <v>3238.7333333333331</v>
      </c>
      <c r="O32" s="25">
        <v>3886.48</v>
      </c>
      <c r="P32">
        <f>_xlfn.XLOOKUP(A32,'JTS0501 2022'!BY:BY,'JTS0501 2022'!BZ:BZ)</f>
        <v>33.004478819054803</v>
      </c>
      <c r="Q32">
        <f>_xlfn.XLOOKUP(A32,'JTS0501 2022'!BY:BY,'JTS0501 2022'!CI:CI)</f>
        <v>31.0292160353229</v>
      </c>
      <c r="R32">
        <f>_xlfn.XLOOKUP(A32,'JTS0501 2022'!BY:BY,'JTS0501 2022'!CR:CR)</f>
        <v>21.4147498833496</v>
      </c>
      <c r="S32">
        <f>_xlfn.XLOOKUP(A32,'JTS0501 2022'!BY:BY,'JTS0501 2022'!DA:DA)</f>
        <v>83.405239009211002</v>
      </c>
      <c r="T32" s="50">
        <v>2300</v>
      </c>
      <c r="U32" s="50">
        <v>1250</v>
      </c>
      <c r="V32" s="50">
        <v>800</v>
      </c>
      <c r="W32" s="50">
        <v>1000</v>
      </c>
      <c r="X32" s="50">
        <v>1950</v>
      </c>
      <c r="Y32" s="50">
        <v>1600</v>
      </c>
      <c r="Z32" s="51">
        <f t="shared" si="0"/>
        <v>0.32291397571686903</v>
      </c>
      <c r="AA32" s="51">
        <f t="shared" si="1"/>
        <v>0.37235627047959491</v>
      </c>
      <c r="AB32" s="51">
        <f t="shared" si="2"/>
        <v>0.27670171555063644</v>
      </c>
      <c r="AC32" s="51">
        <f t="shared" si="3"/>
        <v>0.33723021582733814</v>
      </c>
      <c r="AD32" s="51">
        <f t="shared" si="4"/>
        <v>0.32730054439360962</v>
      </c>
      <c r="AE32">
        <f t="shared" si="5"/>
        <v>31.140682556202528</v>
      </c>
      <c r="AF32">
        <f>_xlfn.XLOOKUP(A32,'House Prices'!C:C,'House Prices'!Z:Z)</f>
        <v>13.34</v>
      </c>
      <c r="AG32" s="51">
        <f t="shared" si="6"/>
        <v>0.55518355257020247</v>
      </c>
      <c r="AH32" s="70" t="str">
        <f>_xlfn.XLOOKUP(G32,'TfL Fare'!A9:A52,'TfL Fare'!I9:I52)</f>
        <v>£1,340</v>
      </c>
    </row>
    <row r="33" spans="1:34">
      <c r="A33" s="29" t="s">
        <v>862</v>
      </c>
      <c r="B33" s="30">
        <v>721.3</v>
      </c>
      <c r="C33" s="31">
        <v>800.3</v>
      </c>
      <c r="D33" s="31">
        <v>679.5</v>
      </c>
      <c r="E33" s="31">
        <v>275</v>
      </c>
      <c r="F33" s="31">
        <v>829.8</v>
      </c>
      <c r="G33" s="67" t="s">
        <v>949</v>
      </c>
      <c r="H33" s="25">
        <v>1577.9399999999998</v>
      </c>
      <c r="I33" s="25">
        <v>1840.9299999999998</v>
      </c>
      <c r="J33" s="25">
        <v>2103.92</v>
      </c>
      <c r="K33" s="25">
        <v>2366.91</v>
      </c>
      <c r="L33" s="25">
        <v>2892.89</v>
      </c>
      <c r="M33" s="25">
        <v>3418.87</v>
      </c>
      <c r="N33" s="25">
        <v>3944.8499999999995</v>
      </c>
      <c r="O33" s="25">
        <v>4733.82</v>
      </c>
      <c r="P33">
        <f>_xlfn.XLOOKUP(A33,'JTS0501 2022'!BY:BY,'JTS0501 2022'!BZ:BZ)</f>
        <v>25.407543686763901</v>
      </c>
      <c r="Q33">
        <f>_xlfn.XLOOKUP(A33,'JTS0501 2022'!BY:BY,'JTS0501 2022'!CI:CI)</f>
        <v>18.8461702712065</v>
      </c>
      <c r="R33">
        <f>_xlfn.XLOOKUP(A33,'JTS0501 2022'!BY:BY,'JTS0501 2022'!CR:CR)</f>
        <v>13.0275073733185</v>
      </c>
      <c r="S33">
        <f>_xlfn.XLOOKUP(A33,'JTS0501 2022'!BY:BY,'JTS0501 2022'!DA:DA)</f>
        <v>44.901506138323199</v>
      </c>
      <c r="T33" s="50">
        <v>2475</v>
      </c>
      <c r="U33" s="50">
        <v>1250</v>
      </c>
      <c r="V33" s="50">
        <v>732</v>
      </c>
      <c r="W33" s="50">
        <v>1025</v>
      </c>
      <c r="X33" s="50">
        <v>1950</v>
      </c>
      <c r="Y33" s="50">
        <v>1550</v>
      </c>
      <c r="Z33" s="51">
        <f t="shared" si="0"/>
        <v>0.3201924278395602</v>
      </c>
      <c r="AA33" s="51">
        <f t="shared" si="1"/>
        <v>0.37711552612214866</v>
      </c>
      <c r="AB33" s="51">
        <f t="shared" si="2"/>
        <v>0.26185971077172593</v>
      </c>
      <c r="AC33" s="51">
        <f t="shared" si="3"/>
        <v>0.32943641032571969</v>
      </c>
      <c r="AD33" s="51">
        <f t="shared" si="4"/>
        <v>0.32215101876478863</v>
      </c>
      <c r="AE33">
        <f t="shared" si="5"/>
        <v>20.351370482284203</v>
      </c>
      <c r="AF33">
        <f>_xlfn.XLOOKUP(A33,'House Prices'!C:C,'House Prices'!Z:Z)</f>
        <v>9.4700000000000006</v>
      </c>
      <c r="AG33" s="51">
        <f t="shared" si="6"/>
        <v>0.5535985373630945</v>
      </c>
      <c r="AH33" s="70">
        <v>1780</v>
      </c>
    </row>
    <row r="34" spans="1:34">
      <c r="A34" s="29" t="s">
        <v>883</v>
      </c>
      <c r="B34" s="30">
        <v>728.7</v>
      </c>
      <c r="C34" s="31">
        <v>814.6</v>
      </c>
      <c r="D34" s="31">
        <v>613.29999999999995</v>
      </c>
      <c r="E34" s="31">
        <v>274.39999999999998</v>
      </c>
      <c r="F34" s="31">
        <v>853.2</v>
      </c>
      <c r="G34" s="67" t="s">
        <v>946</v>
      </c>
      <c r="H34" s="27">
        <v>1444.12</v>
      </c>
      <c r="I34" s="27">
        <v>1684.8066666666664</v>
      </c>
      <c r="J34" s="27">
        <v>1925.4933333333331</v>
      </c>
      <c r="K34" s="27">
        <v>2166.1799999999998</v>
      </c>
      <c r="L34" s="27">
        <v>2647.5533333333333</v>
      </c>
      <c r="M34" s="27">
        <v>3128.9266666666663</v>
      </c>
      <c r="N34" s="27">
        <v>3610.2999999999997</v>
      </c>
      <c r="O34" s="25">
        <v>4332.3599999999997</v>
      </c>
      <c r="P34">
        <f>_xlfn.XLOOKUP(A34,'JTS0501 2022'!BY:BY,'JTS0501 2022'!BZ:BZ)</f>
        <v>20.862849949045799</v>
      </c>
      <c r="Q34">
        <f>_xlfn.XLOOKUP(A34,'JTS0501 2022'!BY:BY,'JTS0501 2022'!CI:CI)</f>
        <v>14.210072850447601</v>
      </c>
      <c r="R34">
        <f>_xlfn.XLOOKUP(A34,'JTS0501 2022'!BY:BY,'JTS0501 2022'!CR:CR)</f>
        <v>10.8942694673145</v>
      </c>
      <c r="S34">
        <f>_xlfn.XLOOKUP(A34,'JTS0501 2022'!BY:BY,'JTS0501 2022'!DA:DA)</f>
        <v>28.423714403111401</v>
      </c>
      <c r="T34" s="50">
        <v>2500</v>
      </c>
      <c r="U34" s="50">
        <v>1250</v>
      </c>
      <c r="V34" s="50">
        <v>0</v>
      </c>
      <c r="W34" s="50">
        <v>931</v>
      </c>
      <c r="X34" s="50">
        <v>1950</v>
      </c>
      <c r="Y34" s="50">
        <v>1550</v>
      </c>
      <c r="Z34" s="51">
        <f t="shared" si="0"/>
        <v>0.28572305425975936</v>
      </c>
      <c r="AA34" s="51">
        <f t="shared" si="1"/>
        <v>0.37950432088700475</v>
      </c>
      <c r="AB34" s="51">
        <f t="shared" si="2"/>
        <v>0.27137754744730019</v>
      </c>
      <c r="AC34" s="51">
        <f t="shared" si="3"/>
        <v>0.34141046291757121</v>
      </c>
      <c r="AD34" s="51">
        <f t="shared" si="4"/>
        <v>0.31950384637790885</v>
      </c>
      <c r="AE34">
        <f t="shared" si="5"/>
        <v>15.945712499673657</v>
      </c>
      <c r="AF34">
        <f>_xlfn.XLOOKUP(A34,'House Prices'!C:C,'House Prices'!Z:Z)</f>
        <v>10.35</v>
      </c>
      <c r="AG34" s="51">
        <f t="shared" si="6"/>
        <v>0.54223788939206796</v>
      </c>
      <c r="AH34" s="70" t="str">
        <f>_xlfn.XLOOKUP(G34,'TfL Fare'!A28:A71,'TfL Fare'!I28:I71)</f>
        <v>£1,340</v>
      </c>
    </row>
    <row r="36" spans="1:34">
      <c r="G36" s="37"/>
    </row>
    <row r="37" spans="1:34" hidden="1">
      <c r="A37" s="29" t="s">
        <v>939</v>
      </c>
      <c r="B37" t="s">
        <v>940</v>
      </c>
      <c r="G37" s="37"/>
    </row>
    <row r="38" spans="1:34" hidden="1">
      <c r="A38" s="31">
        <v>266.39999999999998</v>
      </c>
      <c r="B38" s="31">
        <v>744.1</v>
      </c>
      <c r="G38" s="68"/>
    </row>
    <row r="39" spans="1:34" hidden="1">
      <c r="A39" s="31">
        <v>257.7</v>
      </c>
      <c r="B39" s="31">
        <v>862.4</v>
      </c>
    </row>
    <row r="40" spans="1:34" hidden="1">
      <c r="A40" s="31">
        <v>240.7</v>
      </c>
      <c r="B40" s="31">
        <v>849.1</v>
      </c>
    </row>
    <row r="41" spans="1:34" hidden="1">
      <c r="A41" s="31">
        <v>289.5</v>
      </c>
      <c r="B41" s="31">
        <v>747.6</v>
      </c>
    </row>
    <row r="42" spans="1:34" hidden="1">
      <c r="A42" s="31">
        <v>252.1</v>
      </c>
      <c r="B42" s="31">
        <v>958.2</v>
      </c>
    </row>
    <row r="43" spans="1:34" hidden="1">
      <c r="A43" s="31">
        <v>275</v>
      </c>
      <c r="B43" s="31">
        <v>829.8</v>
      </c>
    </row>
    <row r="44" spans="1:34" hidden="1">
      <c r="A44" s="31">
        <v>243.3</v>
      </c>
      <c r="B44" s="31">
        <v>784.9</v>
      </c>
    </row>
    <row r="45" spans="1:34" hidden="1">
      <c r="A45" s="31">
        <v>251</v>
      </c>
      <c r="B45" s="31">
        <v>838.4</v>
      </c>
    </row>
    <row r="46" spans="1:34" hidden="1">
      <c r="A46" s="31">
        <v>280.60000000000002</v>
      </c>
      <c r="B46" s="31">
        <v>852.1</v>
      </c>
    </row>
    <row r="47" spans="1:34" hidden="1">
      <c r="A47" s="31">
        <v>230</v>
      </c>
      <c r="B47" s="31">
        <v>882</v>
      </c>
    </row>
    <row r="48" spans="1:34" hidden="1">
      <c r="A48" s="31">
        <v>262.2</v>
      </c>
      <c r="B48" s="31">
        <v>862.4</v>
      </c>
    </row>
    <row r="49" spans="1:2" hidden="1">
      <c r="A49" s="31">
        <v>240.5</v>
      </c>
      <c r="B49" s="31">
        <v>814.5</v>
      </c>
    </row>
    <row r="50" spans="1:2" hidden="1">
      <c r="A50" s="31">
        <v>255.6</v>
      </c>
      <c r="B50" s="31">
        <v>853.8</v>
      </c>
    </row>
    <row r="51" spans="1:2" hidden="1">
      <c r="A51" s="31">
        <v>286.39999999999998</v>
      </c>
      <c r="B51" s="31">
        <v>822.5</v>
      </c>
    </row>
    <row r="52" spans="1:2" hidden="1">
      <c r="A52" s="31">
        <v>274.3</v>
      </c>
      <c r="B52" s="31">
        <v>804.1</v>
      </c>
    </row>
    <row r="53" spans="1:2" hidden="1">
      <c r="A53" s="31">
        <v>239.7</v>
      </c>
      <c r="B53" s="31">
        <v>766.6</v>
      </c>
    </row>
    <row r="54" spans="1:2" hidden="1">
      <c r="A54" s="31">
        <v>276.60000000000002</v>
      </c>
      <c r="B54" s="31">
        <v>935</v>
      </c>
    </row>
    <row r="55" spans="1:2" hidden="1">
      <c r="A55" s="31">
        <v>291.7</v>
      </c>
      <c r="B55" s="31">
        <v>844</v>
      </c>
    </row>
    <row r="56" spans="1:2" hidden="1">
      <c r="A56" s="31">
        <v>288.5</v>
      </c>
      <c r="B56" s="31">
        <v>883.5</v>
      </c>
    </row>
    <row r="57" spans="1:2" hidden="1">
      <c r="A57" s="31">
        <v>248.8</v>
      </c>
      <c r="B57" s="31">
        <v>843</v>
      </c>
    </row>
    <row r="58" spans="1:2" hidden="1">
      <c r="A58" s="31">
        <v>256.10000000000002</v>
      </c>
      <c r="B58" s="31">
        <v>876.3</v>
      </c>
    </row>
    <row r="59" spans="1:2" hidden="1">
      <c r="A59" s="31">
        <v>246.1</v>
      </c>
      <c r="B59" s="31">
        <v>758.8</v>
      </c>
    </row>
    <row r="60" spans="1:2" hidden="1">
      <c r="A60" s="31">
        <v>240.2</v>
      </c>
      <c r="B60" s="31">
        <v>820.1</v>
      </c>
    </row>
    <row r="61" spans="1:2" hidden="1">
      <c r="A61" s="31">
        <v>241.4</v>
      </c>
      <c r="B61" s="31">
        <v>962</v>
      </c>
    </row>
    <row r="62" spans="1:2" hidden="1">
      <c r="A62" s="31">
        <v>239.1</v>
      </c>
      <c r="B62" s="31">
        <v>880.4</v>
      </c>
    </row>
    <row r="63" spans="1:2" hidden="1">
      <c r="A63" s="31">
        <v>274.39999999999998</v>
      </c>
      <c r="B63" s="31">
        <v>853.2</v>
      </c>
    </row>
    <row r="64" spans="1:2" hidden="1">
      <c r="A64" s="31">
        <v>240.9</v>
      </c>
      <c r="B64" s="31">
        <v>882.2</v>
      </c>
    </row>
    <row r="65" spans="1:9" hidden="1">
      <c r="A65" s="31">
        <v>242.5</v>
      </c>
      <c r="B65" s="31">
        <v>839.7</v>
      </c>
    </row>
    <row r="66" spans="1:9" hidden="1">
      <c r="A66" s="31">
        <v>251.3</v>
      </c>
      <c r="B66" s="31">
        <v>921.1</v>
      </c>
    </row>
    <row r="67" spans="1:9" hidden="1">
      <c r="A67" s="31">
        <v>258.10000000000002</v>
      </c>
      <c r="B67" s="31">
        <v>958.2</v>
      </c>
    </row>
    <row r="70" spans="1:9" ht="14.5" customHeight="1">
      <c r="A70" s="82" t="s">
        <v>938</v>
      </c>
      <c r="B70" s="84" t="s">
        <v>1102</v>
      </c>
      <c r="C70" s="85" t="s">
        <v>1107</v>
      </c>
      <c r="E70" s="82" t="s">
        <v>938</v>
      </c>
      <c r="F70" s="84" t="s">
        <v>1103</v>
      </c>
      <c r="G70" s="82" t="s">
        <v>938</v>
      </c>
      <c r="H70" s="52" t="s">
        <v>1103</v>
      </c>
      <c r="I70" s="84"/>
    </row>
    <row r="71" spans="1:9">
      <c r="A71" s="83"/>
      <c r="B71" s="84"/>
      <c r="C71" s="85"/>
      <c r="E71" s="83"/>
      <c r="F71" s="84"/>
      <c r="G71" s="83"/>
      <c r="I71" s="84"/>
    </row>
    <row r="72" spans="1:9">
      <c r="A72" s="29" t="s">
        <v>911</v>
      </c>
      <c r="B72" s="51">
        <v>0.9731784656215281</v>
      </c>
      <c r="C72" s="70" t="s">
        <v>977</v>
      </c>
      <c r="E72" s="29" t="s">
        <v>870</v>
      </c>
      <c r="F72" s="51">
        <v>0.31794280087513305</v>
      </c>
      <c r="G72" s="29" t="s">
        <v>861</v>
      </c>
      <c r="H72" s="51">
        <v>0.69132216091640442</v>
      </c>
      <c r="I72" s="51"/>
    </row>
    <row r="73" spans="1:9">
      <c r="A73" s="29" t="s">
        <v>887</v>
      </c>
      <c r="B73" s="51">
        <v>0.89656930884400365</v>
      </c>
      <c r="C73" s="70" t="s">
        <v>977</v>
      </c>
      <c r="E73" s="29" t="s">
        <v>883</v>
      </c>
      <c r="F73" s="51">
        <v>0.31950384637790885</v>
      </c>
      <c r="G73" s="29" t="s">
        <v>911</v>
      </c>
      <c r="H73" s="51">
        <v>0.56732032393153253</v>
      </c>
      <c r="I73" s="51"/>
    </row>
    <row r="74" spans="1:9" ht="14.5" customHeight="1">
      <c r="A74" s="29" t="s">
        <v>861</v>
      </c>
      <c r="B74" s="51">
        <v>0.80471318158100691</v>
      </c>
      <c r="C74" s="70">
        <v>2100</v>
      </c>
      <c r="E74" s="29" t="s">
        <v>862</v>
      </c>
      <c r="F74" s="51">
        <v>0.32215101876478863</v>
      </c>
      <c r="G74" s="29" t="s">
        <v>887</v>
      </c>
      <c r="H74" s="51">
        <v>0.54192070151999572</v>
      </c>
      <c r="I74" s="51"/>
    </row>
    <row r="75" spans="1:9">
      <c r="A75" s="29" t="s">
        <v>866</v>
      </c>
      <c r="B75" s="51">
        <v>0.78899918032786887</v>
      </c>
      <c r="C75" s="70">
        <v>2100</v>
      </c>
      <c r="E75" s="29" t="s">
        <v>857</v>
      </c>
      <c r="F75" s="51">
        <v>0.32730054439360962</v>
      </c>
      <c r="G75" s="29" t="s">
        <v>884</v>
      </c>
      <c r="H75" s="51">
        <v>0.50440520320262228</v>
      </c>
      <c r="I75" s="51"/>
    </row>
    <row r="76" spans="1:9">
      <c r="A76" s="29" t="s">
        <v>879</v>
      </c>
      <c r="B76" s="51">
        <v>0.7641512030193427</v>
      </c>
      <c r="C76" s="70">
        <v>1484</v>
      </c>
      <c r="E76" s="29" t="s">
        <v>920</v>
      </c>
      <c r="F76" s="51">
        <v>0.34269015570985234</v>
      </c>
      <c r="G76" s="29" t="s">
        <v>879</v>
      </c>
      <c r="H76" s="51">
        <v>0.47467144677192186</v>
      </c>
      <c r="I76" s="51"/>
    </row>
    <row r="77" spans="1:9">
      <c r="A77" s="29" t="s">
        <v>860</v>
      </c>
      <c r="B77" s="51">
        <v>0.75176329018602195</v>
      </c>
      <c r="C77" s="70">
        <v>1780</v>
      </c>
      <c r="E77" s="29"/>
      <c r="F77" s="51"/>
    </row>
    <row r="78" spans="1:9">
      <c r="A78" s="29" t="s">
        <v>873</v>
      </c>
      <c r="B78" s="51">
        <v>0.74659994452662715</v>
      </c>
      <c r="C78" s="70">
        <v>2100</v>
      </c>
      <c r="E78" s="29"/>
      <c r="F78" s="51"/>
    </row>
    <row r="79" spans="1:9">
      <c r="A79" s="29" t="s">
        <v>884</v>
      </c>
      <c r="B79" s="51">
        <v>0.7223176233963905</v>
      </c>
      <c r="C79" s="70">
        <v>1788</v>
      </c>
      <c r="E79" s="29"/>
      <c r="F79" s="51"/>
    </row>
    <row r="80" spans="1:9">
      <c r="A80" s="29" t="s">
        <v>858</v>
      </c>
      <c r="B80" s="51">
        <v>0.72169738863287258</v>
      </c>
      <c r="C80" s="70">
        <v>1484</v>
      </c>
      <c r="E80" s="29"/>
      <c r="F80" s="51"/>
    </row>
    <row r="81" spans="1:6">
      <c r="A81" s="30" t="s">
        <v>891</v>
      </c>
      <c r="B81" s="51">
        <v>0.72071130418230278</v>
      </c>
      <c r="C81" s="70">
        <v>1340</v>
      </c>
      <c r="E81" s="29"/>
      <c r="F81" s="51"/>
    </row>
    <row r="82" spans="1:6">
      <c r="A82" s="29" t="s">
        <v>863</v>
      </c>
      <c r="B82" s="51">
        <v>0.68901930003894096</v>
      </c>
      <c r="C82" s="70" t="s">
        <v>1022</v>
      </c>
      <c r="E82" s="29"/>
      <c r="F82" s="51"/>
    </row>
    <row r="83" spans="1:6">
      <c r="A83" s="29" t="s">
        <v>872</v>
      </c>
      <c r="B83" s="51">
        <v>0.68762987259214314</v>
      </c>
      <c r="C83" s="70">
        <v>2236</v>
      </c>
      <c r="E83" s="29"/>
      <c r="F83" s="51"/>
    </row>
    <row r="84" spans="1:6">
      <c r="A84" s="29" t="s">
        <v>868</v>
      </c>
      <c r="B84" s="51">
        <v>0.68171544380324278</v>
      </c>
      <c r="C84" s="70" t="s">
        <v>1015</v>
      </c>
      <c r="E84" s="29"/>
      <c r="F84" s="51"/>
    </row>
    <row r="85" spans="1:6">
      <c r="A85" s="29" t="s">
        <v>903</v>
      </c>
      <c r="B85" s="51">
        <v>0.67801007096639532</v>
      </c>
      <c r="C85" s="70">
        <v>1340</v>
      </c>
      <c r="E85" s="29"/>
      <c r="F85" s="51"/>
    </row>
    <row r="86" spans="1:6">
      <c r="A86" s="29" t="s">
        <v>876</v>
      </c>
      <c r="B86" s="51">
        <v>0.67655845038040308</v>
      </c>
      <c r="C86" s="70">
        <v>2100</v>
      </c>
      <c r="E86" s="29"/>
      <c r="F86" s="51"/>
    </row>
    <row r="87" spans="1:6">
      <c r="A87" s="29" t="s">
        <v>882</v>
      </c>
      <c r="B87" s="51">
        <v>0.66951401217347195</v>
      </c>
      <c r="C87" s="70">
        <v>2100</v>
      </c>
      <c r="E87" s="29"/>
      <c r="F87" s="51"/>
    </row>
    <row r="88" spans="1:6">
      <c r="A88" s="29" t="s">
        <v>869</v>
      </c>
      <c r="B88" s="51">
        <v>0.65022663877266385</v>
      </c>
      <c r="C88" s="70" t="s">
        <v>1015</v>
      </c>
      <c r="E88" s="29"/>
      <c r="F88" s="51"/>
    </row>
    <row r="89" spans="1:6">
      <c r="A89" s="29" t="s">
        <v>864</v>
      </c>
      <c r="B89" s="51">
        <v>0.6469062725678324</v>
      </c>
      <c r="C89" s="70">
        <v>1484</v>
      </c>
      <c r="E89" s="29"/>
      <c r="F89" s="51"/>
    </row>
    <row r="90" spans="1:6">
      <c r="A90" s="29" t="s">
        <v>880</v>
      </c>
      <c r="B90" s="51">
        <v>0.63963222471350267</v>
      </c>
      <c r="C90" s="70" t="s">
        <v>1015</v>
      </c>
      <c r="E90" s="29"/>
      <c r="F90" s="51"/>
    </row>
    <row r="91" spans="1:6">
      <c r="A91" s="29" t="s">
        <v>859</v>
      </c>
      <c r="B91" s="51">
        <v>0.62661360002063338</v>
      </c>
      <c r="C91" s="70" t="s">
        <v>1015</v>
      </c>
      <c r="E91" s="29"/>
      <c r="F91" s="51"/>
    </row>
    <row r="92" spans="1:6">
      <c r="A92" s="29" t="s">
        <v>877</v>
      </c>
      <c r="B92" s="51">
        <v>0.62635605417138551</v>
      </c>
      <c r="C92" s="70">
        <v>1484</v>
      </c>
      <c r="E92" s="29"/>
      <c r="F92" s="51"/>
    </row>
    <row r="93" spans="1:6">
      <c r="A93" s="29" t="s">
        <v>878</v>
      </c>
      <c r="B93" s="51">
        <v>0.62070630081300804</v>
      </c>
      <c r="C93" s="70" t="s">
        <v>1015</v>
      </c>
      <c r="E93" s="29"/>
      <c r="F93" s="51"/>
    </row>
    <row r="94" spans="1:6">
      <c r="A94" s="29" t="s">
        <v>886</v>
      </c>
      <c r="B94" s="51">
        <v>0.61684157476580104</v>
      </c>
      <c r="C94" s="70">
        <v>2100</v>
      </c>
      <c r="E94" s="30"/>
      <c r="F94" s="51"/>
    </row>
    <row r="95" spans="1:6">
      <c r="A95" s="29" t="s">
        <v>865</v>
      </c>
      <c r="B95" s="51">
        <v>0.61617668311988605</v>
      </c>
      <c r="C95" s="70">
        <v>1484</v>
      </c>
      <c r="E95" s="29"/>
      <c r="F95" s="51"/>
    </row>
    <row r="96" spans="1:6">
      <c r="A96" s="29" t="s">
        <v>920</v>
      </c>
      <c r="B96" s="51">
        <v>0.61411963996763752</v>
      </c>
      <c r="C96" s="70">
        <v>1780</v>
      </c>
      <c r="E96" s="29"/>
      <c r="F96" s="51"/>
    </row>
    <row r="97" spans="1:6">
      <c r="A97" s="29" t="s">
        <v>913</v>
      </c>
      <c r="B97" s="51">
        <v>0.60934349509669139</v>
      </c>
      <c r="C97" s="70">
        <v>1780</v>
      </c>
      <c r="E97" s="29"/>
      <c r="F97" s="51"/>
    </row>
    <row r="98" spans="1:6">
      <c r="A98" s="29" t="s">
        <v>885</v>
      </c>
      <c r="B98" s="51">
        <v>0.60737192884677904</v>
      </c>
      <c r="C98" s="70" t="s">
        <v>1019</v>
      </c>
      <c r="E98" s="29"/>
      <c r="F98" s="51"/>
    </row>
    <row r="99" spans="1:6">
      <c r="A99" s="29" t="s">
        <v>871</v>
      </c>
      <c r="B99" s="51">
        <v>0.58172410252693629</v>
      </c>
      <c r="C99" s="70" t="s">
        <v>1015</v>
      </c>
      <c r="E99" s="29"/>
      <c r="F99" s="51"/>
    </row>
    <row r="100" spans="1:6">
      <c r="A100" s="29" t="s">
        <v>870</v>
      </c>
      <c r="B100" s="51">
        <v>0.55711639467266938</v>
      </c>
      <c r="C100" s="70" t="s">
        <v>1015</v>
      </c>
      <c r="E100" s="29"/>
      <c r="F100" s="51"/>
    </row>
    <row r="101" spans="1:6">
      <c r="A101" s="29" t="s">
        <v>857</v>
      </c>
      <c r="B101" s="51">
        <v>0.55518355257020247</v>
      </c>
      <c r="C101" s="70" t="s">
        <v>1015</v>
      </c>
      <c r="E101" s="29"/>
      <c r="F101" s="51"/>
    </row>
    <row r="102" spans="1:6">
      <c r="A102" s="29" t="s">
        <v>862</v>
      </c>
      <c r="B102" s="51">
        <v>0.5535985373630945</v>
      </c>
      <c r="C102" s="70">
        <v>1780</v>
      </c>
      <c r="E102" s="29"/>
      <c r="F102" s="51"/>
    </row>
    <row r="103" spans="1:6">
      <c r="A103" s="29" t="s">
        <v>883</v>
      </c>
      <c r="B103" s="51">
        <v>0.54223788939206796</v>
      </c>
      <c r="C103" s="70" t="s">
        <v>1015</v>
      </c>
      <c r="E103" s="29"/>
      <c r="F103" s="51"/>
    </row>
  </sheetData>
  <autoFilter ref="A1:AH2" xr:uid="{1A20072C-2E85-4E05-8484-B3A3B96D8AA5}">
    <sortState xmlns:xlrd2="http://schemas.microsoft.com/office/spreadsheetml/2017/richdata2" ref="A4:AH34">
      <sortCondition descending="1" ref="AG1:AG2"/>
    </sortState>
  </autoFilter>
  <mergeCells count="9">
    <mergeCell ref="I70:I71"/>
    <mergeCell ref="A1:A2"/>
    <mergeCell ref="B1:B2"/>
    <mergeCell ref="B70:B71"/>
    <mergeCell ref="C70:C71"/>
    <mergeCell ref="A70:A71"/>
    <mergeCell ref="E70:E71"/>
    <mergeCell ref="G70:G71"/>
    <mergeCell ref="F70:F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A274-A524-49A8-86A5-1A2FA1C27443}">
  <dimension ref="A1"/>
  <sheetViews>
    <sheetView workbookViewId="0">
      <selection activeCell="F7" sqref="F7"/>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0DC9-3980-4E9C-BABF-55C622EE69D4}">
  <dimension ref="A1:I47"/>
  <sheetViews>
    <sheetView topLeftCell="A25" workbookViewId="0">
      <selection activeCell="F32" sqref="F32"/>
    </sheetView>
  </sheetViews>
  <sheetFormatPr defaultRowHeight="14.5"/>
  <cols>
    <col min="1" max="1" width="10.7265625" bestFit="1" customWidth="1"/>
    <col min="2" max="2" width="15.81640625" bestFit="1" customWidth="1"/>
    <col min="3" max="3" width="11.81640625" bestFit="1" customWidth="1"/>
    <col min="4" max="4" width="15.36328125" bestFit="1" customWidth="1"/>
    <col min="5" max="5" width="10.7265625" bestFit="1" customWidth="1"/>
    <col min="6" max="6" width="10.90625" bestFit="1" customWidth="1"/>
    <col min="7" max="9" width="10.7265625" bestFit="1" customWidth="1"/>
  </cols>
  <sheetData>
    <row r="1" spans="1:9">
      <c r="A1" t="s">
        <v>927</v>
      </c>
      <c r="B1" t="s">
        <v>928</v>
      </c>
      <c r="C1" t="s">
        <v>929</v>
      </c>
      <c r="D1" t="s">
        <v>935</v>
      </c>
      <c r="E1" t="s">
        <v>936</v>
      </c>
      <c r="F1" t="s">
        <v>937</v>
      </c>
      <c r="G1" t="s">
        <v>961</v>
      </c>
      <c r="H1" t="s">
        <v>962</v>
      </c>
      <c r="I1" t="s">
        <v>963</v>
      </c>
    </row>
    <row r="2" spans="1:9">
      <c r="B2" t="s">
        <v>964</v>
      </c>
      <c r="E2" t="s">
        <v>965</v>
      </c>
    </row>
    <row r="3" spans="1:9">
      <c r="A3" t="s">
        <v>945</v>
      </c>
      <c r="B3" t="s">
        <v>966</v>
      </c>
      <c r="C3" t="s">
        <v>967</v>
      </c>
      <c r="D3" t="s">
        <v>968</v>
      </c>
      <c r="E3" t="s">
        <v>969</v>
      </c>
      <c r="F3" t="s">
        <v>970</v>
      </c>
      <c r="G3" t="s">
        <v>971</v>
      </c>
      <c r="H3" t="s">
        <v>972</v>
      </c>
      <c r="I3" t="s">
        <v>842</v>
      </c>
    </row>
    <row r="4" spans="1:9">
      <c r="A4" t="s">
        <v>951</v>
      </c>
      <c r="B4" t="s">
        <v>973</v>
      </c>
      <c r="C4" t="s">
        <v>973</v>
      </c>
      <c r="D4" t="s">
        <v>974</v>
      </c>
      <c r="E4" t="s">
        <v>975</v>
      </c>
      <c r="F4" t="s">
        <v>975</v>
      </c>
      <c r="G4" t="s">
        <v>974</v>
      </c>
      <c r="H4" t="s">
        <v>976</v>
      </c>
      <c r="I4" t="s">
        <v>977</v>
      </c>
    </row>
    <row r="5" spans="1:9">
      <c r="A5" t="s">
        <v>958</v>
      </c>
      <c r="B5" t="s">
        <v>973</v>
      </c>
      <c r="C5" t="s">
        <v>973</v>
      </c>
      <c r="D5" t="s">
        <v>974</v>
      </c>
      <c r="E5" t="s">
        <v>975</v>
      </c>
      <c r="F5" t="s">
        <v>975</v>
      </c>
      <c r="G5" t="s">
        <v>974</v>
      </c>
      <c r="H5" t="s">
        <v>976</v>
      </c>
      <c r="I5" t="s">
        <v>977</v>
      </c>
    </row>
    <row r="6" spans="1:9">
      <c r="A6" t="s">
        <v>950</v>
      </c>
      <c r="B6" t="s">
        <v>978</v>
      </c>
      <c r="C6" t="s">
        <v>978</v>
      </c>
      <c r="D6" t="s">
        <v>979</v>
      </c>
      <c r="E6" t="s">
        <v>975</v>
      </c>
      <c r="F6" t="s">
        <v>975</v>
      </c>
      <c r="G6" t="s">
        <v>979</v>
      </c>
      <c r="H6" t="s">
        <v>980</v>
      </c>
      <c r="I6" s="65">
        <v>2100</v>
      </c>
    </row>
    <row r="7" spans="1:9">
      <c r="A7" t="s">
        <v>981</v>
      </c>
      <c r="B7" t="s">
        <v>982</v>
      </c>
      <c r="C7" t="s">
        <v>982</v>
      </c>
      <c r="D7" t="s">
        <v>983</v>
      </c>
      <c r="E7" t="s">
        <v>975</v>
      </c>
      <c r="F7" t="s">
        <v>975</v>
      </c>
      <c r="G7" t="s">
        <v>983</v>
      </c>
      <c r="H7" t="s">
        <v>984</v>
      </c>
      <c r="I7" t="s">
        <v>985</v>
      </c>
    </row>
    <row r="8" spans="1:9">
      <c r="A8" t="s">
        <v>986</v>
      </c>
      <c r="B8" t="s">
        <v>987</v>
      </c>
      <c r="C8" t="s">
        <v>987</v>
      </c>
      <c r="D8" t="s">
        <v>988</v>
      </c>
      <c r="E8" t="s">
        <v>989</v>
      </c>
      <c r="F8" t="s">
        <v>975</v>
      </c>
      <c r="G8" t="s">
        <v>988</v>
      </c>
      <c r="H8" t="s">
        <v>990</v>
      </c>
      <c r="I8" t="s">
        <v>991</v>
      </c>
    </row>
    <row r="9" spans="1:9">
      <c r="A9" t="s">
        <v>992</v>
      </c>
      <c r="B9" t="s">
        <v>993</v>
      </c>
      <c r="C9" t="s">
        <v>993</v>
      </c>
      <c r="D9" t="s">
        <v>994</v>
      </c>
      <c r="E9" t="s">
        <v>989</v>
      </c>
      <c r="F9" t="s">
        <v>975</v>
      </c>
      <c r="G9" t="s">
        <v>994</v>
      </c>
      <c r="H9" t="s">
        <v>995</v>
      </c>
      <c r="I9" t="s">
        <v>996</v>
      </c>
    </row>
    <row r="10" spans="1:9">
      <c r="A10" t="s">
        <v>997</v>
      </c>
      <c r="B10" t="s">
        <v>998</v>
      </c>
      <c r="C10" t="s">
        <v>993</v>
      </c>
      <c r="D10" t="s">
        <v>999</v>
      </c>
      <c r="E10" t="s">
        <v>1000</v>
      </c>
      <c r="F10" t="s">
        <v>998</v>
      </c>
      <c r="G10" t="s">
        <v>999</v>
      </c>
      <c r="H10" t="s">
        <v>1001</v>
      </c>
      <c r="I10" t="s">
        <v>1002</v>
      </c>
    </row>
    <row r="11" spans="1:9">
      <c r="A11" t="s">
        <v>1003</v>
      </c>
      <c r="B11" t="s">
        <v>1004</v>
      </c>
      <c r="C11" t="s">
        <v>993</v>
      </c>
      <c r="D11" t="s">
        <v>1005</v>
      </c>
      <c r="E11" t="s">
        <v>1000</v>
      </c>
      <c r="F11" t="s">
        <v>998</v>
      </c>
      <c r="G11" t="s">
        <v>1005</v>
      </c>
      <c r="H11" t="s">
        <v>1006</v>
      </c>
      <c r="I11" t="s">
        <v>1007</v>
      </c>
    </row>
    <row r="12" spans="1:9">
      <c r="A12" t="s">
        <v>1008</v>
      </c>
      <c r="B12" t="s">
        <v>1009</v>
      </c>
      <c r="C12" t="s">
        <v>993</v>
      </c>
      <c r="D12" t="s">
        <v>1010</v>
      </c>
      <c r="E12" t="s">
        <v>1000</v>
      </c>
      <c r="F12" t="s">
        <v>998</v>
      </c>
      <c r="G12" t="s">
        <v>1010</v>
      </c>
      <c r="H12" t="s">
        <v>1011</v>
      </c>
      <c r="I12" t="s">
        <v>1012</v>
      </c>
    </row>
    <row r="13" spans="1:9">
      <c r="A13" t="s">
        <v>954</v>
      </c>
      <c r="B13" t="s">
        <v>973</v>
      </c>
      <c r="C13" t="s">
        <v>973</v>
      </c>
      <c r="D13" t="s">
        <v>1013</v>
      </c>
      <c r="E13" t="s">
        <v>975</v>
      </c>
      <c r="F13" t="s">
        <v>975</v>
      </c>
      <c r="G13" t="s">
        <v>1013</v>
      </c>
      <c r="H13" t="s">
        <v>1014</v>
      </c>
      <c r="I13" s="37">
        <v>1340</v>
      </c>
    </row>
    <row r="14" spans="1:9">
      <c r="A14" t="s">
        <v>1016</v>
      </c>
      <c r="B14" t="s">
        <v>978</v>
      </c>
      <c r="C14" t="s">
        <v>978</v>
      </c>
      <c r="D14" t="s">
        <v>1013</v>
      </c>
      <c r="E14" t="s">
        <v>975</v>
      </c>
      <c r="F14" t="s">
        <v>975</v>
      </c>
      <c r="G14" t="s">
        <v>1013</v>
      </c>
      <c r="H14" t="s">
        <v>1014</v>
      </c>
      <c r="I14" t="s">
        <v>1015</v>
      </c>
    </row>
    <row r="15" spans="1:9">
      <c r="A15" t="s">
        <v>953</v>
      </c>
      <c r="B15" t="s">
        <v>982</v>
      </c>
      <c r="C15" t="s">
        <v>982</v>
      </c>
      <c r="D15" t="s">
        <v>1017</v>
      </c>
      <c r="E15" t="s">
        <v>975</v>
      </c>
      <c r="F15" t="s">
        <v>975</v>
      </c>
      <c r="G15" t="s">
        <v>1017</v>
      </c>
      <c r="H15" t="s">
        <v>1018</v>
      </c>
      <c r="I15" s="65">
        <v>1484</v>
      </c>
    </row>
    <row r="16" spans="1:9">
      <c r="A16" t="s">
        <v>952</v>
      </c>
      <c r="B16" t="s">
        <v>987</v>
      </c>
      <c r="C16" t="s">
        <v>987</v>
      </c>
      <c r="D16" t="s">
        <v>1020</v>
      </c>
      <c r="E16" t="s">
        <v>989</v>
      </c>
      <c r="F16" t="s">
        <v>975</v>
      </c>
      <c r="G16" t="s">
        <v>1020</v>
      </c>
      <c r="H16" t="s">
        <v>1021</v>
      </c>
      <c r="I16" t="s">
        <v>1022</v>
      </c>
    </row>
    <row r="17" spans="1:9">
      <c r="A17" t="s">
        <v>957</v>
      </c>
      <c r="B17" t="s">
        <v>993</v>
      </c>
      <c r="C17" t="s">
        <v>993</v>
      </c>
      <c r="D17" t="s">
        <v>1023</v>
      </c>
      <c r="E17" t="s">
        <v>989</v>
      </c>
      <c r="F17" t="s">
        <v>975</v>
      </c>
      <c r="G17" t="s">
        <v>1023</v>
      </c>
      <c r="H17" t="s">
        <v>1024</v>
      </c>
      <c r="I17" s="65">
        <v>2236</v>
      </c>
    </row>
    <row r="18" spans="1:9">
      <c r="A18" t="s">
        <v>1025</v>
      </c>
      <c r="B18" t="s">
        <v>998</v>
      </c>
      <c r="C18" t="s">
        <v>993</v>
      </c>
      <c r="D18" t="s">
        <v>1026</v>
      </c>
      <c r="E18" t="s">
        <v>1000</v>
      </c>
      <c r="F18" t="s">
        <v>998</v>
      </c>
      <c r="G18" t="s">
        <v>1026</v>
      </c>
      <c r="H18" t="s">
        <v>1027</v>
      </c>
      <c r="I18" t="s">
        <v>1028</v>
      </c>
    </row>
    <row r="19" spans="1:9">
      <c r="A19" t="s">
        <v>1029</v>
      </c>
      <c r="B19" t="s">
        <v>1004</v>
      </c>
      <c r="C19" t="s">
        <v>993</v>
      </c>
      <c r="D19" t="s">
        <v>1030</v>
      </c>
      <c r="E19" t="s">
        <v>1000</v>
      </c>
      <c r="F19" t="s">
        <v>998</v>
      </c>
      <c r="G19" t="s">
        <v>1030</v>
      </c>
      <c r="H19" t="s">
        <v>1031</v>
      </c>
      <c r="I19" t="s">
        <v>1032</v>
      </c>
    </row>
    <row r="20" spans="1:9">
      <c r="A20" t="s">
        <v>1033</v>
      </c>
      <c r="B20" t="s">
        <v>1009</v>
      </c>
      <c r="C20" t="s">
        <v>993</v>
      </c>
      <c r="D20" t="s">
        <v>1030</v>
      </c>
      <c r="E20" t="s">
        <v>1000</v>
      </c>
      <c r="F20" t="s">
        <v>998</v>
      </c>
      <c r="G20" t="s">
        <v>1030</v>
      </c>
      <c r="H20" t="s">
        <v>1031</v>
      </c>
      <c r="I20" t="s">
        <v>1032</v>
      </c>
    </row>
    <row r="21" spans="1:9">
      <c r="A21" t="s">
        <v>1034</v>
      </c>
      <c r="B21" t="s">
        <v>978</v>
      </c>
      <c r="C21" t="s">
        <v>978</v>
      </c>
      <c r="D21" t="s">
        <v>1013</v>
      </c>
      <c r="E21" t="s">
        <v>975</v>
      </c>
      <c r="F21" t="s">
        <v>975</v>
      </c>
      <c r="G21" t="s">
        <v>1013</v>
      </c>
      <c r="H21" t="s">
        <v>1014</v>
      </c>
      <c r="I21" t="s">
        <v>1015</v>
      </c>
    </row>
    <row r="22" spans="1:9">
      <c r="A22" t="s">
        <v>947</v>
      </c>
      <c r="B22" t="s">
        <v>982</v>
      </c>
      <c r="C22" t="s">
        <v>982</v>
      </c>
      <c r="D22" t="s">
        <v>1013</v>
      </c>
      <c r="E22" t="s">
        <v>975</v>
      </c>
      <c r="F22" t="s">
        <v>975</v>
      </c>
      <c r="G22" t="s">
        <v>1013</v>
      </c>
      <c r="H22" t="s">
        <v>1014</v>
      </c>
      <c r="I22" t="s">
        <v>1015</v>
      </c>
    </row>
    <row r="23" spans="1:9">
      <c r="A23" t="s">
        <v>960</v>
      </c>
      <c r="B23" t="s">
        <v>987</v>
      </c>
      <c r="C23" t="s">
        <v>987</v>
      </c>
      <c r="D23" t="s">
        <v>1017</v>
      </c>
      <c r="E23" t="s">
        <v>989</v>
      </c>
      <c r="F23" t="s">
        <v>975</v>
      </c>
      <c r="G23" t="s">
        <v>1017</v>
      </c>
      <c r="H23" t="s">
        <v>1018</v>
      </c>
      <c r="I23" t="s">
        <v>1019</v>
      </c>
    </row>
    <row r="24" spans="1:9">
      <c r="A24" t="s">
        <v>949</v>
      </c>
      <c r="B24" t="s">
        <v>993</v>
      </c>
      <c r="C24" t="s">
        <v>993</v>
      </c>
      <c r="D24" t="s">
        <v>1020</v>
      </c>
      <c r="E24" t="s">
        <v>989</v>
      </c>
      <c r="F24" t="s">
        <v>975</v>
      </c>
      <c r="G24" t="s">
        <v>1020</v>
      </c>
      <c r="H24" t="s">
        <v>1021</v>
      </c>
      <c r="I24" s="65">
        <v>1780</v>
      </c>
    </row>
    <row r="25" spans="1:9">
      <c r="A25" t="s">
        <v>1035</v>
      </c>
      <c r="B25" t="s">
        <v>998</v>
      </c>
      <c r="C25" t="s">
        <v>993</v>
      </c>
      <c r="D25" t="s">
        <v>1026</v>
      </c>
      <c r="E25" t="s">
        <v>1000</v>
      </c>
      <c r="F25" t="s">
        <v>998</v>
      </c>
      <c r="G25" t="s">
        <v>1026</v>
      </c>
      <c r="H25" t="s">
        <v>1027</v>
      </c>
      <c r="I25" t="s">
        <v>1028</v>
      </c>
    </row>
    <row r="26" spans="1:9">
      <c r="A26" t="s">
        <v>1036</v>
      </c>
      <c r="B26" t="s">
        <v>1004</v>
      </c>
      <c r="C26" t="s">
        <v>993</v>
      </c>
      <c r="D26" t="s">
        <v>1030</v>
      </c>
      <c r="E26" t="s">
        <v>1000</v>
      </c>
      <c r="F26" t="s">
        <v>998</v>
      </c>
      <c r="G26" t="s">
        <v>1030</v>
      </c>
      <c r="H26" t="s">
        <v>1031</v>
      </c>
      <c r="I26" t="s">
        <v>1032</v>
      </c>
    </row>
    <row r="27" spans="1:9">
      <c r="A27" t="s">
        <v>1037</v>
      </c>
      <c r="B27" t="s">
        <v>1009</v>
      </c>
      <c r="C27" t="s">
        <v>993</v>
      </c>
      <c r="D27" t="s">
        <v>1030</v>
      </c>
      <c r="E27" t="s">
        <v>1000</v>
      </c>
      <c r="F27" t="s">
        <v>998</v>
      </c>
      <c r="G27" t="s">
        <v>1030</v>
      </c>
      <c r="H27" t="s">
        <v>1031</v>
      </c>
      <c r="I27" t="s">
        <v>1032</v>
      </c>
    </row>
    <row r="28" spans="1:9">
      <c r="A28" t="s">
        <v>959</v>
      </c>
      <c r="B28" t="s">
        <v>982</v>
      </c>
      <c r="C28" t="s">
        <v>982</v>
      </c>
      <c r="D28" t="s">
        <v>1013</v>
      </c>
      <c r="E28" t="s">
        <v>975</v>
      </c>
      <c r="F28" t="s">
        <v>975</v>
      </c>
      <c r="G28" t="s">
        <v>1013</v>
      </c>
      <c r="H28" t="s">
        <v>1014</v>
      </c>
      <c r="I28" t="s">
        <v>1015</v>
      </c>
    </row>
    <row r="29" spans="1:9">
      <c r="A29" t="s">
        <v>946</v>
      </c>
      <c r="B29" t="s">
        <v>987</v>
      </c>
      <c r="C29" t="s">
        <v>987</v>
      </c>
      <c r="D29" t="s">
        <v>1013</v>
      </c>
      <c r="E29" t="s">
        <v>989</v>
      </c>
      <c r="F29" t="s">
        <v>975</v>
      </c>
      <c r="G29" t="s">
        <v>1013</v>
      </c>
      <c r="H29" t="s">
        <v>1014</v>
      </c>
      <c r="I29" t="s">
        <v>1015</v>
      </c>
    </row>
    <row r="30" spans="1:9">
      <c r="A30" t="s">
        <v>948</v>
      </c>
      <c r="B30" t="s">
        <v>993</v>
      </c>
      <c r="C30" t="s">
        <v>993</v>
      </c>
      <c r="D30" t="s">
        <v>1017</v>
      </c>
      <c r="E30" t="s">
        <v>989</v>
      </c>
      <c r="F30" t="s">
        <v>975</v>
      </c>
      <c r="G30" t="s">
        <v>1017</v>
      </c>
      <c r="H30" t="s">
        <v>1018</v>
      </c>
      <c r="I30" s="65">
        <v>1484</v>
      </c>
    </row>
    <row r="31" spans="1:9">
      <c r="A31" t="s">
        <v>1038</v>
      </c>
      <c r="B31" t="s">
        <v>998</v>
      </c>
      <c r="C31" t="s">
        <v>993</v>
      </c>
      <c r="D31" t="s">
        <v>1039</v>
      </c>
      <c r="E31" t="s">
        <v>1000</v>
      </c>
      <c r="F31" t="s">
        <v>998</v>
      </c>
      <c r="G31" t="s">
        <v>1039</v>
      </c>
      <c r="H31" t="s">
        <v>1040</v>
      </c>
      <c r="I31" t="s">
        <v>1041</v>
      </c>
    </row>
    <row r="32" spans="1:9">
      <c r="A32" t="s">
        <v>1042</v>
      </c>
      <c r="B32" t="s">
        <v>1004</v>
      </c>
      <c r="C32" t="s">
        <v>993</v>
      </c>
      <c r="D32" t="s">
        <v>1043</v>
      </c>
      <c r="E32" t="s">
        <v>1000</v>
      </c>
      <c r="F32" t="s">
        <v>998</v>
      </c>
      <c r="G32" t="s">
        <v>1043</v>
      </c>
      <c r="H32" t="s">
        <v>1044</v>
      </c>
      <c r="I32" t="s">
        <v>1045</v>
      </c>
    </row>
    <row r="33" spans="1:9">
      <c r="A33" t="s">
        <v>1046</v>
      </c>
      <c r="B33" t="s">
        <v>1009</v>
      </c>
      <c r="C33" t="s">
        <v>993</v>
      </c>
      <c r="D33" t="s">
        <v>1043</v>
      </c>
      <c r="E33" t="s">
        <v>1000</v>
      </c>
      <c r="F33" t="s">
        <v>998</v>
      </c>
      <c r="G33" t="s">
        <v>1043</v>
      </c>
      <c r="H33" t="s">
        <v>1044</v>
      </c>
      <c r="I33" t="s">
        <v>1045</v>
      </c>
    </row>
    <row r="34" spans="1:9">
      <c r="A34" t="s">
        <v>1047</v>
      </c>
      <c r="B34" t="s">
        <v>987</v>
      </c>
      <c r="C34" t="s">
        <v>987</v>
      </c>
      <c r="D34" t="s">
        <v>1013</v>
      </c>
      <c r="E34" t="s">
        <v>989</v>
      </c>
      <c r="F34" t="s">
        <v>975</v>
      </c>
      <c r="G34" t="s">
        <v>1013</v>
      </c>
      <c r="H34" t="s">
        <v>1014</v>
      </c>
      <c r="I34" t="s">
        <v>1015</v>
      </c>
    </row>
    <row r="35" spans="1:9">
      <c r="A35" t="s">
        <v>955</v>
      </c>
      <c r="B35" t="s">
        <v>993</v>
      </c>
      <c r="C35" t="s">
        <v>993</v>
      </c>
      <c r="D35" t="s">
        <v>1013</v>
      </c>
      <c r="E35" t="s">
        <v>989</v>
      </c>
      <c r="F35" t="s">
        <v>975</v>
      </c>
      <c r="G35" t="s">
        <v>1013</v>
      </c>
      <c r="H35" t="s">
        <v>1014</v>
      </c>
      <c r="I35" t="s">
        <v>1015</v>
      </c>
    </row>
    <row r="36" spans="1:9">
      <c r="A36" t="s">
        <v>1048</v>
      </c>
      <c r="B36" t="s">
        <v>998</v>
      </c>
      <c r="C36" t="s">
        <v>993</v>
      </c>
      <c r="D36" t="s">
        <v>1039</v>
      </c>
      <c r="E36" t="s">
        <v>1000</v>
      </c>
      <c r="F36" t="s">
        <v>998</v>
      </c>
      <c r="G36" t="s">
        <v>1039</v>
      </c>
      <c r="H36" t="s">
        <v>1040</v>
      </c>
      <c r="I36" t="s">
        <v>1041</v>
      </c>
    </row>
    <row r="37" spans="1:9">
      <c r="A37" t="s">
        <v>1049</v>
      </c>
      <c r="B37" t="s">
        <v>1004</v>
      </c>
      <c r="C37" t="s">
        <v>993</v>
      </c>
      <c r="D37" t="s">
        <v>1043</v>
      </c>
      <c r="E37" t="s">
        <v>1000</v>
      </c>
      <c r="F37" t="s">
        <v>998</v>
      </c>
      <c r="G37" t="s">
        <v>1043</v>
      </c>
      <c r="H37" t="s">
        <v>1044</v>
      </c>
      <c r="I37" t="s">
        <v>1045</v>
      </c>
    </row>
    <row r="38" spans="1:9">
      <c r="A38" t="s">
        <v>1050</v>
      </c>
      <c r="B38" t="s">
        <v>1009</v>
      </c>
      <c r="C38" t="s">
        <v>993</v>
      </c>
      <c r="D38" t="s">
        <v>1043</v>
      </c>
      <c r="E38" t="s">
        <v>1000</v>
      </c>
      <c r="F38" t="s">
        <v>998</v>
      </c>
      <c r="G38" t="s">
        <v>1043</v>
      </c>
      <c r="H38" t="s">
        <v>1044</v>
      </c>
      <c r="I38" t="s">
        <v>1045</v>
      </c>
    </row>
    <row r="39" spans="1:9">
      <c r="A39" t="s">
        <v>956</v>
      </c>
      <c r="B39" t="s">
        <v>993</v>
      </c>
      <c r="C39" t="s">
        <v>993</v>
      </c>
      <c r="D39" t="s">
        <v>1013</v>
      </c>
      <c r="E39" t="s">
        <v>989</v>
      </c>
      <c r="F39" t="s">
        <v>975</v>
      </c>
      <c r="G39" t="s">
        <v>1013</v>
      </c>
      <c r="H39" t="s">
        <v>1014</v>
      </c>
      <c r="I39" t="s">
        <v>1015</v>
      </c>
    </row>
    <row r="40" spans="1:9">
      <c r="A40" t="s">
        <v>1051</v>
      </c>
      <c r="B40" t="s">
        <v>998</v>
      </c>
      <c r="C40" t="s">
        <v>993</v>
      </c>
      <c r="D40" t="s">
        <v>1039</v>
      </c>
      <c r="E40" t="s">
        <v>1000</v>
      </c>
      <c r="F40" t="s">
        <v>998</v>
      </c>
      <c r="G40" t="s">
        <v>1039</v>
      </c>
      <c r="H40" t="s">
        <v>1040</v>
      </c>
      <c r="I40" t="s">
        <v>1041</v>
      </c>
    </row>
    <row r="41" spans="1:9">
      <c r="A41" t="s">
        <v>1052</v>
      </c>
      <c r="B41" t="s">
        <v>1004</v>
      </c>
      <c r="C41" t="s">
        <v>993</v>
      </c>
      <c r="D41" t="s">
        <v>1043</v>
      </c>
      <c r="E41" t="s">
        <v>1000</v>
      </c>
      <c r="F41" t="s">
        <v>998</v>
      </c>
      <c r="G41" t="s">
        <v>1043</v>
      </c>
      <c r="H41" t="s">
        <v>1044</v>
      </c>
      <c r="I41" t="s">
        <v>1045</v>
      </c>
    </row>
    <row r="42" spans="1:9">
      <c r="A42" t="s">
        <v>1053</v>
      </c>
      <c r="B42" t="s">
        <v>1009</v>
      </c>
      <c r="C42" t="s">
        <v>993</v>
      </c>
      <c r="D42" t="s">
        <v>1043</v>
      </c>
      <c r="E42" t="s">
        <v>1000</v>
      </c>
      <c r="F42" t="s">
        <v>998</v>
      </c>
      <c r="G42" t="s">
        <v>1043</v>
      </c>
      <c r="H42" t="s">
        <v>1044</v>
      </c>
      <c r="I42" t="s">
        <v>1045</v>
      </c>
    </row>
    <row r="43" spans="1:9">
      <c r="A43" t="s">
        <v>1054</v>
      </c>
      <c r="B43" t="s">
        <v>998</v>
      </c>
      <c r="C43" t="s">
        <v>993</v>
      </c>
      <c r="D43" t="s">
        <v>1039</v>
      </c>
      <c r="E43" t="s">
        <v>1039</v>
      </c>
      <c r="F43" t="s">
        <v>998</v>
      </c>
      <c r="G43" t="s">
        <v>1039</v>
      </c>
      <c r="H43" t="s">
        <v>1040</v>
      </c>
      <c r="I43" t="s">
        <v>1041</v>
      </c>
    </row>
    <row r="44" spans="1:9">
      <c r="A44" t="s">
        <v>1055</v>
      </c>
      <c r="B44" t="s">
        <v>1004</v>
      </c>
      <c r="C44" t="s">
        <v>993</v>
      </c>
      <c r="D44" t="s">
        <v>1043</v>
      </c>
      <c r="E44" t="s">
        <v>1043</v>
      </c>
      <c r="F44" t="s">
        <v>998</v>
      </c>
      <c r="G44" t="s">
        <v>1043</v>
      </c>
      <c r="H44" t="s">
        <v>1044</v>
      </c>
      <c r="I44" t="s">
        <v>1045</v>
      </c>
    </row>
    <row r="45" spans="1:9">
      <c r="A45" t="s">
        <v>1056</v>
      </c>
      <c r="B45" t="s">
        <v>1009</v>
      </c>
      <c r="C45" t="s">
        <v>993</v>
      </c>
      <c r="D45" t="s">
        <v>1043</v>
      </c>
      <c r="E45" t="s">
        <v>1043</v>
      </c>
      <c r="F45" t="s">
        <v>998</v>
      </c>
      <c r="G45" t="s">
        <v>1043</v>
      </c>
      <c r="H45" t="s">
        <v>1044</v>
      </c>
      <c r="I45" t="s">
        <v>1045</v>
      </c>
    </row>
    <row r="46" spans="1:9">
      <c r="A46" t="s">
        <v>1057</v>
      </c>
      <c r="B46" t="s">
        <v>1004</v>
      </c>
      <c r="C46" t="s">
        <v>993</v>
      </c>
      <c r="D46" t="s">
        <v>1043</v>
      </c>
      <c r="E46" t="s">
        <v>1043</v>
      </c>
      <c r="F46" t="s">
        <v>998</v>
      </c>
      <c r="G46" t="s">
        <v>1043</v>
      </c>
      <c r="H46" t="s">
        <v>1044</v>
      </c>
      <c r="I46" t="s">
        <v>1045</v>
      </c>
    </row>
    <row r="47" spans="1:9">
      <c r="A47" t="s">
        <v>1058</v>
      </c>
      <c r="B47" t="s">
        <v>1009</v>
      </c>
      <c r="C47" t="s">
        <v>993</v>
      </c>
      <c r="D47" t="s">
        <v>1043</v>
      </c>
      <c r="E47" t="s">
        <v>1043</v>
      </c>
      <c r="F47" t="s">
        <v>998</v>
      </c>
      <c r="G47" t="s">
        <v>1043</v>
      </c>
      <c r="H47" t="s">
        <v>1044</v>
      </c>
      <c r="I47" t="s">
        <v>1045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23B3-986A-4BFA-987D-3D9FEC1DBD2D}">
  <dimension ref="A1:Z35"/>
  <sheetViews>
    <sheetView topLeftCell="C1" workbookViewId="0">
      <selection activeCell="Z4" sqref="Z4"/>
    </sheetView>
  </sheetViews>
  <sheetFormatPr defaultRowHeight="14.5"/>
  <cols>
    <col min="1" max="2" width="0" hidden="1" customWidth="1"/>
    <col min="4" max="25" width="0" hidden="1" customWidth="1"/>
  </cols>
  <sheetData>
    <row r="1" spans="1:26">
      <c r="A1" s="21" t="s">
        <v>1082</v>
      </c>
      <c r="B1" s="21" t="s">
        <v>1083</v>
      </c>
      <c r="C1" s="21" t="s">
        <v>888</v>
      </c>
      <c r="D1" s="60">
        <v>2002</v>
      </c>
      <c r="E1" s="60">
        <v>2003</v>
      </c>
      <c r="F1" s="60">
        <v>2004</v>
      </c>
      <c r="G1" s="60">
        <v>2005</v>
      </c>
      <c r="H1" s="60">
        <v>2006</v>
      </c>
      <c r="I1" s="60">
        <v>2007</v>
      </c>
      <c r="J1" s="60">
        <v>2008</v>
      </c>
      <c r="K1" s="60">
        <v>2009</v>
      </c>
      <c r="L1" s="60">
        <v>2010</v>
      </c>
      <c r="M1" s="60">
        <v>2011</v>
      </c>
      <c r="N1" s="60">
        <v>2012</v>
      </c>
      <c r="O1" s="60">
        <v>2013</v>
      </c>
      <c r="P1" s="60">
        <v>2014</v>
      </c>
      <c r="Q1" s="60">
        <v>2015</v>
      </c>
      <c r="R1" s="60">
        <v>2016</v>
      </c>
      <c r="S1" s="60">
        <v>2017</v>
      </c>
      <c r="T1" s="60">
        <v>2018</v>
      </c>
      <c r="U1" s="60">
        <v>2019</v>
      </c>
      <c r="V1" s="60">
        <v>2020</v>
      </c>
      <c r="W1" s="60">
        <v>2021</v>
      </c>
      <c r="X1" s="60">
        <v>2022</v>
      </c>
      <c r="Y1" s="60">
        <v>2023</v>
      </c>
      <c r="Z1" s="60">
        <v>2024</v>
      </c>
    </row>
    <row r="2" spans="1:26">
      <c r="A2" s="30"/>
      <c r="B2" s="61"/>
      <c r="C2" s="61"/>
      <c r="D2" s="62"/>
      <c r="E2" s="62"/>
      <c r="F2" s="62"/>
      <c r="G2" s="62"/>
      <c r="H2" s="62"/>
      <c r="I2" s="62"/>
      <c r="J2" s="62"/>
      <c r="K2" s="62"/>
      <c r="L2" s="62"/>
      <c r="M2" s="62"/>
      <c r="N2" s="62"/>
      <c r="O2" s="62"/>
      <c r="P2" s="62"/>
      <c r="Q2" s="62"/>
      <c r="R2" s="62"/>
      <c r="S2" s="62"/>
      <c r="T2" s="30"/>
      <c r="U2" s="30"/>
      <c r="V2" s="30"/>
      <c r="W2" s="30"/>
      <c r="X2" s="30"/>
      <c r="Y2" s="30"/>
      <c r="Z2" s="30"/>
    </row>
    <row r="3" spans="1:26">
      <c r="A3" s="30" t="s">
        <v>545</v>
      </c>
      <c r="B3" s="28" t="s">
        <v>889</v>
      </c>
      <c r="C3" s="63" t="s">
        <v>855</v>
      </c>
      <c r="D3" s="64">
        <v>6.29</v>
      </c>
      <c r="E3" s="64" t="s">
        <v>1084</v>
      </c>
      <c r="F3" s="64" t="s">
        <v>1084</v>
      </c>
      <c r="G3" s="64" t="s">
        <v>1084</v>
      </c>
      <c r="H3" s="64" t="s">
        <v>1084</v>
      </c>
      <c r="I3" s="64" t="s">
        <v>1084</v>
      </c>
      <c r="J3" s="64" t="s">
        <v>1084</v>
      </c>
      <c r="K3" s="64">
        <v>9.52</v>
      </c>
      <c r="L3" s="64" t="s">
        <v>1084</v>
      </c>
      <c r="M3" s="64">
        <v>8.66</v>
      </c>
      <c r="N3" s="64" t="s">
        <v>1084</v>
      </c>
      <c r="O3" s="64" t="s">
        <v>1084</v>
      </c>
      <c r="P3" s="64" t="s">
        <v>1084</v>
      </c>
      <c r="Q3" s="64" t="s">
        <v>1084</v>
      </c>
      <c r="R3" s="64">
        <v>14.83</v>
      </c>
      <c r="S3" s="64" t="s">
        <v>1084</v>
      </c>
      <c r="T3" s="64">
        <v>16.489999999999998</v>
      </c>
      <c r="U3" s="64" t="s">
        <v>1084</v>
      </c>
      <c r="V3" s="64" t="s">
        <v>1084</v>
      </c>
      <c r="W3" s="64" t="s">
        <v>1084</v>
      </c>
      <c r="X3" s="64">
        <v>16.07</v>
      </c>
      <c r="Y3" s="64" t="s">
        <v>1084</v>
      </c>
      <c r="Z3" s="64" t="s">
        <v>1084</v>
      </c>
    </row>
    <row r="4" spans="1:26">
      <c r="A4" s="30" t="s">
        <v>572</v>
      </c>
      <c r="B4" s="28" t="s">
        <v>890</v>
      </c>
      <c r="C4" s="63" t="s">
        <v>891</v>
      </c>
      <c r="D4" s="64">
        <v>4.68</v>
      </c>
      <c r="E4" s="64">
        <v>6.26</v>
      </c>
      <c r="F4" s="64">
        <v>7.18</v>
      </c>
      <c r="G4" s="64">
        <v>7.15</v>
      </c>
      <c r="H4" s="64">
        <v>6.55</v>
      </c>
      <c r="I4" s="64">
        <v>7.05</v>
      </c>
      <c r="J4" s="64">
        <v>7.46</v>
      </c>
      <c r="K4" s="64">
        <v>5.71</v>
      </c>
      <c r="L4" s="64">
        <v>6.3</v>
      </c>
      <c r="M4" s="64">
        <v>6.56</v>
      </c>
      <c r="N4" s="64">
        <v>6.38</v>
      </c>
      <c r="O4" s="64">
        <v>6.28</v>
      </c>
      <c r="P4" s="64">
        <v>7.54</v>
      </c>
      <c r="Q4" s="64">
        <v>8.24</v>
      </c>
      <c r="R4" s="64">
        <v>9.89</v>
      </c>
      <c r="S4" s="64">
        <v>10</v>
      </c>
      <c r="T4" s="64">
        <v>10.4</v>
      </c>
      <c r="U4" s="64">
        <v>10.74</v>
      </c>
      <c r="V4" s="64">
        <v>9.74</v>
      </c>
      <c r="W4" s="64">
        <v>10.25</v>
      </c>
      <c r="X4" s="64">
        <v>10.76</v>
      </c>
      <c r="Y4" s="64">
        <v>10.89</v>
      </c>
      <c r="Z4" s="64">
        <v>9.52</v>
      </c>
    </row>
    <row r="5" spans="1:26">
      <c r="A5" s="30" t="s">
        <v>574</v>
      </c>
      <c r="B5" s="28" t="s">
        <v>892</v>
      </c>
      <c r="C5" s="63" t="s">
        <v>857</v>
      </c>
      <c r="D5" s="64">
        <v>7.42</v>
      </c>
      <c r="E5" s="64">
        <v>8.49</v>
      </c>
      <c r="F5" s="64">
        <v>8.64</v>
      </c>
      <c r="G5" s="64">
        <v>8.4600000000000009</v>
      </c>
      <c r="H5" s="64">
        <v>9.1199999999999992</v>
      </c>
      <c r="I5" s="64">
        <v>9.83</v>
      </c>
      <c r="J5" s="64">
        <v>9.16</v>
      </c>
      <c r="K5" s="64">
        <v>8.4700000000000006</v>
      </c>
      <c r="L5" s="64">
        <v>9.7200000000000006</v>
      </c>
      <c r="M5" s="64">
        <v>10.06</v>
      </c>
      <c r="N5" s="64">
        <v>10.050000000000001</v>
      </c>
      <c r="O5" s="64">
        <v>10.16</v>
      </c>
      <c r="P5" s="64">
        <v>12.14</v>
      </c>
      <c r="Q5" s="64">
        <v>13.3</v>
      </c>
      <c r="R5" s="64">
        <v>14.05</v>
      </c>
      <c r="S5" s="64">
        <v>13.7</v>
      </c>
      <c r="T5" s="64">
        <v>14.45</v>
      </c>
      <c r="U5" s="64">
        <v>14.19</v>
      </c>
      <c r="V5" s="64">
        <v>15.17</v>
      </c>
      <c r="W5" s="64">
        <v>16.010000000000002</v>
      </c>
      <c r="X5" s="64">
        <v>15.68</v>
      </c>
      <c r="Y5" s="64">
        <v>13.42</v>
      </c>
      <c r="Z5" s="64">
        <v>13.34</v>
      </c>
    </row>
    <row r="6" spans="1:26">
      <c r="A6" s="30" t="s">
        <v>576</v>
      </c>
      <c r="B6" s="28" t="s">
        <v>893</v>
      </c>
      <c r="C6" s="63" t="s">
        <v>858</v>
      </c>
      <c r="D6" s="64">
        <v>5.56</v>
      </c>
      <c r="E6" s="64">
        <v>6.29</v>
      </c>
      <c r="F6" s="64">
        <v>6.57</v>
      </c>
      <c r="G6" s="64">
        <v>6.73</v>
      </c>
      <c r="H6" s="64">
        <v>6.79</v>
      </c>
      <c r="I6" s="64">
        <v>7.19</v>
      </c>
      <c r="J6" s="64">
        <v>6.97</v>
      </c>
      <c r="K6" s="64">
        <v>6.29</v>
      </c>
      <c r="L6" s="64">
        <v>6.72</v>
      </c>
      <c r="M6" s="64">
        <v>6.77</v>
      </c>
      <c r="N6" s="64">
        <v>6.53</v>
      </c>
      <c r="O6" s="64">
        <v>6.68</v>
      </c>
      <c r="P6" s="64">
        <v>7.69</v>
      </c>
      <c r="Q6" s="64">
        <v>8.4700000000000006</v>
      </c>
      <c r="R6" s="64">
        <v>9.44</v>
      </c>
      <c r="S6" s="64">
        <v>10.01</v>
      </c>
      <c r="T6" s="64">
        <v>10.039999999999999</v>
      </c>
      <c r="U6" s="64">
        <v>9.61</v>
      </c>
      <c r="V6" s="64">
        <v>9.18</v>
      </c>
      <c r="W6" s="64">
        <v>10.44</v>
      </c>
      <c r="X6" s="64">
        <v>9.98</v>
      </c>
      <c r="Y6" s="64">
        <v>9.75</v>
      </c>
      <c r="Z6" s="64">
        <v>9.41</v>
      </c>
    </row>
    <row r="7" spans="1:26">
      <c r="A7" s="30" t="s">
        <v>578</v>
      </c>
      <c r="B7" s="28" t="s">
        <v>894</v>
      </c>
      <c r="C7" s="63" t="s">
        <v>859</v>
      </c>
      <c r="D7" s="64">
        <v>8.1</v>
      </c>
      <c r="E7" s="64">
        <v>9.32</v>
      </c>
      <c r="F7" s="64">
        <v>9.26</v>
      </c>
      <c r="G7" s="64">
        <v>9.59</v>
      </c>
      <c r="H7" s="64">
        <v>9.85</v>
      </c>
      <c r="I7" s="64">
        <v>10.8</v>
      </c>
      <c r="J7" s="64">
        <v>9.89</v>
      </c>
      <c r="K7" s="64">
        <v>9.75</v>
      </c>
      <c r="L7" s="64">
        <v>10.31</v>
      </c>
      <c r="M7" s="64">
        <v>11.19</v>
      </c>
      <c r="N7" s="64">
        <v>11.13</v>
      </c>
      <c r="O7" s="64">
        <v>12.13</v>
      </c>
      <c r="P7" s="64">
        <v>12.36</v>
      </c>
      <c r="Q7" s="64">
        <v>13.43</v>
      </c>
      <c r="R7" s="64">
        <v>15.21</v>
      </c>
      <c r="S7" s="64">
        <v>15.65</v>
      </c>
      <c r="T7" s="64">
        <v>16.32</v>
      </c>
      <c r="U7" s="64">
        <v>15.59</v>
      </c>
      <c r="V7" s="64">
        <v>14.34</v>
      </c>
      <c r="W7" s="64">
        <v>15.24</v>
      </c>
      <c r="X7" s="64">
        <v>14.67</v>
      </c>
      <c r="Y7" s="64">
        <v>14.56</v>
      </c>
      <c r="Z7" s="64">
        <v>14.18</v>
      </c>
    </row>
    <row r="8" spans="1:26">
      <c r="A8" s="30" t="s">
        <v>580</v>
      </c>
      <c r="B8" s="28" t="s">
        <v>895</v>
      </c>
      <c r="C8" s="63" t="s">
        <v>860</v>
      </c>
      <c r="D8" s="64">
        <v>6.48</v>
      </c>
      <c r="E8" s="64">
        <v>7.13</v>
      </c>
      <c r="F8" s="64">
        <v>7.54</v>
      </c>
      <c r="G8" s="64">
        <v>7.45</v>
      </c>
      <c r="H8" s="64">
        <v>7.54</v>
      </c>
      <c r="I8" s="64">
        <v>7.71</v>
      </c>
      <c r="J8" s="64">
        <v>7.49</v>
      </c>
      <c r="K8" s="64">
        <v>6.99</v>
      </c>
      <c r="L8" s="64">
        <v>7.82</v>
      </c>
      <c r="M8" s="64">
        <v>8.06</v>
      </c>
      <c r="N8" s="64">
        <v>7.64</v>
      </c>
      <c r="O8" s="64">
        <v>7.94</v>
      </c>
      <c r="P8" s="64">
        <v>8.92</v>
      </c>
      <c r="Q8" s="64">
        <v>9.93</v>
      </c>
      <c r="R8" s="64">
        <v>10.86</v>
      </c>
      <c r="S8" s="64">
        <v>10.83</v>
      </c>
      <c r="T8" s="64">
        <v>11</v>
      </c>
      <c r="U8" s="64">
        <v>10.73</v>
      </c>
      <c r="V8" s="64">
        <v>10.3</v>
      </c>
      <c r="W8" s="64">
        <v>11.95</v>
      </c>
      <c r="X8" s="64">
        <v>11.47</v>
      </c>
      <c r="Y8" s="64">
        <v>10.82</v>
      </c>
      <c r="Z8" s="64">
        <v>10.56</v>
      </c>
    </row>
    <row r="9" spans="1:26">
      <c r="A9" s="30" t="s">
        <v>543</v>
      </c>
      <c r="B9" s="28" t="s">
        <v>896</v>
      </c>
      <c r="C9" s="63" t="s">
        <v>861</v>
      </c>
      <c r="D9" s="64">
        <v>9.7100000000000009</v>
      </c>
      <c r="E9" s="64">
        <v>9.24</v>
      </c>
      <c r="F9" s="64">
        <v>10.4</v>
      </c>
      <c r="G9" s="64">
        <v>10.29</v>
      </c>
      <c r="H9" s="64">
        <v>10.38</v>
      </c>
      <c r="I9" s="64">
        <v>11.4</v>
      </c>
      <c r="J9" s="64">
        <v>11.97</v>
      </c>
      <c r="K9" s="64">
        <v>11.15</v>
      </c>
      <c r="L9" s="64">
        <v>12.63</v>
      </c>
      <c r="M9" s="64">
        <v>13.96</v>
      </c>
      <c r="N9" s="64">
        <v>13.3</v>
      </c>
      <c r="O9" s="64">
        <v>15.15</v>
      </c>
      <c r="P9" s="64">
        <v>17.43</v>
      </c>
      <c r="Q9" s="64">
        <v>17.170000000000002</v>
      </c>
      <c r="R9" s="64">
        <v>18.510000000000002</v>
      </c>
      <c r="S9" s="64">
        <v>19.399999999999999</v>
      </c>
      <c r="T9" s="64">
        <v>18.23</v>
      </c>
      <c r="U9" s="64">
        <v>18.27</v>
      </c>
      <c r="V9" s="64">
        <v>19.12</v>
      </c>
      <c r="W9" s="64">
        <v>19.5</v>
      </c>
      <c r="X9" s="64">
        <v>19.68</v>
      </c>
      <c r="Y9" s="64">
        <v>17.77</v>
      </c>
      <c r="Z9" s="64">
        <v>16.84</v>
      </c>
    </row>
    <row r="10" spans="1:26">
      <c r="A10" s="30" t="s">
        <v>582</v>
      </c>
      <c r="B10" s="28" t="s">
        <v>897</v>
      </c>
      <c r="C10" s="63" t="s">
        <v>862</v>
      </c>
      <c r="D10" s="64">
        <v>5.82</v>
      </c>
      <c r="E10" s="64">
        <v>6.6</v>
      </c>
      <c r="F10" s="64">
        <v>7.23</v>
      </c>
      <c r="G10" s="64">
        <v>7.35</v>
      </c>
      <c r="H10" s="64">
        <v>7.38</v>
      </c>
      <c r="I10" s="64">
        <v>7.96</v>
      </c>
      <c r="J10" s="64">
        <v>7.82</v>
      </c>
      <c r="K10" s="64">
        <v>6.8</v>
      </c>
      <c r="L10" s="64">
        <v>7.17</v>
      </c>
      <c r="M10" s="64">
        <v>7.27</v>
      </c>
      <c r="N10" s="64">
        <v>7.41</v>
      </c>
      <c r="O10" s="64">
        <v>7.54</v>
      </c>
      <c r="P10" s="64">
        <v>7.82</v>
      </c>
      <c r="Q10" s="64">
        <v>8.98</v>
      </c>
      <c r="R10" s="64">
        <v>10.18</v>
      </c>
      <c r="S10" s="64">
        <v>10.73</v>
      </c>
      <c r="T10" s="64">
        <v>10.46</v>
      </c>
      <c r="U10" s="64">
        <v>10.95</v>
      </c>
      <c r="V10" s="64">
        <v>10.29</v>
      </c>
      <c r="W10" s="64">
        <v>11.35</v>
      </c>
      <c r="X10" s="64">
        <v>10.83</v>
      </c>
      <c r="Y10" s="64">
        <v>10.19</v>
      </c>
      <c r="Z10" s="64">
        <v>9.4700000000000006</v>
      </c>
    </row>
    <row r="11" spans="1:26">
      <c r="A11" s="30" t="s">
        <v>584</v>
      </c>
      <c r="B11" s="28" t="s">
        <v>898</v>
      </c>
      <c r="C11" s="63" t="s">
        <v>863</v>
      </c>
      <c r="D11" s="64">
        <v>7.09</v>
      </c>
      <c r="E11" s="64">
        <v>8.4700000000000006</v>
      </c>
      <c r="F11" s="64">
        <v>8.68</v>
      </c>
      <c r="G11" s="64">
        <v>8.9600000000000009</v>
      </c>
      <c r="H11" s="64">
        <v>8.8800000000000008</v>
      </c>
      <c r="I11" s="64">
        <v>9.2200000000000006</v>
      </c>
      <c r="J11" s="64">
        <v>9.66</v>
      </c>
      <c r="K11" s="64">
        <v>8.07</v>
      </c>
      <c r="L11" s="64">
        <v>9.61</v>
      </c>
      <c r="M11" s="64">
        <v>9.42</v>
      </c>
      <c r="N11" s="64">
        <v>9.94</v>
      </c>
      <c r="O11" s="64">
        <v>10.93</v>
      </c>
      <c r="P11" s="64">
        <v>12.28</v>
      </c>
      <c r="Q11" s="64">
        <v>14.34</v>
      </c>
      <c r="R11" s="64">
        <v>14.73</v>
      </c>
      <c r="S11" s="64">
        <v>14.88</v>
      </c>
      <c r="T11" s="64">
        <v>14.16</v>
      </c>
      <c r="U11" s="64">
        <v>14.79</v>
      </c>
      <c r="V11" s="64">
        <v>13.29</v>
      </c>
      <c r="W11" s="64">
        <v>14.64</v>
      </c>
      <c r="X11" s="64">
        <v>14.57</v>
      </c>
      <c r="Y11" s="64">
        <v>13.54</v>
      </c>
      <c r="Z11" s="64">
        <v>12.81</v>
      </c>
    </row>
    <row r="12" spans="1:26">
      <c r="A12" s="30" t="s">
        <v>586</v>
      </c>
      <c r="B12" s="28" t="s">
        <v>899</v>
      </c>
      <c r="C12" s="63" t="s">
        <v>864</v>
      </c>
      <c r="D12" s="64">
        <v>6.03</v>
      </c>
      <c r="E12" s="64">
        <v>7.38</v>
      </c>
      <c r="F12" s="64">
        <v>7.31</v>
      </c>
      <c r="G12" s="64">
        <v>7.83</v>
      </c>
      <c r="H12" s="64">
        <v>7.75</v>
      </c>
      <c r="I12" s="64">
        <v>8.17</v>
      </c>
      <c r="J12" s="64">
        <v>8.44</v>
      </c>
      <c r="K12" s="64">
        <v>7.76</v>
      </c>
      <c r="L12" s="64">
        <v>8</v>
      </c>
      <c r="M12" s="64">
        <v>8.26</v>
      </c>
      <c r="N12" s="64">
        <v>8.26</v>
      </c>
      <c r="O12" s="64">
        <v>8.43</v>
      </c>
      <c r="P12" s="64">
        <v>9.16</v>
      </c>
      <c r="Q12" s="64">
        <v>10.35</v>
      </c>
      <c r="R12" s="64">
        <v>12.16</v>
      </c>
      <c r="S12" s="64">
        <v>13</v>
      </c>
      <c r="T12" s="64">
        <v>12.94</v>
      </c>
      <c r="U12" s="64">
        <v>12.34</v>
      </c>
      <c r="V12" s="64">
        <v>12.69</v>
      </c>
      <c r="W12" s="64">
        <v>12.84</v>
      </c>
      <c r="X12" s="64">
        <v>12.46</v>
      </c>
      <c r="Y12" s="64">
        <v>11.8</v>
      </c>
      <c r="Z12" s="64">
        <v>10.59</v>
      </c>
    </row>
    <row r="13" spans="1:26">
      <c r="A13" s="30" t="s">
        <v>588</v>
      </c>
      <c r="B13" s="28" t="s">
        <v>900</v>
      </c>
      <c r="C13" s="63" t="s">
        <v>865</v>
      </c>
      <c r="D13" s="64">
        <v>5.99</v>
      </c>
      <c r="E13" s="64">
        <v>6.37</v>
      </c>
      <c r="F13" s="64">
        <v>6.86</v>
      </c>
      <c r="G13" s="64">
        <v>7.41</v>
      </c>
      <c r="H13" s="64">
        <v>7.7</v>
      </c>
      <c r="I13" s="64">
        <v>7.53</v>
      </c>
      <c r="J13" s="64">
        <v>7.88</v>
      </c>
      <c r="K13" s="64">
        <v>6.74</v>
      </c>
      <c r="L13" s="64">
        <v>7.61</v>
      </c>
      <c r="M13" s="64">
        <v>8.17</v>
      </c>
      <c r="N13" s="64">
        <v>7.96</v>
      </c>
      <c r="O13" s="64">
        <v>8.1</v>
      </c>
      <c r="P13" s="64">
        <v>10.09</v>
      </c>
      <c r="Q13" s="64">
        <v>10.57</v>
      </c>
      <c r="R13" s="64">
        <v>11.87</v>
      </c>
      <c r="S13" s="64">
        <v>12.67</v>
      </c>
      <c r="T13" s="64">
        <v>11.95</v>
      </c>
      <c r="U13" s="64">
        <v>12.73</v>
      </c>
      <c r="V13" s="64">
        <v>12.18</v>
      </c>
      <c r="W13" s="64">
        <v>12.92</v>
      </c>
      <c r="X13" s="64">
        <v>12.51</v>
      </c>
      <c r="Y13" s="64">
        <v>11.67</v>
      </c>
      <c r="Z13" s="64">
        <v>10.09</v>
      </c>
    </row>
    <row r="14" spans="1:26">
      <c r="A14" s="30" t="s">
        <v>547</v>
      </c>
      <c r="B14" s="28" t="s">
        <v>901</v>
      </c>
      <c r="C14" s="63" t="s">
        <v>866</v>
      </c>
      <c r="D14" s="64">
        <v>7.37</v>
      </c>
      <c r="E14" s="64">
        <v>8.15</v>
      </c>
      <c r="F14" s="64">
        <v>8.6999999999999993</v>
      </c>
      <c r="G14" s="64">
        <v>8.25</v>
      </c>
      <c r="H14" s="64">
        <v>9.48</v>
      </c>
      <c r="I14" s="64">
        <v>9.0399999999999991</v>
      </c>
      <c r="J14" s="64">
        <v>9.06</v>
      </c>
      <c r="K14" s="64">
        <v>8.91</v>
      </c>
      <c r="L14" s="64">
        <v>9.57</v>
      </c>
      <c r="M14" s="64">
        <v>9.2100000000000009</v>
      </c>
      <c r="N14" s="64">
        <v>10.41</v>
      </c>
      <c r="O14" s="64">
        <v>11.42</v>
      </c>
      <c r="P14" s="64">
        <v>12.82</v>
      </c>
      <c r="Q14" s="64">
        <v>14.36</v>
      </c>
      <c r="R14" s="64">
        <v>16.670000000000002</v>
      </c>
      <c r="S14" s="64">
        <v>15.22</v>
      </c>
      <c r="T14" s="64">
        <v>16.34</v>
      </c>
      <c r="U14" s="64">
        <v>16.04</v>
      </c>
      <c r="V14" s="64">
        <v>17.34</v>
      </c>
      <c r="W14" s="64">
        <v>16.52</v>
      </c>
      <c r="X14" s="64">
        <v>14.54</v>
      </c>
      <c r="Y14" s="64">
        <v>14.04</v>
      </c>
      <c r="Z14" s="64">
        <v>12.63</v>
      </c>
    </row>
    <row r="15" spans="1:26">
      <c r="A15" s="30" t="s">
        <v>549</v>
      </c>
      <c r="B15" s="28" t="s">
        <v>902</v>
      </c>
      <c r="C15" s="63" t="s">
        <v>903</v>
      </c>
      <c r="D15" s="64">
        <v>8.5500000000000007</v>
      </c>
      <c r="E15" s="64">
        <v>9.31</v>
      </c>
      <c r="F15" s="64">
        <v>9.82</v>
      </c>
      <c r="G15" s="64">
        <v>10.8</v>
      </c>
      <c r="H15" s="64">
        <v>10.8</v>
      </c>
      <c r="I15" s="64">
        <v>11.67</v>
      </c>
      <c r="J15" s="64">
        <v>11.76</v>
      </c>
      <c r="K15" s="64">
        <v>11.07</v>
      </c>
      <c r="L15" s="64">
        <v>12.36</v>
      </c>
      <c r="M15" s="64">
        <v>13.11</v>
      </c>
      <c r="N15" s="64">
        <v>12.48</v>
      </c>
      <c r="O15" s="64">
        <v>14.45</v>
      </c>
      <c r="P15" s="64">
        <v>16.95</v>
      </c>
      <c r="Q15" s="64">
        <v>19.28</v>
      </c>
      <c r="R15" s="64">
        <v>19.21</v>
      </c>
      <c r="S15" s="64">
        <v>19.079999999999998</v>
      </c>
      <c r="T15" s="64">
        <v>20.04</v>
      </c>
      <c r="U15" s="64">
        <v>17.28</v>
      </c>
      <c r="V15" s="64">
        <v>18.84</v>
      </c>
      <c r="W15" s="64">
        <v>19.46</v>
      </c>
      <c r="X15" s="64">
        <v>18.39</v>
      </c>
      <c r="Y15" s="64">
        <v>17.72</v>
      </c>
      <c r="Z15" s="64">
        <v>15.83</v>
      </c>
    </row>
    <row r="16" spans="1:26">
      <c r="A16" s="30" t="s">
        <v>551</v>
      </c>
      <c r="B16" s="28" t="s">
        <v>904</v>
      </c>
      <c r="C16" s="63" t="s">
        <v>868</v>
      </c>
      <c r="D16" s="64">
        <v>7.03</v>
      </c>
      <c r="E16" s="64">
        <v>7.53</v>
      </c>
      <c r="F16" s="64">
        <v>7.8</v>
      </c>
      <c r="G16" s="64">
        <v>8.15</v>
      </c>
      <c r="H16" s="64">
        <v>8.09</v>
      </c>
      <c r="I16" s="64">
        <v>8.59</v>
      </c>
      <c r="J16" s="64">
        <v>9.02</v>
      </c>
      <c r="K16" s="64">
        <v>8.3800000000000008</v>
      </c>
      <c r="L16" s="64">
        <v>9.5</v>
      </c>
      <c r="M16" s="64">
        <v>9.9600000000000009</v>
      </c>
      <c r="N16" s="64">
        <v>10.28</v>
      </c>
      <c r="O16" s="64">
        <v>11.32</v>
      </c>
      <c r="P16" s="64">
        <v>12.56</v>
      </c>
      <c r="Q16" s="64">
        <v>13.67</v>
      </c>
      <c r="R16" s="64">
        <v>14.96</v>
      </c>
      <c r="S16" s="64">
        <v>16.079999999999998</v>
      </c>
      <c r="T16" s="64">
        <v>15.67</v>
      </c>
      <c r="U16" s="64">
        <v>14.4</v>
      </c>
      <c r="V16" s="64">
        <v>14.3</v>
      </c>
      <c r="W16" s="64">
        <v>14.79</v>
      </c>
      <c r="X16" s="64">
        <v>14.99</v>
      </c>
      <c r="Y16" s="64">
        <v>13.88</v>
      </c>
      <c r="Z16" s="64">
        <v>12.64</v>
      </c>
    </row>
    <row r="17" spans="1:26">
      <c r="A17" s="30" t="s">
        <v>590</v>
      </c>
      <c r="B17" s="28" t="s">
        <v>905</v>
      </c>
      <c r="C17" s="63" t="s">
        <v>869</v>
      </c>
      <c r="D17" s="64">
        <v>7.58</v>
      </c>
      <c r="E17" s="64">
        <v>9.1999999999999993</v>
      </c>
      <c r="F17" s="64">
        <v>9.26</v>
      </c>
      <c r="G17" s="64">
        <v>9.2899999999999991</v>
      </c>
      <c r="H17" s="64">
        <v>9.26</v>
      </c>
      <c r="I17" s="64">
        <v>9.4</v>
      </c>
      <c r="J17" s="64">
        <v>8.8000000000000007</v>
      </c>
      <c r="K17" s="64">
        <v>7.82</v>
      </c>
      <c r="L17" s="64">
        <v>8.94</v>
      </c>
      <c r="M17" s="64">
        <v>9.51</v>
      </c>
      <c r="N17" s="64">
        <v>10.06</v>
      </c>
      <c r="O17" s="64">
        <v>9.76</v>
      </c>
      <c r="P17" s="64">
        <v>11.27</v>
      </c>
      <c r="Q17" s="64">
        <v>11.85</v>
      </c>
      <c r="R17" s="64">
        <v>13.29</v>
      </c>
      <c r="S17" s="64">
        <v>14.61</v>
      </c>
      <c r="T17" s="64">
        <v>13.57</v>
      </c>
      <c r="U17" s="64">
        <v>12.97</v>
      </c>
      <c r="V17" s="64">
        <v>12.13</v>
      </c>
      <c r="W17" s="64">
        <v>13.43</v>
      </c>
      <c r="X17" s="64">
        <v>13.09</v>
      </c>
      <c r="Y17" s="64">
        <v>12.9</v>
      </c>
      <c r="Z17" s="64">
        <v>12.85</v>
      </c>
    </row>
    <row r="18" spans="1:26">
      <c r="A18" s="30" t="s">
        <v>592</v>
      </c>
      <c r="B18" s="28" t="s">
        <v>906</v>
      </c>
      <c r="C18" s="63" t="s">
        <v>870</v>
      </c>
      <c r="D18" s="64">
        <v>5.63</v>
      </c>
      <c r="E18" s="64">
        <v>6.55</v>
      </c>
      <c r="F18" s="64">
        <v>6.91</v>
      </c>
      <c r="G18" s="64">
        <v>6.73</v>
      </c>
      <c r="H18" s="64">
        <v>7.02</v>
      </c>
      <c r="I18" s="64">
        <v>7.52</v>
      </c>
      <c r="J18" s="64">
        <v>7.2</v>
      </c>
      <c r="K18" s="64">
        <v>6.54</v>
      </c>
      <c r="L18" s="64">
        <v>7.09</v>
      </c>
      <c r="M18" s="64">
        <v>7.29</v>
      </c>
      <c r="N18" s="64">
        <v>6.88</v>
      </c>
      <c r="O18" s="64">
        <v>7.34</v>
      </c>
      <c r="P18" s="64">
        <v>7.99</v>
      </c>
      <c r="Q18" s="64">
        <v>8.73</v>
      </c>
      <c r="R18" s="64">
        <v>9.7799999999999994</v>
      </c>
      <c r="S18" s="64">
        <v>10.61</v>
      </c>
      <c r="T18" s="64">
        <v>10.54</v>
      </c>
      <c r="U18" s="64">
        <v>10.77</v>
      </c>
      <c r="V18" s="64">
        <v>10.47</v>
      </c>
      <c r="W18" s="64">
        <v>11.14</v>
      </c>
      <c r="X18" s="64">
        <v>11.88</v>
      </c>
      <c r="Y18" s="64">
        <v>10.59</v>
      </c>
      <c r="Z18" s="64">
        <v>9.7100000000000009</v>
      </c>
    </row>
    <row r="19" spans="1:26">
      <c r="A19" s="30" t="s">
        <v>594</v>
      </c>
      <c r="B19" s="28" t="s">
        <v>907</v>
      </c>
      <c r="C19" s="63" t="s">
        <v>871</v>
      </c>
      <c r="D19" s="64">
        <v>6.47</v>
      </c>
      <c r="E19" s="64">
        <v>7.28</v>
      </c>
      <c r="F19" s="64">
        <v>7.56</v>
      </c>
      <c r="G19" s="64">
        <v>7.87</v>
      </c>
      <c r="H19" s="64">
        <v>8.5500000000000007</v>
      </c>
      <c r="I19" s="64">
        <v>8.39</v>
      </c>
      <c r="J19" s="64">
        <v>8.65</v>
      </c>
      <c r="K19" s="64">
        <v>7.94</v>
      </c>
      <c r="L19" s="64">
        <v>8.26</v>
      </c>
      <c r="M19" s="64">
        <v>8.1300000000000008</v>
      </c>
      <c r="N19" s="64">
        <v>7.96</v>
      </c>
      <c r="O19" s="64">
        <v>8.34</v>
      </c>
      <c r="P19" s="64">
        <v>9.33</v>
      </c>
      <c r="Q19" s="64">
        <v>10.34</v>
      </c>
      <c r="R19" s="64">
        <v>11.64</v>
      </c>
      <c r="S19" s="64">
        <v>13.13</v>
      </c>
      <c r="T19" s="64">
        <v>13.56</v>
      </c>
      <c r="U19" s="64">
        <v>13.15</v>
      </c>
      <c r="V19" s="64">
        <v>12.09</v>
      </c>
      <c r="W19" s="64">
        <v>12.62</v>
      </c>
      <c r="X19" s="64">
        <v>11.5</v>
      </c>
      <c r="Y19" s="64">
        <v>11.36</v>
      </c>
      <c r="Z19" s="64">
        <v>11.49</v>
      </c>
    </row>
    <row r="20" spans="1:26">
      <c r="A20" s="30" t="s">
        <v>596</v>
      </c>
      <c r="B20" s="28" t="s">
        <v>908</v>
      </c>
      <c r="C20" s="63" t="s">
        <v>872</v>
      </c>
      <c r="D20" s="64">
        <v>7</v>
      </c>
      <c r="E20" s="64">
        <v>7.92</v>
      </c>
      <c r="F20" s="64">
        <v>8.65</v>
      </c>
      <c r="G20" s="64">
        <v>8.4</v>
      </c>
      <c r="H20" s="64">
        <v>9.0299999999999994</v>
      </c>
      <c r="I20" s="64">
        <v>9.34</v>
      </c>
      <c r="J20" s="64">
        <v>9.02</v>
      </c>
      <c r="K20" s="64">
        <v>8.5</v>
      </c>
      <c r="L20" s="64">
        <v>8.5399999999999991</v>
      </c>
      <c r="M20" s="64">
        <v>8.5500000000000007</v>
      </c>
      <c r="N20" s="64">
        <v>8.67</v>
      </c>
      <c r="O20" s="64">
        <v>9.2100000000000009</v>
      </c>
      <c r="P20" s="64">
        <v>10.3</v>
      </c>
      <c r="Q20" s="64">
        <v>11.59</v>
      </c>
      <c r="R20" s="64">
        <v>12.62</v>
      </c>
      <c r="S20" s="64">
        <v>11.95</v>
      </c>
      <c r="T20" s="64">
        <v>12.75</v>
      </c>
      <c r="U20" s="64">
        <v>11.82</v>
      </c>
      <c r="V20" s="64">
        <v>12.21</v>
      </c>
      <c r="W20" s="64">
        <v>13.83</v>
      </c>
      <c r="X20" s="64">
        <v>12.6</v>
      </c>
      <c r="Y20" s="64">
        <v>12.36</v>
      </c>
      <c r="Z20" s="64">
        <v>12.02</v>
      </c>
    </row>
    <row r="21" spans="1:26">
      <c r="A21" s="30" t="s">
        <v>553</v>
      </c>
      <c r="B21" s="28" t="s">
        <v>909</v>
      </c>
      <c r="C21" s="63" t="s">
        <v>873</v>
      </c>
      <c r="D21" s="64">
        <v>8.7100000000000009</v>
      </c>
      <c r="E21" s="64">
        <v>8.84</v>
      </c>
      <c r="F21" s="64">
        <v>8.67</v>
      </c>
      <c r="G21" s="64">
        <v>8.94</v>
      </c>
      <c r="H21" s="64">
        <v>8.91</v>
      </c>
      <c r="I21" s="64">
        <v>10.28</v>
      </c>
      <c r="J21" s="64">
        <v>10.84</v>
      </c>
      <c r="K21" s="64">
        <v>9.99</v>
      </c>
      <c r="L21" s="64">
        <v>10.95</v>
      </c>
      <c r="M21" s="64">
        <v>11.18</v>
      </c>
      <c r="N21" s="64">
        <v>10.64</v>
      </c>
      <c r="O21" s="64">
        <v>12.55</v>
      </c>
      <c r="P21" s="64">
        <v>13.57</v>
      </c>
      <c r="Q21" s="64">
        <v>16.27</v>
      </c>
      <c r="R21" s="64">
        <v>16.510000000000002</v>
      </c>
      <c r="S21" s="64">
        <v>16.22</v>
      </c>
      <c r="T21" s="64">
        <v>13.09</v>
      </c>
      <c r="U21" s="64">
        <v>13.73</v>
      </c>
      <c r="V21" s="64">
        <v>13.92</v>
      </c>
      <c r="W21" s="64">
        <v>14.8</v>
      </c>
      <c r="X21" s="64">
        <v>15.62</v>
      </c>
      <c r="Y21" s="64">
        <v>15.1</v>
      </c>
      <c r="Z21" s="64">
        <v>13.22</v>
      </c>
    </row>
    <row r="22" spans="1:26">
      <c r="A22" s="30" t="s">
        <v>555</v>
      </c>
      <c r="B22" s="28" t="s">
        <v>910</v>
      </c>
      <c r="C22" s="63" t="s">
        <v>911</v>
      </c>
      <c r="D22" s="64">
        <v>10.68</v>
      </c>
      <c r="E22" s="64">
        <v>10.77</v>
      </c>
      <c r="F22" s="64">
        <v>10.039999999999999</v>
      </c>
      <c r="G22" s="64">
        <v>10.86</v>
      </c>
      <c r="H22" s="64">
        <v>11.19</v>
      </c>
      <c r="I22" s="64">
        <v>15.48</v>
      </c>
      <c r="J22" s="64">
        <v>15.26</v>
      </c>
      <c r="K22" s="64">
        <v>13.89</v>
      </c>
      <c r="L22" s="64">
        <v>15.93</v>
      </c>
      <c r="M22" s="64">
        <v>16.48</v>
      </c>
      <c r="N22" s="64">
        <v>21.32</v>
      </c>
      <c r="O22" s="64">
        <v>20.88</v>
      </c>
      <c r="P22" s="64">
        <v>25.28</v>
      </c>
      <c r="Q22" s="64">
        <v>29.69</v>
      </c>
      <c r="R22" s="64">
        <v>30.38</v>
      </c>
      <c r="S22" s="64">
        <v>29.15</v>
      </c>
      <c r="T22" s="64">
        <v>33.43</v>
      </c>
      <c r="U22" s="64">
        <v>27.64</v>
      </c>
      <c r="V22" s="64">
        <v>26.18</v>
      </c>
      <c r="W22" s="64">
        <v>24.77</v>
      </c>
      <c r="X22" s="64">
        <v>34.770000000000003</v>
      </c>
      <c r="Y22" s="64">
        <v>25</v>
      </c>
      <c r="Z22" s="64">
        <v>22.8</v>
      </c>
    </row>
    <row r="23" spans="1:26">
      <c r="A23" s="30" t="s">
        <v>598</v>
      </c>
      <c r="B23" s="28" t="s">
        <v>912</v>
      </c>
      <c r="C23" s="63" t="s">
        <v>913</v>
      </c>
      <c r="D23" s="64">
        <v>7.16</v>
      </c>
      <c r="E23" s="64">
        <v>7.77</v>
      </c>
      <c r="F23" s="64">
        <v>8.4700000000000006</v>
      </c>
      <c r="G23" s="64">
        <v>8.3800000000000008</v>
      </c>
      <c r="H23" s="64">
        <v>8.1</v>
      </c>
      <c r="I23" s="64">
        <v>8.52</v>
      </c>
      <c r="J23" s="64">
        <v>9.5</v>
      </c>
      <c r="K23" s="64">
        <v>7.99</v>
      </c>
      <c r="L23" s="64">
        <v>8.7799999999999994</v>
      </c>
      <c r="M23" s="64">
        <v>8.6</v>
      </c>
      <c r="N23" s="64">
        <v>8.69</v>
      </c>
      <c r="O23" s="64">
        <v>9.06</v>
      </c>
      <c r="P23" s="64">
        <v>10.19</v>
      </c>
      <c r="Q23" s="64">
        <v>10.88</v>
      </c>
      <c r="R23" s="64">
        <v>11.83</v>
      </c>
      <c r="S23" s="64">
        <v>12.9</v>
      </c>
      <c r="T23" s="64">
        <v>12.74</v>
      </c>
      <c r="U23" s="64">
        <v>12.71</v>
      </c>
      <c r="V23" s="64">
        <v>12</v>
      </c>
      <c r="W23" s="64">
        <v>13.01</v>
      </c>
      <c r="X23" s="64">
        <v>12.22</v>
      </c>
      <c r="Y23" s="64">
        <v>12.05</v>
      </c>
      <c r="Z23" s="64">
        <v>12.24</v>
      </c>
    </row>
    <row r="24" spans="1:26">
      <c r="A24" s="30" t="s">
        <v>557</v>
      </c>
      <c r="B24" s="28" t="s">
        <v>914</v>
      </c>
      <c r="C24" s="63" t="s">
        <v>876</v>
      </c>
      <c r="D24" s="64">
        <v>8.02</v>
      </c>
      <c r="E24" s="64">
        <v>7.59</v>
      </c>
      <c r="F24" s="64">
        <v>8.3800000000000008</v>
      </c>
      <c r="G24" s="64">
        <v>8.2100000000000009</v>
      </c>
      <c r="H24" s="64">
        <v>8.98</v>
      </c>
      <c r="I24" s="64">
        <v>9.36</v>
      </c>
      <c r="J24" s="64">
        <v>9.49</v>
      </c>
      <c r="K24" s="64">
        <v>8.19</v>
      </c>
      <c r="L24" s="64">
        <v>9</v>
      </c>
      <c r="M24" s="64">
        <v>8.9499999999999993</v>
      </c>
      <c r="N24" s="64">
        <v>9.85</v>
      </c>
      <c r="O24" s="64">
        <v>10.14</v>
      </c>
      <c r="P24" s="64">
        <v>12.43</v>
      </c>
      <c r="Q24" s="64">
        <v>13.53</v>
      </c>
      <c r="R24" s="64">
        <v>15.01</v>
      </c>
      <c r="S24" s="64">
        <v>15.03</v>
      </c>
      <c r="T24" s="64">
        <v>13.82</v>
      </c>
      <c r="U24" s="64">
        <v>14.4</v>
      </c>
      <c r="V24" s="64">
        <v>13.8</v>
      </c>
      <c r="W24" s="64">
        <v>13.8</v>
      </c>
      <c r="X24" s="64">
        <v>13.17</v>
      </c>
      <c r="Y24" s="64">
        <v>12.67</v>
      </c>
      <c r="Z24" s="64">
        <v>11.12</v>
      </c>
    </row>
    <row r="25" spans="1:26">
      <c r="A25" s="30" t="s">
        <v>559</v>
      </c>
      <c r="B25" s="28" t="s">
        <v>915</v>
      </c>
      <c r="C25" s="63" t="s">
        <v>877</v>
      </c>
      <c r="D25" s="64">
        <v>5.85</v>
      </c>
      <c r="E25" s="64">
        <v>6.33</v>
      </c>
      <c r="F25" s="64">
        <v>6.57</v>
      </c>
      <c r="G25" s="64">
        <v>6.94</v>
      </c>
      <c r="H25" s="64">
        <v>7.34</v>
      </c>
      <c r="I25" s="64">
        <v>7.97</v>
      </c>
      <c r="J25" s="64">
        <v>8.06</v>
      </c>
      <c r="K25" s="64">
        <v>7.29</v>
      </c>
      <c r="L25" s="64">
        <v>7.63</v>
      </c>
      <c r="M25" s="64">
        <v>8.09</v>
      </c>
      <c r="N25" s="64">
        <v>7.76</v>
      </c>
      <c r="O25" s="64">
        <v>7.7</v>
      </c>
      <c r="P25" s="64">
        <v>9.33</v>
      </c>
      <c r="Q25" s="64">
        <v>10.88</v>
      </c>
      <c r="R25" s="64">
        <v>11.71</v>
      </c>
      <c r="S25" s="64">
        <v>12.28</v>
      </c>
      <c r="T25" s="64">
        <v>12.21</v>
      </c>
      <c r="U25" s="64">
        <v>12.74</v>
      </c>
      <c r="V25" s="64">
        <v>11.57</v>
      </c>
      <c r="W25" s="64">
        <v>13.17</v>
      </c>
      <c r="X25" s="64">
        <v>12.46</v>
      </c>
      <c r="Y25" s="64">
        <v>11.36</v>
      </c>
      <c r="Z25" s="64">
        <v>10.14</v>
      </c>
    </row>
    <row r="26" spans="1:26">
      <c r="A26" s="30" t="s">
        <v>600</v>
      </c>
      <c r="B26" s="28" t="s">
        <v>916</v>
      </c>
      <c r="C26" s="63" t="s">
        <v>878</v>
      </c>
      <c r="D26" s="64">
        <v>6.81</v>
      </c>
      <c r="E26" s="64">
        <v>7.27</v>
      </c>
      <c r="F26" s="64">
        <v>7.9</v>
      </c>
      <c r="G26" s="64">
        <v>7.84</v>
      </c>
      <c r="H26" s="64">
        <v>8.57</v>
      </c>
      <c r="I26" s="64">
        <v>8.5</v>
      </c>
      <c r="J26" s="64">
        <v>8.4600000000000009</v>
      </c>
      <c r="K26" s="64">
        <v>7.56</v>
      </c>
      <c r="L26" s="64">
        <v>8.6</v>
      </c>
      <c r="M26" s="64">
        <v>8.93</v>
      </c>
      <c r="N26" s="64">
        <v>8.59</v>
      </c>
      <c r="O26" s="64">
        <v>9.43</v>
      </c>
      <c r="P26" s="64">
        <v>11.48</v>
      </c>
      <c r="Q26" s="64">
        <v>11.97</v>
      </c>
      <c r="R26" s="64">
        <v>13.44</v>
      </c>
      <c r="S26" s="64">
        <v>12.83</v>
      </c>
      <c r="T26" s="64">
        <v>12.91</v>
      </c>
      <c r="U26" s="64">
        <v>12.4</v>
      </c>
      <c r="V26" s="64">
        <v>11.55</v>
      </c>
      <c r="W26" s="64">
        <v>15.88</v>
      </c>
      <c r="X26" s="64">
        <v>14.21</v>
      </c>
      <c r="Y26" s="64">
        <v>13.52</v>
      </c>
      <c r="Z26" s="64">
        <v>11.74</v>
      </c>
    </row>
    <row r="27" spans="1:26">
      <c r="A27" s="30" t="s">
        <v>561</v>
      </c>
      <c r="B27" s="28" t="s">
        <v>917</v>
      </c>
      <c r="C27" s="63" t="s">
        <v>879</v>
      </c>
      <c r="D27" s="64">
        <v>6.47</v>
      </c>
      <c r="E27" s="64">
        <v>7.65</v>
      </c>
      <c r="F27" s="64">
        <v>8.27</v>
      </c>
      <c r="G27" s="64">
        <v>8.09</v>
      </c>
      <c r="H27" s="64">
        <v>8.5500000000000007</v>
      </c>
      <c r="I27" s="64">
        <v>9.2899999999999991</v>
      </c>
      <c r="J27" s="64">
        <v>9.4</v>
      </c>
      <c r="K27" s="64">
        <v>7.72</v>
      </c>
      <c r="L27" s="64">
        <v>8</v>
      </c>
      <c r="M27" s="64">
        <v>8.1199999999999992</v>
      </c>
      <c r="N27" s="64">
        <v>8.2100000000000009</v>
      </c>
      <c r="O27" s="64">
        <v>8</v>
      </c>
      <c r="P27" s="64">
        <v>9.66</v>
      </c>
      <c r="Q27" s="64">
        <v>10.78</v>
      </c>
      <c r="R27" s="64">
        <v>12.24</v>
      </c>
      <c r="S27" s="64">
        <v>13.4</v>
      </c>
      <c r="T27" s="64">
        <v>13.28</v>
      </c>
      <c r="U27" s="64">
        <v>13.03</v>
      </c>
      <c r="V27" s="64">
        <v>12.51</v>
      </c>
      <c r="W27" s="64">
        <v>12.51</v>
      </c>
      <c r="X27" s="64">
        <v>12.5</v>
      </c>
      <c r="Y27" s="64">
        <v>11.49</v>
      </c>
      <c r="Z27" s="64">
        <v>11.21</v>
      </c>
    </row>
    <row r="28" spans="1:26">
      <c r="A28" s="30" t="s">
        <v>602</v>
      </c>
      <c r="B28" s="28" t="s">
        <v>918</v>
      </c>
      <c r="C28" s="63" t="s">
        <v>880</v>
      </c>
      <c r="D28" s="64">
        <v>6.22</v>
      </c>
      <c r="E28" s="64">
        <v>7.1</v>
      </c>
      <c r="F28" s="64">
        <v>8.27</v>
      </c>
      <c r="G28" s="64">
        <v>7.96</v>
      </c>
      <c r="H28" s="64">
        <v>7.86</v>
      </c>
      <c r="I28" s="64">
        <v>7.97</v>
      </c>
      <c r="J28" s="64">
        <v>7.6</v>
      </c>
      <c r="K28" s="64">
        <v>7.01</v>
      </c>
      <c r="L28" s="64">
        <v>7.19</v>
      </c>
      <c r="M28" s="64">
        <v>7.76</v>
      </c>
      <c r="N28" s="64">
        <v>8.02</v>
      </c>
      <c r="O28" s="64">
        <v>8.3699999999999992</v>
      </c>
      <c r="P28" s="64">
        <v>8.76</v>
      </c>
      <c r="Q28" s="64">
        <v>9.51</v>
      </c>
      <c r="R28" s="64">
        <v>11.26</v>
      </c>
      <c r="S28" s="64">
        <v>12.5</v>
      </c>
      <c r="T28" s="64">
        <v>12.79</v>
      </c>
      <c r="U28" s="64">
        <v>11.99</v>
      </c>
      <c r="V28" s="64">
        <v>11.76</v>
      </c>
      <c r="W28" s="64">
        <v>13.19</v>
      </c>
      <c r="X28" s="64">
        <v>12.69</v>
      </c>
      <c r="Y28" s="64">
        <v>12.24</v>
      </c>
      <c r="Z28" s="64">
        <v>11.56</v>
      </c>
    </row>
    <row r="29" spans="1:26">
      <c r="A29" s="30" t="s">
        <v>604</v>
      </c>
      <c r="B29" s="28" t="s">
        <v>919</v>
      </c>
      <c r="C29" s="63" t="s">
        <v>920</v>
      </c>
      <c r="D29" s="64">
        <v>7.26</v>
      </c>
      <c r="E29" s="64">
        <v>7.95</v>
      </c>
      <c r="F29" s="64">
        <v>8.35</v>
      </c>
      <c r="G29" s="64">
        <v>8.41</v>
      </c>
      <c r="H29" s="64">
        <v>9.18</v>
      </c>
      <c r="I29" s="64">
        <v>9.85</v>
      </c>
      <c r="J29" s="64">
        <v>9.85</v>
      </c>
      <c r="K29" s="64">
        <v>9.18</v>
      </c>
      <c r="L29" s="64">
        <v>10.35</v>
      </c>
      <c r="M29" s="64">
        <v>10.210000000000001</v>
      </c>
      <c r="N29" s="64">
        <v>10.35</v>
      </c>
      <c r="O29" s="64">
        <v>11.82</v>
      </c>
      <c r="P29" s="64">
        <v>12.79</v>
      </c>
      <c r="Q29" s="64">
        <v>14.27</v>
      </c>
      <c r="R29" s="64">
        <v>14.38</v>
      </c>
      <c r="S29" s="64">
        <v>15.68</v>
      </c>
      <c r="T29" s="64">
        <v>14.84</v>
      </c>
      <c r="U29" s="64">
        <v>14.74</v>
      </c>
      <c r="V29" s="64">
        <v>13.31</v>
      </c>
      <c r="W29" s="64">
        <v>15.87</v>
      </c>
      <c r="X29" s="64">
        <v>16.600000000000001</v>
      </c>
      <c r="Y29" s="64">
        <v>15.2</v>
      </c>
      <c r="Z29" s="64">
        <v>12.76</v>
      </c>
    </row>
    <row r="30" spans="1:26">
      <c r="A30" s="30" t="s">
        <v>563</v>
      </c>
      <c r="B30" s="28" t="s">
        <v>921</v>
      </c>
      <c r="C30" s="63" t="s">
        <v>882</v>
      </c>
      <c r="D30" s="64">
        <v>7.54</v>
      </c>
      <c r="E30" s="64">
        <v>7.99</v>
      </c>
      <c r="F30" s="64">
        <v>8.44</v>
      </c>
      <c r="G30" s="64">
        <v>8.51</v>
      </c>
      <c r="H30" s="64">
        <v>8.18</v>
      </c>
      <c r="I30" s="64">
        <v>8.86</v>
      </c>
      <c r="J30" s="64">
        <v>8.98</v>
      </c>
      <c r="K30" s="64">
        <v>8.48</v>
      </c>
      <c r="L30" s="64">
        <v>9.15</v>
      </c>
      <c r="M30" s="64">
        <v>9.69</v>
      </c>
      <c r="N30" s="64">
        <v>9.61</v>
      </c>
      <c r="O30" s="64">
        <v>10.119999999999999</v>
      </c>
      <c r="P30" s="64">
        <v>12.13</v>
      </c>
      <c r="Q30" s="64">
        <v>13.56</v>
      </c>
      <c r="R30" s="64">
        <v>14.72</v>
      </c>
      <c r="S30" s="64">
        <v>15.2</v>
      </c>
      <c r="T30" s="64">
        <v>15.35</v>
      </c>
      <c r="U30" s="64">
        <v>14.31</v>
      </c>
      <c r="V30" s="64">
        <v>13.78</v>
      </c>
      <c r="W30" s="64">
        <v>14.44</v>
      </c>
      <c r="X30" s="64">
        <v>13.26</v>
      </c>
      <c r="Y30" s="64">
        <v>12.4</v>
      </c>
      <c r="Z30" s="64">
        <v>12.24</v>
      </c>
    </row>
    <row r="31" spans="1:26">
      <c r="A31" s="30" t="s">
        <v>606</v>
      </c>
      <c r="B31" s="28" t="s">
        <v>922</v>
      </c>
      <c r="C31" s="63" t="s">
        <v>883</v>
      </c>
      <c r="D31" s="64">
        <v>6.29</v>
      </c>
      <c r="E31" s="64">
        <v>6.66</v>
      </c>
      <c r="F31" s="64">
        <v>7.39</v>
      </c>
      <c r="G31" s="64">
        <v>7.38</v>
      </c>
      <c r="H31" s="64">
        <v>7.56</v>
      </c>
      <c r="I31" s="64">
        <v>8.01</v>
      </c>
      <c r="J31" s="64">
        <v>8</v>
      </c>
      <c r="K31" s="64">
        <v>7.18</v>
      </c>
      <c r="L31" s="64">
        <v>7.36</v>
      </c>
      <c r="M31" s="64">
        <v>8</v>
      </c>
      <c r="N31" s="64">
        <v>7.83</v>
      </c>
      <c r="O31" s="64">
        <v>8.06</v>
      </c>
      <c r="P31" s="64">
        <v>8.7200000000000006</v>
      </c>
      <c r="Q31" s="64">
        <v>10</v>
      </c>
      <c r="R31" s="64">
        <v>10.54</v>
      </c>
      <c r="S31" s="64">
        <v>11.1</v>
      </c>
      <c r="T31" s="64">
        <v>10.77</v>
      </c>
      <c r="U31" s="64">
        <v>10.4</v>
      </c>
      <c r="V31" s="64">
        <v>11.11</v>
      </c>
      <c r="W31" s="64">
        <v>11.64</v>
      </c>
      <c r="X31" s="64">
        <v>11.86</v>
      </c>
      <c r="Y31" s="64">
        <v>11.13</v>
      </c>
      <c r="Z31" s="64">
        <v>10.35</v>
      </c>
    </row>
    <row r="32" spans="1:26">
      <c r="A32" s="30" t="s">
        <v>565</v>
      </c>
      <c r="B32" s="28" t="s">
        <v>923</v>
      </c>
      <c r="C32" s="63" t="s">
        <v>884</v>
      </c>
      <c r="D32" s="64">
        <v>7.81</v>
      </c>
      <c r="E32" s="64">
        <v>7.58</v>
      </c>
      <c r="F32" s="64">
        <v>7.99</v>
      </c>
      <c r="G32" s="64">
        <v>8.35</v>
      </c>
      <c r="H32" s="64">
        <v>8.56</v>
      </c>
      <c r="I32" s="64">
        <v>8.48</v>
      </c>
      <c r="J32" s="64">
        <v>9.1199999999999992</v>
      </c>
      <c r="K32" s="64">
        <v>8.24</v>
      </c>
      <c r="L32" s="64">
        <v>8.8800000000000008</v>
      </c>
      <c r="M32" s="64">
        <v>8.8699999999999992</v>
      </c>
      <c r="N32" s="64">
        <v>8.6999999999999993</v>
      </c>
      <c r="O32" s="64">
        <v>9.01</v>
      </c>
      <c r="P32" s="64">
        <v>10.88</v>
      </c>
      <c r="Q32" s="64">
        <v>11.89</v>
      </c>
      <c r="R32" s="64">
        <v>12.82</v>
      </c>
      <c r="S32" s="64">
        <v>12.88</v>
      </c>
      <c r="T32" s="64">
        <v>12.73</v>
      </c>
      <c r="U32" s="64">
        <v>11.51</v>
      </c>
      <c r="V32" s="64">
        <v>12.38</v>
      </c>
      <c r="W32" s="64">
        <v>14.13</v>
      </c>
      <c r="X32" s="64">
        <v>13.14</v>
      </c>
      <c r="Y32" s="64">
        <v>11.18</v>
      </c>
      <c r="Z32" s="64">
        <v>10.210000000000001</v>
      </c>
    </row>
    <row r="33" spans="1:26">
      <c r="A33" s="30" t="s">
        <v>608</v>
      </c>
      <c r="B33" s="28" t="s">
        <v>924</v>
      </c>
      <c r="C33" s="63" t="s">
        <v>885</v>
      </c>
      <c r="D33" s="64">
        <v>5.69</v>
      </c>
      <c r="E33" s="64">
        <v>6.62</v>
      </c>
      <c r="F33" s="64">
        <v>7.2</v>
      </c>
      <c r="G33" s="64">
        <v>7.55</v>
      </c>
      <c r="H33" s="64">
        <v>7.64</v>
      </c>
      <c r="I33" s="64">
        <v>8.3699999999999992</v>
      </c>
      <c r="J33" s="64">
        <v>8.2799999999999994</v>
      </c>
      <c r="K33" s="64">
        <v>7.4</v>
      </c>
      <c r="L33" s="64">
        <v>7.81</v>
      </c>
      <c r="M33" s="64">
        <v>8.51</v>
      </c>
      <c r="N33" s="64">
        <v>8.27</v>
      </c>
      <c r="O33" s="64">
        <v>8.9600000000000009</v>
      </c>
      <c r="P33" s="64">
        <v>10.68</v>
      </c>
      <c r="Q33" s="64">
        <v>12.13</v>
      </c>
      <c r="R33" s="64">
        <v>13.2</v>
      </c>
      <c r="S33" s="64">
        <v>14.08</v>
      </c>
      <c r="T33" s="64">
        <v>13.55</v>
      </c>
      <c r="U33" s="64">
        <v>12.66</v>
      </c>
      <c r="V33" s="64">
        <v>12.47</v>
      </c>
      <c r="W33" s="64">
        <v>13.61</v>
      </c>
      <c r="X33" s="64">
        <v>12.44</v>
      </c>
      <c r="Y33" s="64">
        <v>13.23</v>
      </c>
      <c r="Z33" s="64">
        <v>11.59</v>
      </c>
    </row>
    <row r="34" spans="1:26">
      <c r="A34" s="30" t="s">
        <v>567</v>
      </c>
      <c r="B34" s="28" t="s">
        <v>925</v>
      </c>
      <c r="C34" s="63" t="s">
        <v>886</v>
      </c>
      <c r="D34" s="64">
        <v>7.52</v>
      </c>
      <c r="E34" s="64">
        <v>8.07</v>
      </c>
      <c r="F34" s="64">
        <v>8.48</v>
      </c>
      <c r="G34" s="64">
        <v>8.59</v>
      </c>
      <c r="H34" s="64">
        <v>9.31</v>
      </c>
      <c r="I34" s="64">
        <v>10.53</v>
      </c>
      <c r="J34" s="64">
        <v>10.28</v>
      </c>
      <c r="K34" s="64">
        <v>9.14</v>
      </c>
      <c r="L34" s="64">
        <v>9.7899999999999991</v>
      </c>
      <c r="M34" s="64">
        <v>10.64</v>
      </c>
      <c r="N34" s="64">
        <v>10.89</v>
      </c>
      <c r="O34" s="64">
        <v>11.75</v>
      </c>
      <c r="P34" s="64">
        <v>13.12</v>
      </c>
      <c r="Q34" s="64">
        <v>13.78</v>
      </c>
      <c r="R34" s="64">
        <v>15.12</v>
      </c>
      <c r="S34" s="64">
        <v>16.2</v>
      </c>
      <c r="T34" s="64">
        <v>14.8</v>
      </c>
      <c r="U34" s="64">
        <v>14.38</v>
      </c>
      <c r="V34" s="64">
        <v>14.43</v>
      </c>
      <c r="W34" s="64">
        <v>14.68</v>
      </c>
      <c r="X34" s="64">
        <v>14.61</v>
      </c>
      <c r="Y34" s="64">
        <v>13.42</v>
      </c>
      <c r="Z34" s="64">
        <v>12.87</v>
      </c>
    </row>
    <row r="35" spans="1:26">
      <c r="A35" s="30" t="s">
        <v>569</v>
      </c>
      <c r="B35" s="28" t="s">
        <v>926</v>
      </c>
      <c r="C35" s="63" t="s">
        <v>887</v>
      </c>
      <c r="D35" s="64">
        <v>11.01</v>
      </c>
      <c r="E35" s="64">
        <v>11.41</v>
      </c>
      <c r="F35" s="64">
        <v>10.6</v>
      </c>
      <c r="G35" s="64">
        <v>11.3</v>
      </c>
      <c r="H35" s="64">
        <v>12.32</v>
      </c>
      <c r="I35" s="64">
        <v>12.86</v>
      </c>
      <c r="J35" s="64">
        <v>12.93</v>
      </c>
      <c r="K35" s="64">
        <v>13.27</v>
      </c>
      <c r="L35" s="64">
        <v>12.15</v>
      </c>
      <c r="M35" s="64">
        <v>14.61</v>
      </c>
      <c r="N35" s="64">
        <v>14.16</v>
      </c>
      <c r="O35" s="64">
        <v>18.690000000000001</v>
      </c>
      <c r="P35" s="64">
        <v>20.38</v>
      </c>
      <c r="Q35" s="64">
        <v>20.54</v>
      </c>
      <c r="R35" s="64">
        <v>23.48</v>
      </c>
      <c r="S35" s="64">
        <v>24.77</v>
      </c>
      <c r="T35" s="64">
        <v>23.71</v>
      </c>
      <c r="U35" s="64">
        <v>21.35</v>
      </c>
      <c r="V35" s="64">
        <v>22.45</v>
      </c>
      <c r="W35" s="64">
        <v>21.49</v>
      </c>
      <c r="X35" s="64">
        <v>24.29</v>
      </c>
      <c r="Y35" s="64">
        <v>20.9</v>
      </c>
      <c r="Z35" s="64">
        <v>18.309999999999999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8F928-ED2B-4620-ADC8-121720B4E734}">
  <dimension ref="A1:P199"/>
  <sheetViews>
    <sheetView topLeftCell="I2" workbookViewId="0">
      <selection activeCell="J2" sqref="J2:O35"/>
    </sheetView>
  </sheetViews>
  <sheetFormatPr defaultRowHeight="14.5"/>
  <cols>
    <col min="1" max="1" width="27.36328125" hidden="1" customWidth="1"/>
    <col min="2" max="2" width="24.36328125" hidden="1" customWidth="1"/>
    <col min="3" max="3" width="7.90625" hidden="1" customWidth="1"/>
    <col min="4" max="6" width="7.81640625" hidden="1" customWidth="1"/>
    <col min="7" max="7" width="9" hidden="1" customWidth="1"/>
    <col min="8" max="8" width="0" hidden="1" customWidth="1"/>
    <col min="9" max="9" width="22.36328125" bestFit="1" customWidth="1"/>
    <col min="10" max="10" width="19.90625" bestFit="1" customWidth="1"/>
    <col min="11" max="11" width="12" bestFit="1" customWidth="1"/>
    <col min="12" max="13" width="7.6328125" bestFit="1" customWidth="1"/>
    <col min="14" max="14" width="14.26953125" bestFit="1" customWidth="1"/>
    <col min="15" max="15" width="12.90625" bestFit="1" customWidth="1"/>
    <col min="16" max="16" width="10.36328125" bestFit="1" customWidth="1"/>
  </cols>
  <sheetData>
    <row r="1" spans="1:16" ht="29.5" hidden="1" thickBot="1">
      <c r="A1" s="44" t="s">
        <v>938</v>
      </c>
      <c r="B1" s="44" t="s">
        <v>1062</v>
      </c>
      <c r="C1" s="45" t="s">
        <v>1063</v>
      </c>
      <c r="D1" s="45" t="s">
        <v>845</v>
      </c>
      <c r="E1" s="45" t="s">
        <v>1064</v>
      </c>
      <c r="F1" s="45" t="s">
        <v>844</v>
      </c>
      <c r="G1" s="45" t="s">
        <v>1065</v>
      </c>
      <c r="I1" s="35" t="s">
        <v>1074</v>
      </c>
      <c r="J1" s="35" t="s">
        <v>942</v>
      </c>
    </row>
    <row r="2" spans="1:16" ht="15.5">
      <c r="A2" s="46" t="s">
        <v>891</v>
      </c>
      <c r="B2" s="47" t="s">
        <v>1066</v>
      </c>
      <c r="C2" s="48">
        <v>10</v>
      </c>
      <c r="D2" s="48">
        <v>646</v>
      </c>
      <c r="E2" s="48">
        <f>0</f>
        <v>0</v>
      </c>
      <c r="F2" s="48">
        <v>726</v>
      </c>
      <c r="G2" s="48">
        <f>0</f>
        <v>0</v>
      </c>
      <c r="I2" s="35" t="s">
        <v>938</v>
      </c>
      <c r="J2" t="s">
        <v>1073</v>
      </c>
      <c r="K2" t="s">
        <v>1070</v>
      </c>
      <c r="L2" t="s">
        <v>1066</v>
      </c>
      <c r="M2" t="s">
        <v>1068</v>
      </c>
      <c r="N2" t="s">
        <v>1072</v>
      </c>
      <c r="O2" t="s">
        <v>1071</v>
      </c>
      <c r="P2" t="s">
        <v>941</v>
      </c>
    </row>
    <row r="3" spans="1:16" ht="15.5">
      <c r="A3" s="46" t="s">
        <v>891</v>
      </c>
      <c r="B3" s="47" t="s">
        <v>1068</v>
      </c>
      <c r="C3" s="48" t="s">
        <v>1069</v>
      </c>
      <c r="D3" s="48">
        <f>0</f>
        <v>0</v>
      </c>
      <c r="E3" s="48">
        <f>0</f>
        <v>0</v>
      </c>
      <c r="F3" s="48">
        <f>0</f>
        <v>0</v>
      </c>
      <c r="G3" s="48">
        <f>0</f>
        <v>0</v>
      </c>
      <c r="I3" s="37" t="s">
        <v>891</v>
      </c>
      <c r="J3" s="50">
        <v>2400</v>
      </c>
      <c r="K3" s="50">
        <v>1350</v>
      </c>
      <c r="L3" s="50">
        <v>726</v>
      </c>
      <c r="M3" s="50">
        <v>0</v>
      </c>
      <c r="N3" s="50">
        <v>1965</v>
      </c>
      <c r="O3" s="50">
        <v>1700</v>
      </c>
      <c r="P3" s="50">
        <v>8141</v>
      </c>
    </row>
    <row r="4" spans="1:16" ht="15.5">
      <c r="A4" s="46" t="s">
        <v>891</v>
      </c>
      <c r="B4" s="47" t="s">
        <v>1070</v>
      </c>
      <c r="C4" s="48">
        <v>200</v>
      </c>
      <c r="D4" s="48">
        <v>1341</v>
      </c>
      <c r="E4" s="48">
        <v>1250</v>
      </c>
      <c r="F4" s="48">
        <v>1350</v>
      </c>
      <c r="G4" s="48">
        <v>1480</v>
      </c>
      <c r="I4" s="37" t="s">
        <v>857</v>
      </c>
      <c r="J4" s="50">
        <v>3150</v>
      </c>
      <c r="K4" s="50">
        <v>1450</v>
      </c>
      <c r="L4" s="50">
        <v>726</v>
      </c>
      <c r="M4" s="50">
        <v>1100</v>
      </c>
      <c r="N4" s="50">
        <v>2400</v>
      </c>
      <c r="O4" s="50">
        <v>1750</v>
      </c>
      <c r="P4" s="50">
        <v>10576</v>
      </c>
    </row>
    <row r="5" spans="1:16" ht="15.5">
      <c r="A5" s="46" t="s">
        <v>891</v>
      </c>
      <c r="B5" s="47" t="s">
        <v>1071</v>
      </c>
      <c r="C5" s="48">
        <v>390</v>
      </c>
      <c r="D5" s="48">
        <v>1660</v>
      </c>
      <c r="E5" s="48">
        <v>1500</v>
      </c>
      <c r="F5" s="48">
        <v>1700</v>
      </c>
      <c r="G5" s="48">
        <v>1836</v>
      </c>
      <c r="I5" s="37" t="s">
        <v>858</v>
      </c>
      <c r="J5" s="50">
        <v>2300</v>
      </c>
      <c r="K5" s="50">
        <v>1250</v>
      </c>
      <c r="L5" s="50">
        <v>800</v>
      </c>
      <c r="M5" s="50">
        <v>1000</v>
      </c>
      <c r="N5" s="50">
        <v>1950</v>
      </c>
      <c r="O5" s="50">
        <v>1600</v>
      </c>
      <c r="P5" s="50">
        <v>8900</v>
      </c>
    </row>
    <row r="6" spans="1:16" ht="15.5">
      <c r="A6" s="46" t="s">
        <v>891</v>
      </c>
      <c r="B6" s="47" t="s">
        <v>1072</v>
      </c>
      <c r="C6" s="48">
        <v>190</v>
      </c>
      <c r="D6" s="48">
        <v>1954</v>
      </c>
      <c r="E6" s="48">
        <v>1750</v>
      </c>
      <c r="F6" s="48">
        <v>1965</v>
      </c>
      <c r="G6" s="48">
        <v>2100</v>
      </c>
      <c r="I6" s="37" t="s">
        <v>859</v>
      </c>
      <c r="J6" s="50">
        <v>3200</v>
      </c>
      <c r="K6" s="50">
        <v>1650</v>
      </c>
      <c r="L6" s="50">
        <v>776</v>
      </c>
      <c r="M6" s="50">
        <v>1160</v>
      </c>
      <c r="N6" s="50">
        <v>2400</v>
      </c>
      <c r="O6" s="50">
        <v>2000</v>
      </c>
      <c r="P6" s="50">
        <v>11186</v>
      </c>
    </row>
    <row r="7" spans="1:16" ht="15.5">
      <c r="A7" s="46" t="s">
        <v>891</v>
      </c>
      <c r="B7" s="47" t="s">
        <v>1073</v>
      </c>
      <c r="C7" s="48">
        <v>20</v>
      </c>
      <c r="D7" s="48">
        <v>2409</v>
      </c>
      <c r="E7" s="48">
        <v>2300</v>
      </c>
      <c r="F7" s="48">
        <v>2400</v>
      </c>
      <c r="G7" s="48">
        <v>2500</v>
      </c>
      <c r="I7" s="37" t="s">
        <v>860</v>
      </c>
      <c r="J7" s="50">
        <v>2500</v>
      </c>
      <c r="K7" s="50">
        <v>1300</v>
      </c>
      <c r="L7" s="50">
        <v>718</v>
      </c>
      <c r="M7" s="50">
        <v>995</v>
      </c>
      <c r="N7" s="50">
        <v>2000</v>
      </c>
      <c r="O7" s="50">
        <v>1600</v>
      </c>
      <c r="P7" s="50">
        <v>9113</v>
      </c>
    </row>
    <row r="8" spans="1:16" ht="15.5">
      <c r="A8" s="46" t="s">
        <v>857</v>
      </c>
      <c r="B8" s="47" t="s">
        <v>1066</v>
      </c>
      <c r="C8" s="48">
        <v>10</v>
      </c>
      <c r="D8" s="48">
        <v>747</v>
      </c>
      <c r="E8" s="48">
        <v>701</v>
      </c>
      <c r="F8" s="48">
        <v>726</v>
      </c>
      <c r="G8" s="48">
        <v>796</v>
      </c>
      <c r="I8" s="37" t="s">
        <v>861</v>
      </c>
      <c r="J8" s="50">
        <v>4090</v>
      </c>
      <c r="K8" s="50">
        <v>2000</v>
      </c>
      <c r="L8" s="50">
        <v>875</v>
      </c>
      <c r="M8" s="50">
        <v>1450</v>
      </c>
      <c r="N8" s="50">
        <v>3500</v>
      </c>
      <c r="O8" s="50">
        <v>2600</v>
      </c>
      <c r="P8" s="50">
        <v>14515</v>
      </c>
    </row>
    <row r="9" spans="1:16" ht="15.5" hidden="1">
      <c r="A9" s="46" t="s">
        <v>857</v>
      </c>
      <c r="B9" s="47" t="s">
        <v>1068</v>
      </c>
      <c r="C9" s="48">
        <v>110</v>
      </c>
      <c r="D9" s="48">
        <v>1105</v>
      </c>
      <c r="E9" s="48">
        <v>1000</v>
      </c>
      <c r="F9" s="48">
        <v>1100</v>
      </c>
      <c r="G9" s="48">
        <v>1200</v>
      </c>
      <c r="I9" s="37" t="s">
        <v>855</v>
      </c>
      <c r="J9" s="50">
        <v>0</v>
      </c>
      <c r="K9" s="50">
        <v>2300</v>
      </c>
      <c r="L9" s="50">
        <v>0</v>
      </c>
      <c r="M9" s="50">
        <v>2300</v>
      </c>
      <c r="N9" s="50">
        <v>4575</v>
      </c>
      <c r="O9" s="50">
        <v>3075</v>
      </c>
      <c r="P9" s="50">
        <v>12250</v>
      </c>
    </row>
    <row r="10" spans="1:16" ht="15.5">
      <c r="A10" s="46" t="s">
        <v>857</v>
      </c>
      <c r="B10" s="47" t="s">
        <v>1070</v>
      </c>
      <c r="C10" s="48">
        <v>670</v>
      </c>
      <c r="D10" s="48">
        <v>1472</v>
      </c>
      <c r="E10" s="48">
        <v>1300</v>
      </c>
      <c r="F10" s="48">
        <v>1450</v>
      </c>
      <c r="G10" s="48">
        <v>1600</v>
      </c>
      <c r="I10" s="37" t="s">
        <v>862</v>
      </c>
      <c r="J10" s="50">
        <v>2475</v>
      </c>
      <c r="K10" s="50">
        <v>1250</v>
      </c>
      <c r="L10" s="50">
        <v>732</v>
      </c>
      <c r="M10" s="50">
        <v>1025</v>
      </c>
      <c r="N10" s="50">
        <v>1950</v>
      </c>
      <c r="O10" s="50">
        <v>1550</v>
      </c>
      <c r="P10" s="50">
        <v>8982</v>
      </c>
    </row>
    <row r="11" spans="1:16" ht="15.5">
      <c r="A11" s="46" t="s">
        <v>857</v>
      </c>
      <c r="B11" s="47" t="s">
        <v>1071</v>
      </c>
      <c r="C11" s="48">
        <v>1150</v>
      </c>
      <c r="D11" s="48">
        <v>1802</v>
      </c>
      <c r="E11" s="48">
        <v>1600</v>
      </c>
      <c r="F11" s="48">
        <v>1750</v>
      </c>
      <c r="G11" s="48">
        <v>1975</v>
      </c>
      <c r="I11" s="37" t="s">
        <v>863</v>
      </c>
      <c r="J11" s="50">
        <v>2900</v>
      </c>
      <c r="K11" s="50">
        <v>1550</v>
      </c>
      <c r="L11" s="50">
        <v>826</v>
      </c>
      <c r="M11" s="50">
        <v>1345</v>
      </c>
      <c r="N11" s="50">
        <v>2445</v>
      </c>
      <c r="O11" s="50">
        <v>1900</v>
      </c>
      <c r="P11" s="50">
        <v>10966</v>
      </c>
    </row>
    <row r="12" spans="1:16" ht="15.5">
      <c r="A12" s="46" t="s">
        <v>857</v>
      </c>
      <c r="B12" s="47" t="s">
        <v>1072</v>
      </c>
      <c r="C12" s="48">
        <v>430</v>
      </c>
      <c r="D12" s="48">
        <v>2448</v>
      </c>
      <c r="E12" s="48">
        <v>2100</v>
      </c>
      <c r="F12" s="48">
        <v>2400</v>
      </c>
      <c r="G12" s="48">
        <v>2700</v>
      </c>
      <c r="I12" s="37" t="s">
        <v>864</v>
      </c>
      <c r="J12" s="50">
        <v>2900</v>
      </c>
      <c r="K12" s="50">
        <v>1350</v>
      </c>
      <c r="L12" s="50">
        <v>738</v>
      </c>
      <c r="M12" s="50">
        <v>1100</v>
      </c>
      <c r="N12" s="50">
        <v>2050</v>
      </c>
      <c r="O12" s="50">
        <v>1650</v>
      </c>
      <c r="P12" s="50">
        <v>9788</v>
      </c>
    </row>
    <row r="13" spans="1:16" ht="15.5">
      <c r="A13" s="46" t="s">
        <v>857</v>
      </c>
      <c r="B13" s="47" t="s">
        <v>1073</v>
      </c>
      <c r="C13" s="48">
        <v>160</v>
      </c>
      <c r="D13" s="48">
        <v>3398</v>
      </c>
      <c r="E13" s="48">
        <v>2800</v>
      </c>
      <c r="F13" s="48">
        <v>3150</v>
      </c>
      <c r="G13" s="48">
        <v>3775</v>
      </c>
      <c r="I13" s="37" t="s">
        <v>865</v>
      </c>
      <c r="J13" s="50">
        <v>2750</v>
      </c>
      <c r="K13" s="50">
        <v>1525</v>
      </c>
      <c r="L13" s="50">
        <v>770</v>
      </c>
      <c r="M13" s="50">
        <v>1150</v>
      </c>
      <c r="N13" s="50">
        <v>2100</v>
      </c>
      <c r="O13" s="50">
        <v>1850</v>
      </c>
      <c r="P13" s="50">
        <v>10145</v>
      </c>
    </row>
    <row r="14" spans="1:16" ht="15.5">
      <c r="A14" s="46" t="s">
        <v>858</v>
      </c>
      <c r="B14" s="47" t="s">
        <v>1066</v>
      </c>
      <c r="C14" s="48">
        <v>20</v>
      </c>
      <c r="D14" s="48">
        <v>833</v>
      </c>
      <c r="E14" s="48">
        <v>738</v>
      </c>
      <c r="F14" s="48">
        <v>800</v>
      </c>
      <c r="G14" s="48">
        <v>1000</v>
      </c>
      <c r="I14" s="37" t="s">
        <v>866</v>
      </c>
      <c r="J14" s="50">
        <v>3950</v>
      </c>
      <c r="K14" s="50">
        <v>2000</v>
      </c>
      <c r="L14" s="50">
        <v>976</v>
      </c>
      <c r="M14" s="50">
        <v>1280</v>
      </c>
      <c r="N14" s="50">
        <v>3200</v>
      </c>
      <c r="O14" s="50">
        <v>2500</v>
      </c>
      <c r="P14" s="50">
        <v>13906</v>
      </c>
    </row>
    <row r="15" spans="1:16" ht="15.5">
      <c r="A15" s="46" t="s">
        <v>858</v>
      </c>
      <c r="B15" s="47" t="s">
        <v>1068</v>
      </c>
      <c r="C15" s="48">
        <v>10</v>
      </c>
      <c r="D15" s="48">
        <v>1081</v>
      </c>
      <c r="E15" s="48">
        <f>0</f>
        <v>0</v>
      </c>
      <c r="F15" s="48">
        <v>1000</v>
      </c>
      <c r="G15" s="48">
        <f>0</f>
        <v>0</v>
      </c>
      <c r="I15" s="37" t="s">
        <v>903</v>
      </c>
      <c r="J15" s="50">
        <v>4600</v>
      </c>
      <c r="K15" s="50">
        <v>1850</v>
      </c>
      <c r="L15" s="50">
        <v>1026</v>
      </c>
      <c r="M15" s="50">
        <v>1500</v>
      </c>
      <c r="N15" s="50">
        <v>3300</v>
      </c>
      <c r="O15" s="50">
        <v>2250</v>
      </c>
      <c r="P15" s="50">
        <v>14526</v>
      </c>
    </row>
    <row r="16" spans="1:16" ht="15.5">
      <c r="A16" s="46" t="s">
        <v>858</v>
      </c>
      <c r="B16" s="47" t="s">
        <v>1070</v>
      </c>
      <c r="C16" s="48">
        <v>180</v>
      </c>
      <c r="D16" s="48">
        <v>1248</v>
      </c>
      <c r="E16" s="48">
        <v>1100</v>
      </c>
      <c r="F16" s="48">
        <v>1250</v>
      </c>
      <c r="G16" s="48">
        <v>1375</v>
      </c>
      <c r="I16" s="37" t="s">
        <v>868</v>
      </c>
      <c r="J16" s="50">
        <v>3350</v>
      </c>
      <c r="K16" s="50">
        <v>1625</v>
      </c>
      <c r="L16" s="50">
        <v>686</v>
      </c>
      <c r="M16" s="50">
        <v>1067</v>
      </c>
      <c r="N16" s="50">
        <v>2500</v>
      </c>
      <c r="O16" s="50">
        <v>1993</v>
      </c>
      <c r="P16" s="50">
        <v>11221</v>
      </c>
    </row>
    <row r="17" spans="1:16" ht="15.5">
      <c r="A17" s="46" t="s">
        <v>858</v>
      </c>
      <c r="B17" s="47" t="s">
        <v>1071</v>
      </c>
      <c r="C17" s="48">
        <v>300</v>
      </c>
      <c r="D17" s="48">
        <v>1554</v>
      </c>
      <c r="E17" s="48">
        <v>1400</v>
      </c>
      <c r="F17" s="48">
        <v>1600</v>
      </c>
      <c r="G17" s="48">
        <v>1700</v>
      </c>
      <c r="I17" s="37" t="s">
        <v>869</v>
      </c>
      <c r="J17" s="50">
        <v>2800</v>
      </c>
      <c r="K17" s="50">
        <v>1400</v>
      </c>
      <c r="L17" s="50">
        <v>826</v>
      </c>
      <c r="M17" s="50">
        <v>1088</v>
      </c>
      <c r="N17" s="50">
        <v>2150</v>
      </c>
      <c r="O17" s="50">
        <v>1700</v>
      </c>
      <c r="P17" s="50">
        <v>9964</v>
      </c>
    </row>
    <row r="18" spans="1:16" ht="15.5">
      <c r="A18" s="46" t="s">
        <v>858</v>
      </c>
      <c r="B18" s="47" t="s">
        <v>1072</v>
      </c>
      <c r="C18" s="48">
        <v>220</v>
      </c>
      <c r="D18" s="48">
        <v>1924</v>
      </c>
      <c r="E18" s="48">
        <v>1750</v>
      </c>
      <c r="F18" s="48">
        <v>1950</v>
      </c>
      <c r="G18" s="48">
        <v>2100</v>
      </c>
      <c r="I18" s="37" t="s">
        <v>870</v>
      </c>
      <c r="J18" s="50">
        <v>2400</v>
      </c>
      <c r="K18" s="50">
        <v>1250</v>
      </c>
      <c r="L18" s="50">
        <v>801</v>
      </c>
      <c r="M18" s="50">
        <v>973</v>
      </c>
      <c r="N18" s="50">
        <v>1850</v>
      </c>
      <c r="O18" s="50">
        <v>1550</v>
      </c>
      <c r="P18" s="50">
        <v>8824</v>
      </c>
    </row>
    <row r="19" spans="1:16" ht="15.5">
      <c r="A19" s="46" t="s">
        <v>858</v>
      </c>
      <c r="B19" s="47" t="s">
        <v>1073</v>
      </c>
      <c r="C19" s="48">
        <v>50</v>
      </c>
      <c r="D19" s="48">
        <v>2315</v>
      </c>
      <c r="E19" s="48">
        <v>2050</v>
      </c>
      <c r="F19" s="48">
        <v>2300</v>
      </c>
      <c r="G19" s="48">
        <v>2600</v>
      </c>
      <c r="I19" s="37" t="s">
        <v>871</v>
      </c>
      <c r="J19" s="50">
        <v>2500</v>
      </c>
      <c r="K19" s="50">
        <v>1300</v>
      </c>
      <c r="L19" s="50">
        <v>650</v>
      </c>
      <c r="M19" s="50">
        <v>1050</v>
      </c>
      <c r="N19" s="50">
        <v>1969</v>
      </c>
      <c r="O19" s="50">
        <v>1600</v>
      </c>
      <c r="P19" s="50">
        <v>9069</v>
      </c>
    </row>
    <row r="20" spans="1:16" ht="15.5">
      <c r="A20" s="46" t="s">
        <v>859</v>
      </c>
      <c r="B20" s="47" t="s">
        <v>1066</v>
      </c>
      <c r="C20" s="48">
        <v>80</v>
      </c>
      <c r="D20" s="48">
        <v>796</v>
      </c>
      <c r="E20" s="48">
        <v>708</v>
      </c>
      <c r="F20" s="48">
        <v>776</v>
      </c>
      <c r="G20" s="48">
        <v>878</v>
      </c>
      <c r="I20" s="37" t="s">
        <v>872</v>
      </c>
      <c r="J20" s="50">
        <v>3100</v>
      </c>
      <c r="K20" s="50">
        <v>1495</v>
      </c>
      <c r="L20" s="50">
        <v>700</v>
      </c>
      <c r="M20" s="50">
        <v>1150</v>
      </c>
      <c r="N20" s="50">
        <v>2250</v>
      </c>
      <c r="O20" s="50">
        <v>1800</v>
      </c>
      <c r="P20" s="50">
        <v>10495</v>
      </c>
    </row>
    <row r="21" spans="1:16" ht="15.5">
      <c r="A21" s="46" t="s">
        <v>859</v>
      </c>
      <c r="B21" s="47" t="s">
        <v>1068</v>
      </c>
      <c r="C21" s="48">
        <v>110</v>
      </c>
      <c r="D21" s="48">
        <v>1152</v>
      </c>
      <c r="E21" s="48">
        <v>1000</v>
      </c>
      <c r="F21" s="48">
        <v>1160</v>
      </c>
      <c r="G21" s="48">
        <v>1280</v>
      </c>
      <c r="I21" s="37" t="s">
        <v>873</v>
      </c>
      <c r="J21" s="50">
        <v>4500</v>
      </c>
      <c r="K21" s="50">
        <v>2000</v>
      </c>
      <c r="L21" s="50">
        <v>895</v>
      </c>
      <c r="M21" s="50">
        <v>1400</v>
      </c>
      <c r="N21" s="50">
        <v>3100</v>
      </c>
      <c r="O21" s="50">
        <v>2525</v>
      </c>
      <c r="P21" s="50">
        <v>14420</v>
      </c>
    </row>
    <row r="22" spans="1:16" ht="15.5">
      <c r="A22" s="46" t="s">
        <v>859</v>
      </c>
      <c r="B22" s="47" t="s">
        <v>1070</v>
      </c>
      <c r="C22" s="48">
        <v>440</v>
      </c>
      <c r="D22" s="48">
        <v>1646</v>
      </c>
      <c r="E22" s="48">
        <v>1450</v>
      </c>
      <c r="F22" s="48">
        <v>1650</v>
      </c>
      <c r="G22" s="48">
        <v>1850</v>
      </c>
      <c r="I22" s="37" t="s">
        <v>911</v>
      </c>
      <c r="J22" s="50">
        <v>8000</v>
      </c>
      <c r="K22" s="50">
        <v>2396</v>
      </c>
      <c r="L22" s="50">
        <v>1177</v>
      </c>
      <c r="M22" s="50">
        <v>1603</v>
      </c>
      <c r="N22" s="50">
        <v>5688</v>
      </c>
      <c r="O22" s="50">
        <v>3358</v>
      </c>
      <c r="P22" s="50">
        <v>22222</v>
      </c>
    </row>
    <row r="23" spans="1:16" ht="15.5">
      <c r="A23" s="46" t="s">
        <v>859</v>
      </c>
      <c r="B23" s="47" t="s">
        <v>1071</v>
      </c>
      <c r="C23" s="48">
        <v>660</v>
      </c>
      <c r="D23" s="48">
        <v>2036</v>
      </c>
      <c r="E23" s="48">
        <v>1800</v>
      </c>
      <c r="F23" s="48">
        <v>2000</v>
      </c>
      <c r="G23" s="48">
        <v>2250</v>
      </c>
      <c r="I23" s="37" t="s">
        <v>913</v>
      </c>
      <c r="J23" s="50">
        <v>3000</v>
      </c>
      <c r="K23" s="50">
        <v>1400</v>
      </c>
      <c r="L23" s="50">
        <v>757</v>
      </c>
      <c r="M23" s="50">
        <v>1075</v>
      </c>
      <c r="N23" s="50">
        <v>2322</v>
      </c>
      <c r="O23" s="50">
        <v>1750</v>
      </c>
      <c r="P23" s="50">
        <v>10304</v>
      </c>
    </row>
    <row r="24" spans="1:16" ht="15.5">
      <c r="A24" s="46" t="s">
        <v>859</v>
      </c>
      <c r="B24" s="47" t="s">
        <v>1072</v>
      </c>
      <c r="C24" s="48">
        <v>290</v>
      </c>
      <c r="D24" s="48">
        <v>2480</v>
      </c>
      <c r="E24" s="48">
        <v>2100</v>
      </c>
      <c r="F24" s="48">
        <v>2400</v>
      </c>
      <c r="G24" s="48">
        <v>2700</v>
      </c>
      <c r="I24" s="37" t="s">
        <v>876</v>
      </c>
      <c r="J24" s="50">
        <v>3750</v>
      </c>
      <c r="K24" s="50">
        <v>1800</v>
      </c>
      <c r="L24" s="50">
        <v>830</v>
      </c>
      <c r="M24" s="50">
        <v>1375</v>
      </c>
      <c r="N24" s="50">
        <v>2850</v>
      </c>
      <c r="O24" s="50">
        <v>2205</v>
      </c>
      <c r="P24" s="50">
        <v>12810</v>
      </c>
    </row>
    <row r="25" spans="1:16" ht="15.5">
      <c r="A25" s="46" t="s">
        <v>859</v>
      </c>
      <c r="B25" s="47" t="s">
        <v>1073</v>
      </c>
      <c r="C25" s="48">
        <v>120</v>
      </c>
      <c r="D25" s="48">
        <v>3601</v>
      </c>
      <c r="E25" s="48">
        <v>2515</v>
      </c>
      <c r="F25" s="48">
        <v>3200</v>
      </c>
      <c r="G25" s="48">
        <v>4213</v>
      </c>
      <c r="I25" s="37" t="s">
        <v>877</v>
      </c>
      <c r="J25" s="50">
        <v>2900</v>
      </c>
      <c r="K25" s="50">
        <v>1450</v>
      </c>
      <c r="L25" s="50">
        <v>821</v>
      </c>
      <c r="M25" s="50">
        <v>1150</v>
      </c>
      <c r="N25" s="50">
        <v>2200</v>
      </c>
      <c r="O25" s="50">
        <v>1750</v>
      </c>
      <c r="P25" s="50">
        <v>10271</v>
      </c>
    </row>
    <row r="26" spans="1:16" ht="15.5">
      <c r="A26" s="46" t="s">
        <v>860</v>
      </c>
      <c r="B26" s="47" t="s">
        <v>1066</v>
      </c>
      <c r="C26" s="48">
        <v>20</v>
      </c>
      <c r="D26" s="48">
        <v>706</v>
      </c>
      <c r="E26" s="48">
        <v>676</v>
      </c>
      <c r="F26" s="48">
        <v>718</v>
      </c>
      <c r="G26" s="48">
        <v>801</v>
      </c>
      <c r="I26" s="37" t="s">
        <v>878</v>
      </c>
      <c r="J26" s="50">
        <v>3350</v>
      </c>
      <c r="K26" s="50">
        <v>1500</v>
      </c>
      <c r="L26" s="50">
        <v>824</v>
      </c>
      <c r="M26" s="50">
        <v>1388</v>
      </c>
      <c r="N26" s="50">
        <v>2450</v>
      </c>
      <c r="O26" s="50">
        <v>1750</v>
      </c>
      <c r="P26" s="50">
        <v>11262</v>
      </c>
    </row>
    <row r="27" spans="1:16" ht="15.5">
      <c r="A27" s="46" t="s">
        <v>860</v>
      </c>
      <c r="B27" s="47" t="s">
        <v>1068</v>
      </c>
      <c r="C27" s="48">
        <v>40</v>
      </c>
      <c r="D27" s="48">
        <v>993</v>
      </c>
      <c r="E27" s="48">
        <v>925</v>
      </c>
      <c r="F27" s="48">
        <v>995</v>
      </c>
      <c r="G27" s="48">
        <v>1050</v>
      </c>
      <c r="I27" s="37" t="s">
        <v>879</v>
      </c>
      <c r="J27" s="50">
        <v>2525</v>
      </c>
      <c r="K27" s="50">
        <v>1650</v>
      </c>
      <c r="L27" s="50">
        <v>701</v>
      </c>
      <c r="M27" s="50">
        <v>1380</v>
      </c>
      <c r="N27" s="50">
        <v>2200</v>
      </c>
      <c r="O27" s="50">
        <v>1950</v>
      </c>
      <c r="P27" s="50">
        <v>10406</v>
      </c>
    </row>
    <row r="28" spans="1:16" ht="15.5">
      <c r="A28" s="46" t="s">
        <v>860</v>
      </c>
      <c r="B28" s="47" t="s">
        <v>1070</v>
      </c>
      <c r="C28" s="48">
        <v>790</v>
      </c>
      <c r="D28" s="48">
        <v>1292</v>
      </c>
      <c r="E28" s="48">
        <v>1181</v>
      </c>
      <c r="F28" s="48">
        <v>1300</v>
      </c>
      <c r="G28" s="48">
        <v>1400</v>
      </c>
      <c r="I28" s="37" t="s">
        <v>880</v>
      </c>
      <c r="J28" s="50">
        <v>2600</v>
      </c>
      <c r="K28" s="50">
        <v>1375</v>
      </c>
      <c r="L28" s="50">
        <v>876</v>
      </c>
      <c r="M28" s="50">
        <v>998</v>
      </c>
      <c r="N28" s="50">
        <v>2100</v>
      </c>
      <c r="O28" s="50">
        <v>1700</v>
      </c>
      <c r="P28" s="50">
        <v>9649</v>
      </c>
    </row>
    <row r="29" spans="1:16" ht="15.5">
      <c r="A29" s="46" t="s">
        <v>860</v>
      </c>
      <c r="B29" s="47" t="s">
        <v>1071</v>
      </c>
      <c r="C29" s="48">
        <v>1130</v>
      </c>
      <c r="D29" s="48">
        <v>1620</v>
      </c>
      <c r="E29" s="48">
        <v>1450</v>
      </c>
      <c r="F29" s="48">
        <v>1600</v>
      </c>
      <c r="G29" s="48">
        <v>1750</v>
      </c>
      <c r="I29" s="37" t="s">
        <v>920</v>
      </c>
      <c r="J29" s="50">
        <v>3850</v>
      </c>
      <c r="K29" s="50">
        <v>1571</v>
      </c>
      <c r="L29" s="50">
        <v>725</v>
      </c>
      <c r="M29" s="50">
        <v>1175</v>
      </c>
      <c r="N29" s="50">
        <v>2700</v>
      </c>
      <c r="O29" s="50">
        <v>2100</v>
      </c>
      <c r="P29" s="50">
        <v>12121</v>
      </c>
    </row>
    <row r="30" spans="1:16" ht="15.5">
      <c r="A30" s="46" t="s">
        <v>860</v>
      </c>
      <c r="B30" s="47" t="s">
        <v>1072</v>
      </c>
      <c r="C30" s="48">
        <v>480</v>
      </c>
      <c r="D30" s="48">
        <v>2021</v>
      </c>
      <c r="E30" s="48">
        <v>1750</v>
      </c>
      <c r="F30" s="48">
        <v>2000</v>
      </c>
      <c r="G30" s="48">
        <v>2246</v>
      </c>
      <c r="I30" s="37" t="s">
        <v>882</v>
      </c>
      <c r="J30" s="50">
        <v>3500</v>
      </c>
      <c r="K30" s="50">
        <v>1725</v>
      </c>
      <c r="L30" s="50">
        <v>875</v>
      </c>
      <c r="M30" s="50">
        <v>1400</v>
      </c>
      <c r="N30" s="50">
        <v>2700</v>
      </c>
      <c r="O30" s="50">
        <v>2200</v>
      </c>
      <c r="P30" s="50">
        <v>12400</v>
      </c>
    </row>
    <row r="31" spans="1:16" ht="15.5">
      <c r="A31" s="46" t="s">
        <v>860</v>
      </c>
      <c r="B31" s="47" t="s">
        <v>1073</v>
      </c>
      <c r="C31" s="48">
        <v>190</v>
      </c>
      <c r="D31" s="48">
        <v>2750</v>
      </c>
      <c r="E31" s="48">
        <v>2200</v>
      </c>
      <c r="F31" s="48">
        <v>2500</v>
      </c>
      <c r="G31" s="48">
        <v>3000</v>
      </c>
      <c r="I31" s="37" t="s">
        <v>883</v>
      </c>
      <c r="J31" s="50">
        <v>2500</v>
      </c>
      <c r="K31" s="50">
        <v>1250</v>
      </c>
      <c r="L31" s="50">
        <v>0</v>
      </c>
      <c r="M31" s="50">
        <v>931</v>
      </c>
      <c r="N31" s="50">
        <v>1950</v>
      </c>
      <c r="O31" s="50">
        <v>1550</v>
      </c>
      <c r="P31" s="50">
        <v>8181</v>
      </c>
    </row>
    <row r="32" spans="1:16" ht="15.5">
      <c r="A32" s="46" t="s">
        <v>861</v>
      </c>
      <c r="B32" s="47" t="s">
        <v>1066</v>
      </c>
      <c r="C32" s="48">
        <v>30</v>
      </c>
      <c r="D32" s="48">
        <v>882</v>
      </c>
      <c r="E32" s="48">
        <v>826</v>
      </c>
      <c r="F32" s="48">
        <v>875</v>
      </c>
      <c r="G32" s="48">
        <v>930</v>
      </c>
      <c r="I32" s="37" t="s">
        <v>884</v>
      </c>
      <c r="J32" s="50">
        <v>3700</v>
      </c>
      <c r="K32" s="50">
        <v>1850</v>
      </c>
      <c r="L32" s="50">
        <v>852</v>
      </c>
      <c r="M32" s="50">
        <v>1750</v>
      </c>
      <c r="N32" s="50">
        <v>2750</v>
      </c>
      <c r="O32" s="50">
        <v>2300</v>
      </c>
      <c r="P32" s="50">
        <v>13202</v>
      </c>
    </row>
    <row r="33" spans="1:16" ht="15.5">
      <c r="A33" s="46" t="s">
        <v>861</v>
      </c>
      <c r="B33" s="47" t="s">
        <v>1068</v>
      </c>
      <c r="C33" s="48">
        <v>60</v>
      </c>
      <c r="D33" s="48">
        <v>1520</v>
      </c>
      <c r="E33" s="48">
        <v>1350</v>
      </c>
      <c r="F33" s="48">
        <v>1450</v>
      </c>
      <c r="G33" s="48">
        <v>1750</v>
      </c>
      <c r="I33" s="37" t="s">
        <v>885</v>
      </c>
      <c r="J33" s="50">
        <v>2500</v>
      </c>
      <c r="K33" s="50">
        <v>1400</v>
      </c>
      <c r="L33" s="50">
        <v>764</v>
      </c>
      <c r="M33" s="50">
        <v>1188</v>
      </c>
      <c r="N33" s="50">
        <v>2150</v>
      </c>
      <c r="O33" s="50">
        <v>1725</v>
      </c>
      <c r="P33" s="50">
        <v>9727</v>
      </c>
    </row>
    <row r="34" spans="1:16" ht="15.5">
      <c r="A34" s="46" t="s">
        <v>861</v>
      </c>
      <c r="B34" s="47" t="s">
        <v>1070</v>
      </c>
      <c r="C34" s="48">
        <v>300</v>
      </c>
      <c r="D34" s="48">
        <v>2113</v>
      </c>
      <c r="E34" s="48">
        <v>1800</v>
      </c>
      <c r="F34" s="48">
        <v>2000</v>
      </c>
      <c r="G34" s="48">
        <v>2350</v>
      </c>
      <c r="I34" s="37" t="s">
        <v>886</v>
      </c>
      <c r="J34" s="50">
        <v>4125</v>
      </c>
      <c r="K34" s="50">
        <v>1750</v>
      </c>
      <c r="L34" s="50">
        <v>1139</v>
      </c>
      <c r="M34" s="50">
        <v>1350</v>
      </c>
      <c r="N34" s="50">
        <v>2900</v>
      </c>
      <c r="O34" s="50">
        <v>2250</v>
      </c>
      <c r="P34" s="50">
        <v>13514</v>
      </c>
    </row>
    <row r="35" spans="1:16" ht="15.5">
      <c r="A35" s="46" t="s">
        <v>861</v>
      </c>
      <c r="B35" s="47" t="s">
        <v>1071</v>
      </c>
      <c r="C35" s="48">
        <v>310</v>
      </c>
      <c r="D35" s="48">
        <v>2747</v>
      </c>
      <c r="E35" s="48">
        <v>2250</v>
      </c>
      <c r="F35" s="48">
        <v>2600</v>
      </c>
      <c r="G35" s="48">
        <v>3100</v>
      </c>
      <c r="I35" s="37" t="s">
        <v>887</v>
      </c>
      <c r="J35" s="50">
        <v>9750</v>
      </c>
      <c r="K35" s="50">
        <v>2492</v>
      </c>
      <c r="L35" s="50">
        <v>1000</v>
      </c>
      <c r="M35" s="50">
        <v>1647</v>
      </c>
      <c r="N35" s="50">
        <v>4658</v>
      </c>
      <c r="O35" s="50">
        <v>3358</v>
      </c>
      <c r="P35" s="50">
        <v>22905</v>
      </c>
    </row>
    <row r="36" spans="1:16" ht="15.5">
      <c r="A36" s="46" t="s">
        <v>861</v>
      </c>
      <c r="B36" s="47" t="s">
        <v>1072</v>
      </c>
      <c r="C36" s="48">
        <v>130</v>
      </c>
      <c r="D36" s="48">
        <v>3684</v>
      </c>
      <c r="E36" s="48">
        <v>3025</v>
      </c>
      <c r="F36" s="48">
        <v>3500</v>
      </c>
      <c r="G36" s="48">
        <v>4000</v>
      </c>
      <c r="I36" s="37" t="s">
        <v>941</v>
      </c>
      <c r="J36" s="50">
        <v>111915</v>
      </c>
      <c r="K36" s="50">
        <v>53504</v>
      </c>
      <c r="L36" s="50">
        <v>25588</v>
      </c>
      <c r="M36" s="50">
        <v>40543</v>
      </c>
      <c r="N36" s="50">
        <v>87272</v>
      </c>
      <c r="O36" s="50">
        <v>67139</v>
      </c>
      <c r="P36" s="50">
        <v>385961</v>
      </c>
    </row>
    <row r="37" spans="1:16" ht="15.5">
      <c r="A37" s="46" t="s">
        <v>861</v>
      </c>
      <c r="B37" s="47" t="s">
        <v>1073</v>
      </c>
      <c r="C37" s="48">
        <v>40</v>
      </c>
      <c r="D37" s="48">
        <v>4815</v>
      </c>
      <c r="E37" s="48">
        <v>3590</v>
      </c>
      <c r="F37" s="48">
        <v>4090</v>
      </c>
      <c r="G37" s="48">
        <v>5079</v>
      </c>
    </row>
    <row r="38" spans="1:16" ht="15.5">
      <c r="A38" s="46" t="s">
        <v>855</v>
      </c>
      <c r="B38" s="47" t="s">
        <v>1066</v>
      </c>
      <c r="C38" s="48" t="s">
        <v>1069</v>
      </c>
      <c r="D38" s="48">
        <f>0</f>
        <v>0</v>
      </c>
      <c r="E38" s="48">
        <f>0</f>
        <v>0</v>
      </c>
      <c r="F38" s="48">
        <f>0</f>
        <v>0</v>
      </c>
      <c r="G38" s="48">
        <f>0</f>
        <v>0</v>
      </c>
    </row>
    <row r="39" spans="1:16" ht="15.5">
      <c r="A39" s="46" t="s">
        <v>855</v>
      </c>
      <c r="B39" s="47" t="s">
        <v>1068</v>
      </c>
      <c r="C39" s="48">
        <v>10</v>
      </c>
      <c r="D39" s="48">
        <v>2388</v>
      </c>
      <c r="E39" s="48">
        <f>0</f>
        <v>0</v>
      </c>
      <c r="F39" s="48">
        <v>2300</v>
      </c>
      <c r="G39" s="48">
        <f>0</f>
        <v>0</v>
      </c>
    </row>
    <row r="40" spans="1:16" ht="15.5">
      <c r="A40" s="46" t="s">
        <v>855</v>
      </c>
      <c r="B40" s="47" t="s">
        <v>1070</v>
      </c>
      <c r="C40" s="48">
        <v>70</v>
      </c>
      <c r="D40" s="48">
        <v>2395</v>
      </c>
      <c r="E40" s="48">
        <v>2100</v>
      </c>
      <c r="F40" s="48">
        <v>2300</v>
      </c>
      <c r="G40" s="48">
        <v>2675</v>
      </c>
    </row>
    <row r="41" spans="1:16" ht="15.5">
      <c r="A41" s="46" t="s">
        <v>855</v>
      </c>
      <c r="B41" s="47" t="s">
        <v>1071</v>
      </c>
      <c r="C41" s="48">
        <v>50</v>
      </c>
      <c r="D41" s="48">
        <v>3072</v>
      </c>
      <c r="E41" s="48">
        <v>2843</v>
      </c>
      <c r="F41" s="48">
        <v>3075</v>
      </c>
      <c r="G41" s="48">
        <v>3263</v>
      </c>
    </row>
    <row r="42" spans="1:16" ht="15.5">
      <c r="A42" s="46" t="s">
        <v>855</v>
      </c>
      <c r="B42" s="47" t="s">
        <v>1072</v>
      </c>
      <c r="C42" s="48">
        <v>10</v>
      </c>
      <c r="D42" s="48">
        <v>4378</v>
      </c>
      <c r="E42" s="48">
        <f>0</f>
        <v>0</v>
      </c>
      <c r="F42" s="48">
        <v>4575</v>
      </c>
      <c r="G42" s="48">
        <f>0</f>
        <v>0</v>
      </c>
    </row>
    <row r="43" spans="1:16" ht="15.5">
      <c r="A43" s="46" t="s">
        <v>855</v>
      </c>
      <c r="B43" s="47" t="s">
        <v>1073</v>
      </c>
      <c r="C43" s="48" t="s">
        <v>1069</v>
      </c>
      <c r="D43" s="48">
        <f>0</f>
        <v>0</v>
      </c>
      <c r="E43" s="48">
        <f>0</f>
        <v>0</v>
      </c>
      <c r="F43" s="48">
        <f>0</f>
        <v>0</v>
      </c>
      <c r="G43" s="48">
        <f>0</f>
        <v>0</v>
      </c>
    </row>
    <row r="44" spans="1:16" ht="15.5">
      <c r="A44" s="46" t="s">
        <v>862</v>
      </c>
      <c r="B44" s="47" t="s">
        <v>1066</v>
      </c>
      <c r="C44" s="48">
        <v>20</v>
      </c>
      <c r="D44" s="48">
        <v>719</v>
      </c>
      <c r="E44" s="48">
        <v>650</v>
      </c>
      <c r="F44" s="48">
        <v>732</v>
      </c>
      <c r="G44" s="48">
        <v>805</v>
      </c>
    </row>
    <row r="45" spans="1:16" ht="15.5">
      <c r="A45" s="46" t="s">
        <v>862</v>
      </c>
      <c r="B45" s="47" t="s">
        <v>1068</v>
      </c>
      <c r="C45" s="48">
        <v>50</v>
      </c>
      <c r="D45" s="48">
        <v>1019</v>
      </c>
      <c r="E45" s="48">
        <v>938</v>
      </c>
      <c r="F45" s="48">
        <v>1025</v>
      </c>
      <c r="G45" s="48">
        <v>1100</v>
      </c>
    </row>
    <row r="46" spans="1:16" ht="15.5">
      <c r="A46" s="46" t="s">
        <v>862</v>
      </c>
      <c r="B46" s="47" t="s">
        <v>1070</v>
      </c>
      <c r="C46" s="48">
        <v>540</v>
      </c>
      <c r="D46" s="48">
        <v>1226</v>
      </c>
      <c r="E46" s="48">
        <v>1100</v>
      </c>
      <c r="F46" s="48">
        <v>1250</v>
      </c>
      <c r="G46" s="48">
        <v>1315</v>
      </c>
    </row>
    <row r="47" spans="1:16" ht="15.5">
      <c r="A47" s="46" t="s">
        <v>862</v>
      </c>
      <c r="B47" s="47" t="s">
        <v>1071</v>
      </c>
      <c r="C47" s="48">
        <v>810</v>
      </c>
      <c r="D47" s="48">
        <v>1542</v>
      </c>
      <c r="E47" s="48">
        <v>1400</v>
      </c>
      <c r="F47" s="48">
        <v>1550</v>
      </c>
      <c r="G47" s="48">
        <v>1650</v>
      </c>
    </row>
    <row r="48" spans="1:16" ht="15.5">
      <c r="A48" s="46" t="s">
        <v>862</v>
      </c>
      <c r="B48" s="47" t="s">
        <v>1072</v>
      </c>
      <c r="C48" s="48">
        <v>350</v>
      </c>
      <c r="D48" s="48">
        <v>1932</v>
      </c>
      <c r="E48" s="48">
        <v>1700</v>
      </c>
      <c r="F48" s="48">
        <v>1950</v>
      </c>
      <c r="G48" s="48">
        <v>2150</v>
      </c>
    </row>
    <row r="49" spans="1:7" ht="15.5">
      <c r="A49" s="46" t="s">
        <v>862</v>
      </c>
      <c r="B49" s="47" t="s">
        <v>1073</v>
      </c>
      <c r="C49" s="48">
        <v>110</v>
      </c>
      <c r="D49" s="48">
        <v>2511</v>
      </c>
      <c r="E49" s="48">
        <v>2200</v>
      </c>
      <c r="F49" s="48">
        <v>2475</v>
      </c>
      <c r="G49" s="48">
        <v>2700</v>
      </c>
    </row>
    <row r="50" spans="1:7" ht="15.5">
      <c r="A50" s="46" t="s">
        <v>863</v>
      </c>
      <c r="B50" s="47" t="s">
        <v>1066</v>
      </c>
      <c r="C50" s="48">
        <v>160</v>
      </c>
      <c r="D50" s="48">
        <v>872</v>
      </c>
      <c r="E50" s="48">
        <v>726</v>
      </c>
      <c r="F50" s="48">
        <v>826</v>
      </c>
      <c r="G50" s="48">
        <v>957</v>
      </c>
    </row>
    <row r="51" spans="1:7" ht="15.5">
      <c r="A51" s="46" t="s">
        <v>863</v>
      </c>
      <c r="B51" s="47" t="s">
        <v>1068</v>
      </c>
      <c r="C51" s="48">
        <v>70</v>
      </c>
      <c r="D51" s="48">
        <v>1300</v>
      </c>
      <c r="E51" s="48">
        <v>1138</v>
      </c>
      <c r="F51" s="48">
        <v>1345</v>
      </c>
      <c r="G51" s="48">
        <v>1450</v>
      </c>
    </row>
    <row r="52" spans="1:7" ht="15.5">
      <c r="A52" s="46" t="s">
        <v>863</v>
      </c>
      <c r="B52" s="47" t="s">
        <v>1070</v>
      </c>
      <c r="C52" s="48">
        <v>660</v>
      </c>
      <c r="D52" s="48">
        <v>1571</v>
      </c>
      <c r="E52" s="48">
        <v>1400</v>
      </c>
      <c r="F52" s="48">
        <v>1550</v>
      </c>
      <c r="G52" s="48">
        <v>1700</v>
      </c>
    </row>
    <row r="53" spans="1:7" ht="15.5">
      <c r="A53" s="46" t="s">
        <v>863</v>
      </c>
      <c r="B53" s="47" t="s">
        <v>1071</v>
      </c>
      <c r="C53" s="48">
        <v>870</v>
      </c>
      <c r="D53" s="48">
        <v>1958</v>
      </c>
      <c r="E53" s="48">
        <v>1744</v>
      </c>
      <c r="F53" s="48">
        <v>1900</v>
      </c>
      <c r="G53" s="48">
        <v>2150</v>
      </c>
    </row>
    <row r="54" spans="1:7" ht="15.5">
      <c r="A54" s="46" t="s">
        <v>863</v>
      </c>
      <c r="B54" s="47" t="s">
        <v>1072</v>
      </c>
      <c r="C54" s="48">
        <v>240</v>
      </c>
      <c r="D54" s="48">
        <v>2551</v>
      </c>
      <c r="E54" s="48">
        <v>2200</v>
      </c>
      <c r="F54" s="48">
        <v>2445</v>
      </c>
      <c r="G54" s="48">
        <v>2752</v>
      </c>
    </row>
    <row r="55" spans="1:7" ht="15.5">
      <c r="A55" s="46" t="s">
        <v>863</v>
      </c>
      <c r="B55" s="47" t="s">
        <v>1073</v>
      </c>
      <c r="C55" s="48">
        <v>110</v>
      </c>
      <c r="D55" s="48">
        <v>3310</v>
      </c>
      <c r="E55" s="48">
        <v>2550</v>
      </c>
      <c r="F55" s="48">
        <v>2900</v>
      </c>
      <c r="G55" s="48">
        <v>3750</v>
      </c>
    </row>
    <row r="56" spans="1:7" ht="15.5">
      <c r="A56" s="46" t="s">
        <v>864</v>
      </c>
      <c r="B56" s="47" t="s">
        <v>1066</v>
      </c>
      <c r="C56" s="48">
        <v>30</v>
      </c>
      <c r="D56" s="48">
        <v>736</v>
      </c>
      <c r="E56" s="48">
        <v>676</v>
      </c>
      <c r="F56" s="48">
        <v>738</v>
      </c>
      <c r="G56" s="48">
        <v>801</v>
      </c>
    </row>
    <row r="57" spans="1:7" ht="15.5">
      <c r="A57" s="46" t="s">
        <v>864</v>
      </c>
      <c r="B57" s="47" t="s">
        <v>1068</v>
      </c>
      <c r="C57" s="48">
        <v>30</v>
      </c>
      <c r="D57" s="48">
        <v>1107</v>
      </c>
      <c r="E57" s="48">
        <v>1000</v>
      </c>
      <c r="F57" s="48">
        <v>1100</v>
      </c>
      <c r="G57" s="48">
        <v>1250</v>
      </c>
    </row>
    <row r="58" spans="1:7" ht="15.5">
      <c r="A58" s="46" t="s">
        <v>864</v>
      </c>
      <c r="B58" s="47" t="s">
        <v>1070</v>
      </c>
      <c r="C58" s="48">
        <v>240</v>
      </c>
      <c r="D58" s="48">
        <v>1332</v>
      </c>
      <c r="E58" s="48">
        <v>1250</v>
      </c>
      <c r="F58" s="48">
        <v>1350</v>
      </c>
      <c r="G58" s="48">
        <v>1424</v>
      </c>
    </row>
    <row r="59" spans="1:7" ht="15.5">
      <c r="A59" s="46" t="s">
        <v>864</v>
      </c>
      <c r="B59" s="47" t="s">
        <v>1071</v>
      </c>
      <c r="C59" s="48">
        <v>400</v>
      </c>
      <c r="D59" s="48">
        <v>1649</v>
      </c>
      <c r="E59" s="48">
        <v>1495</v>
      </c>
      <c r="F59" s="48">
        <v>1650</v>
      </c>
      <c r="G59" s="48">
        <v>1750</v>
      </c>
    </row>
    <row r="60" spans="1:7" ht="15.5">
      <c r="A60" s="46" t="s">
        <v>864</v>
      </c>
      <c r="B60" s="47" t="s">
        <v>1072</v>
      </c>
      <c r="C60" s="48">
        <v>260</v>
      </c>
      <c r="D60" s="48">
        <v>2103</v>
      </c>
      <c r="E60" s="48">
        <v>1800</v>
      </c>
      <c r="F60" s="48">
        <v>2050</v>
      </c>
      <c r="G60" s="48">
        <v>2300</v>
      </c>
    </row>
    <row r="61" spans="1:7" ht="15.5">
      <c r="A61" s="46" t="s">
        <v>864</v>
      </c>
      <c r="B61" s="47" t="s">
        <v>1073</v>
      </c>
      <c r="C61" s="48">
        <v>80</v>
      </c>
      <c r="D61" s="48">
        <v>3127</v>
      </c>
      <c r="E61" s="48">
        <v>2500</v>
      </c>
      <c r="F61" s="48">
        <v>2900</v>
      </c>
      <c r="G61" s="48">
        <v>3400</v>
      </c>
    </row>
    <row r="62" spans="1:7" ht="15.5">
      <c r="A62" s="46" t="s">
        <v>865</v>
      </c>
      <c r="B62" s="47" t="s">
        <v>1066</v>
      </c>
      <c r="C62" s="48">
        <v>70</v>
      </c>
      <c r="D62" s="48">
        <v>800</v>
      </c>
      <c r="E62" s="48">
        <v>663</v>
      </c>
      <c r="F62" s="48">
        <v>770</v>
      </c>
      <c r="G62" s="48">
        <v>900</v>
      </c>
    </row>
    <row r="63" spans="1:7" ht="15.5">
      <c r="A63" s="46" t="s">
        <v>865</v>
      </c>
      <c r="B63" s="47" t="s">
        <v>1068</v>
      </c>
      <c r="C63" s="48">
        <v>40</v>
      </c>
      <c r="D63" s="48">
        <v>1139</v>
      </c>
      <c r="E63" s="48">
        <v>1000</v>
      </c>
      <c r="F63" s="48">
        <v>1150</v>
      </c>
      <c r="G63" s="48">
        <v>1300</v>
      </c>
    </row>
    <row r="64" spans="1:7" ht="15.5">
      <c r="A64" s="46" t="s">
        <v>865</v>
      </c>
      <c r="B64" s="47" t="s">
        <v>1070</v>
      </c>
      <c r="C64" s="48">
        <v>660</v>
      </c>
      <c r="D64" s="48">
        <v>1553</v>
      </c>
      <c r="E64" s="48">
        <v>1350</v>
      </c>
      <c r="F64" s="48">
        <v>1525</v>
      </c>
      <c r="G64" s="48">
        <v>1750</v>
      </c>
    </row>
    <row r="65" spans="1:7" ht="15.5">
      <c r="A65" s="46" t="s">
        <v>865</v>
      </c>
      <c r="B65" s="47" t="s">
        <v>1071</v>
      </c>
      <c r="C65" s="48">
        <v>1000</v>
      </c>
      <c r="D65" s="48">
        <v>1903</v>
      </c>
      <c r="E65" s="48">
        <v>1600</v>
      </c>
      <c r="F65" s="48">
        <v>1850</v>
      </c>
      <c r="G65" s="48">
        <v>2100</v>
      </c>
    </row>
    <row r="66" spans="1:7" ht="15.5">
      <c r="A66" s="46" t="s">
        <v>865</v>
      </c>
      <c r="B66" s="47" t="s">
        <v>1072</v>
      </c>
      <c r="C66" s="48">
        <v>420</v>
      </c>
      <c r="D66" s="48">
        <v>2210</v>
      </c>
      <c r="E66" s="48">
        <v>1850</v>
      </c>
      <c r="F66" s="48">
        <v>2100</v>
      </c>
      <c r="G66" s="48">
        <v>2500</v>
      </c>
    </row>
    <row r="67" spans="1:7" ht="15.5">
      <c r="A67" s="46" t="s">
        <v>865</v>
      </c>
      <c r="B67" s="47" t="s">
        <v>1073</v>
      </c>
      <c r="C67" s="48">
        <v>120</v>
      </c>
      <c r="D67" s="48">
        <v>2931</v>
      </c>
      <c r="E67" s="48">
        <v>2303</v>
      </c>
      <c r="F67" s="48">
        <v>2750</v>
      </c>
      <c r="G67" s="48">
        <v>3300</v>
      </c>
    </row>
    <row r="68" spans="1:7" ht="15.5">
      <c r="A68" s="46" t="s">
        <v>866</v>
      </c>
      <c r="B68" s="47" t="s">
        <v>1066</v>
      </c>
      <c r="C68" s="48">
        <v>30</v>
      </c>
      <c r="D68" s="48">
        <v>992</v>
      </c>
      <c r="E68" s="48">
        <v>855</v>
      </c>
      <c r="F68" s="48">
        <v>976</v>
      </c>
      <c r="G68" s="48">
        <v>1056</v>
      </c>
    </row>
    <row r="69" spans="1:7" ht="15.5">
      <c r="A69" s="46" t="s">
        <v>866</v>
      </c>
      <c r="B69" s="47" t="s">
        <v>1068</v>
      </c>
      <c r="C69" s="48">
        <v>40</v>
      </c>
      <c r="D69" s="48">
        <v>1396</v>
      </c>
      <c r="E69" s="48">
        <v>1258</v>
      </c>
      <c r="F69" s="48">
        <v>1280</v>
      </c>
      <c r="G69" s="48">
        <v>1519</v>
      </c>
    </row>
    <row r="70" spans="1:7" ht="15.5">
      <c r="A70" s="46" t="s">
        <v>866</v>
      </c>
      <c r="B70" s="47" t="s">
        <v>1070</v>
      </c>
      <c r="C70" s="48">
        <v>320</v>
      </c>
      <c r="D70" s="48">
        <v>2048</v>
      </c>
      <c r="E70" s="48">
        <v>1743</v>
      </c>
      <c r="F70" s="48">
        <v>2000</v>
      </c>
      <c r="G70" s="48">
        <v>2225</v>
      </c>
    </row>
    <row r="71" spans="1:7" ht="15.5">
      <c r="A71" s="46" t="s">
        <v>866</v>
      </c>
      <c r="B71" s="47" t="s">
        <v>1071</v>
      </c>
      <c r="C71" s="48">
        <v>390</v>
      </c>
      <c r="D71" s="48">
        <v>2525</v>
      </c>
      <c r="E71" s="48">
        <v>2110</v>
      </c>
      <c r="F71" s="48">
        <v>2500</v>
      </c>
      <c r="G71" s="48">
        <v>2775</v>
      </c>
    </row>
    <row r="72" spans="1:7" ht="15.5">
      <c r="A72" s="46" t="s">
        <v>866</v>
      </c>
      <c r="B72" s="47" t="s">
        <v>1072</v>
      </c>
      <c r="C72" s="48">
        <v>170</v>
      </c>
      <c r="D72" s="48">
        <v>3190</v>
      </c>
      <c r="E72" s="48">
        <v>2700</v>
      </c>
      <c r="F72" s="48">
        <v>3200</v>
      </c>
      <c r="G72" s="48">
        <v>3500</v>
      </c>
    </row>
    <row r="73" spans="1:7" ht="15.5">
      <c r="A73" s="46" t="s">
        <v>866</v>
      </c>
      <c r="B73" s="47" t="s">
        <v>1073</v>
      </c>
      <c r="C73" s="48">
        <v>50</v>
      </c>
      <c r="D73" s="48">
        <v>4204</v>
      </c>
      <c r="E73" s="48">
        <v>3450</v>
      </c>
      <c r="F73" s="48">
        <v>3950</v>
      </c>
      <c r="G73" s="48">
        <v>4870</v>
      </c>
    </row>
    <row r="74" spans="1:7" ht="15.5">
      <c r="A74" s="46" t="s">
        <v>903</v>
      </c>
      <c r="B74" s="47" t="s">
        <v>1066</v>
      </c>
      <c r="C74" s="48">
        <v>30</v>
      </c>
      <c r="D74" s="48">
        <v>1030</v>
      </c>
      <c r="E74" s="48">
        <v>918</v>
      </c>
      <c r="F74" s="48">
        <v>1026</v>
      </c>
      <c r="G74" s="48">
        <v>1147</v>
      </c>
    </row>
    <row r="75" spans="1:7" ht="15.5">
      <c r="A75" s="46" t="s">
        <v>903</v>
      </c>
      <c r="B75" s="47" t="s">
        <v>1068</v>
      </c>
      <c r="C75" s="48">
        <v>60</v>
      </c>
      <c r="D75" s="48">
        <v>1530</v>
      </c>
      <c r="E75" s="48">
        <v>1355</v>
      </c>
      <c r="F75" s="48">
        <v>1500</v>
      </c>
      <c r="G75" s="48">
        <v>1659</v>
      </c>
    </row>
    <row r="76" spans="1:7" ht="15.5">
      <c r="A76" s="46" t="s">
        <v>903</v>
      </c>
      <c r="B76" s="47" t="s">
        <v>1070</v>
      </c>
      <c r="C76" s="48">
        <v>390</v>
      </c>
      <c r="D76" s="48">
        <v>1937</v>
      </c>
      <c r="E76" s="48">
        <v>1700</v>
      </c>
      <c r="F76" s="48">
        <v>1850</v>
      </c>
      <c r="G76" s="48">
        <v>2143</v>
      </c>
    </row>
    <row r="77" spans="1:7" ht="15.5">
      <c r="A77" s="46" t="s">
        <v>903</v>
      </c>
      <c r="B77" s="47" t="s">
        <v>1071</v>
      </c>
      <c r="C77" s="48">
        <v>630</v>
      </c>
      <c r="D77" s="48">
        <v>2440</v>
      </c>
      <c r="E77" s="48">
        <v>2050</v>
      </c>
      <c r="F77" s="48">
        <v>2250</v>
      </c>
      <c r="G77" s="48">
        <v>2700</v>
      </c>
    </row>
    <row r="78" spans="1:7" ht="15.5">
      <c r="A78" s="46" t="s">
        <v>903</v>
      </c>
      <c r="B78" s="47" t="s">
        <v>1072</v>
      </c>
      <c r="C78" s="48">
        <v>170</v>
      </c>
      <c r="D78" s="48">
        <v>3396</v>
      </c>
      <c r="E78" s="48">
        <v>2831</v>
      </c>
      <c r="F78" s="48">
        <v>3300</v>
      </c>
      <c r="G78" s="48">
        <v>3750</v>
      </c>
    </row>
    <row r="79" spans="1:7" ht="15.5">
      <c r="A79" s="46" t="s">
        <v>903</v>
      </c>
      <c r="B79" s="47" t="s">
        <v>1073</v>
      </c>
      <c r="C79" s="48">
        <v>90</v>
      </c>
      <c r="D79" s="48">
        <v>5042</v>
      </c>
      <c r="E79" s="48">
        <v>4100</v>
      </c>
      <c r="F79" s="48">
        <v>4600</v>
      </c>
      <c r="G79" s="48">
        <v>5538</v>
      </c>
    </row>
    <row r="80" spans="1:7" ht="15.5">
      <c r="A80" s="46" t="s">
        <v>868</v>
      </c>
      <c r="B80" s="47" t="s">
        <v>1066</v>
      </c>
      <c r="C80" s="48">
        <v>10</v>
      </c>
      <c r="D80" s="48">
        <v>754</v>
      </c>
      <c r="E80" s="48">
        <f>0</f>
        <v>0</v>
      </c>
      <c r="F80" s="48">
        <v>686</v>
      </c>
      <c r="G80" s="48">
        <f>0</f>
        <v>0</v>
      </c>
    </row>
    <row r="81" spans="1:7" ht="15.5">
      <c r="A81" s="46" t="s">
        <v>868</v>
      </c>
      <c r="B81" s="47" t="s">
        <v>1068</v>
      </c>
      <c r="C81" s="48">
        <v>30</v>
      </c>
      <c r="D81" s="48">
        <v>1131</v>
      </c>
      <c r="E81" s="48">
        <v>1000</v>
      </c>
      <c r="F81" s="48">
        <v>1067</v>
      </c>
      <c r="G81" s="48">
        <v>1200</v>
      </c>
    </row>
    <row r="82" spans="1:7" ht="15.5">
      <c r="A82" s="46" t="s">
        <v>868</v>
      </c>
      <c r="B82" s="47" t="s">
        <v>1070</v>
      </c>
      <c r="C82" s="48">
        <v>230</v>
      </c>
      <c r="D82" s="48">
        <v>1651</v>
      </c>
      <c r="E82" s="48">
        <v>1500</v>
      </c>
      <c r="F82" s="48">
        <v>1625</v>
      </c>
      <c r="G82" s="48">
        <v>1800</v>
      </c>
    </row>
    <row r="83" spans="1:7" ht="15.5">
      <c r="A83" s="46" t="s">
        <v>868</v>
      </c>
      <c r="B83" s="47" t="s">
        <v>1071</v>
      </c>
      <c r="C83" s="48">
        <v>350</v>
      </c>
      <c r="D83" s="48">
        <v>2042</v>
      </c>
      <c r="E83" s="48">
        <v>1763</v>
      </c>
      <c r="F83" s="48">
        <v>1993</v>
      </c>
      <c r="G83" s="48">
        <v>2250</v>
      </c>
    </row>
    <row r="84" spans="1:7" ht="15.5">
      <c r="A84" s="46" t="s">
        <v>868</v>
      </c>
      <c r="B84" s="47" t="s">
        <v>1072</v>
      </c>
      <c r="C84" s="48">
        <v>130</v>
      </c>
      <c r="D84" s="48">
        <v>2619</v>
      </c>
      <c r="E84" s="48">
        <v>2200</v>
      </c>
      <c r="F84" s="48">
        <v>2500</v>
      </c>
      <c r="G84" s="48">
        <v>2991</v>
      </c>
    </row>
    <row r="85" spans="1:7" ht="15.5">
      <c r="A85" s="46" t="s">
        <v>868</v>
      </c>
      <c r="B85" s="47" t="s">
        <v>1073</v>
      </c>
      <c r="C85" s="48">
        <v>100</v>
      </c>
      <c r="D85" s="48">
        <v>3647</v>
      </c>
      <c r="E85" s="48">
        <v>2975</v>
      </c>
      <c r="F85" s="48">
        <v>3350</v>
      </c>
      <c r="G85" s="48">
        <v>4173</v>
      </c>
    </row>
    <row r="86" spans="1:7" ht="15.5">
      <c r="A86" s="46" t="s">
        <v>869</v>
      </c>
      <c r="B86" s="47" t="s">
        <v>1066</v>
      </c>
      <c r="C86" s="48">
        <v>30</v>
      </c>
      <c r="D86" s="48">
        <v>804</v>
      </c>
      <c r="E86" s="48">
        <v>726</v>
      </c>
      <c r="F86" s="48">
        <v>826</v>
      </c>
      <c r="G86" s="48">
        <v>876</v>
      </c>
    </row>
    <row r="87" spans="1:7" ht="15.5">
      <c r="A87" s="46" t="s">
        <v>869</v>
      </c>
      <c r="B87" s="47" t="s">
        <v>1068</v>
      </c>
      <c r="C87" s="48">
        <v>60</v>
      </c>
      <c r="D87" s="48">
        <v>1147</v>
      </c>
      <c r="E87" s="48">
        <v>969</v>
      </c>
      <c r="F87" s="48">
        <v>1088</v>
      </c>
      <c r="G87" s="48">
        <v>1381</v>
      </c>
    </row>
    <row r="88" spans="1:7" ht="15.5">
      <c r="A88" s="46" t="s">
        <v>869</v>
      </c>
      <c r="B88" s="47" t="s">
        <v>1070</v>
      </c>
      <c r="C88" s="48">
        <v>290</v>
      </c>
      <c r="D88" s="48">
        <v>1406</v>
      </c>
      <c r="E88" s="48">
        <v>1300</v>
      </c>
      <c r="F88" s="48">
        <v>1400</v>
      </c>
      <c r="G88" s="48">
        <v>1500</v>
      </c>
    </row>
    <row r="89" spans="1:7" ht="15.5">
      <c r="A89" s="46" t="s">
        <v>869</v>
      </c>
      <c r="B89" s="47" t="s">
        <v>1071</v>
      </c>
      <c r="C89" s="48">
        <v>580</v>
      </c>
      <c r="D89" s="48">
        <v>1731</v>
      </c>
      <c r="E89" s="48">
        <v>1600</v>
      </c>
      <c r="F89" s="48">
        <v>1700</v>
      </c>
      <c r="G89" s="48">
        <v>1850</v>
      </c>
    </row>
    <row r="90" spans="1:7" ht="15.5">
      <c r="A90" s="46" t="s">
        <v>869</v>
      </c>
      <c r="B90" s="47" t="s">
        <v>1072</v>
      </c>
      <c r="C90" s="48">
        <v>330</v>
      </c>
      <c r="D90" s="48">
        <v>2202</v>
      </c>
      <c r="E90" s="48">
        <v>1926</v>
      </c>
      <c r="F90" s="48">
        <v>2150</v>
      </c>
      <c r="G90" s="48">
        <v>2400</v>
      </c>
    </row>
    <row r="91" spans="1:7" ht="15.5">
      <c r="A91" s="46" t="s">
        <v>869</v>
      </c>
      <c r="B91" s="47" t="s">
        <v>1073</v>
      </c>
      <c r="C91" s="48">
        <v>160</v>
      </c>
      <c r="D91" s="48">
        <v>2937</v>
      </c>
      <c r="E91" s="48">
        <v>2600</v>
      </c>
      <c r="F91" s="48">
        <v>2800</v>
      </c>
      <c r="G91" s="48">
        <v>3100</v>
      </c>
    </row>
    <row r="92" spans="1:7" ht="15.5">
      <c r="A92" s="46" t="s">
        <v>870</v>
      </c>
      <c r="B92" s="47" t="s">
        <v>1066</v>
      </c>
      <c r="C92" s="48">
        <v>10</v>
      </c>
      <c r="D92" s="48">
        <v>797</v>
      </c>
      <c r="E92" s="48">
        <f>0</f>
        <v>0</v>
      </c>
      <c r="F92" s="48">
        <v>801</v>
      </c>
      <c r="G92" s="48">
        <f>0</f>
        <v>0</v>
      </c>
    </row>
    <row r="93" spans="1:7" ht="15.5">
      <c r="A93" s="46" t="s">
        <v>870</v>
      </c>
      <c r="B93" s="47" t="s">
        <v>1068</v>
      </c>
      <c r="C93" s="48">
        <v>10</v>
      </c>
      <c r="D93" s="48">
        <v>968</v>
      </c>
      <c r="E93" s="48">
        <v>888</v>
      </c>
      <c r="F93" s="48">
        <v>973</v>
      </c>
      <c r="G93" s="48">
        <v>1013</v>
      </c>
    </row>
    <row r="94" spans="1:7" ht="15.5">
      <c r="A94" s="46" t="s">
        <v>870</v>
      </c>
      <c r="B94" s="47" t="s">
        <v>1070</v>
      </c>
      <c r="C94" s="48">
        <v>260</v>
      </c>
      <c r="D94" s="48">
        <v>1243</v>
      </c>
      <c r="E94" s="48">
        <v>1150</v>
      </c>
      <c r="F94" s="48">
        <v>1250</v>
      </c>
      <c r="G94" s="48">
        <v>1350</v>
      </c>
    </row>
    <row r="95" spans="1:7" ht="15.5">
      <c r="A95" s="46" t="s">
        <v>870</v>
      </c>
      <c r="B95" s="47" t="s">
        <v>1071</v>
      </c>
      <c r="C95" s="48">
        <v>390</v>
      </c>
      <c r="D95" s="48">
        <v>1528</v>
      </c>
      <c r="E95" s="48">
        <v>1400</v>
      </c>
      <c r="F95" s="48">
        <v>1550</v>
      </c>
      <c r="G95" s="48">
        <v>1650</v>
      </c>
    </row>
    <row r="96" spans="1:7" ht="15.5">
      <c r="A96" s="46" t="s">
        <v>870</v>
      </c>
      <c r="B96" s="47" t="s">
        <v>1072</v>
      </c>
      <c r="C96" s="48">
        <v>270</v>
      </c>
      <c r="D96" s="48">
        <v>1861</v>
      </c>
      <c r="E96" s="48">
        <v>1700</v>
      </c>
      <c r="F96" s="48">
        <v>1850</v>
      </c>
      <c r="G96" s="48">
        <v>2000</v>
      </c>
    </row>
    <row r="97" spans="1:7" ht="15.5">
      <c r="A97" s="46" t="s">
        <v>870</v>
      </c>
      <c r="B97" s="47" t="s">
        <v>1073</v>
      </c>
      <c r="C97" s="48">
        <v>70</v>
      </c>
      <c r="D97" s="48">
        <v>2388</v>
      </c>
      <c r="E97" s="48">
        <v>2200</v>
      </c>
      <c r="F97" s="48">
        <v>2400</v>
      </c>
      <c r="G97" s="48">
        <v>2550</v>
      </c>
    </row>
    <row r="98" spans="1:7" ht="15.5">
      <c r="A98" s="46" t="s">
        <v>871</v>
      </c>
      <c r="B98" s="47" t="s">
        <v>1066</v>
      </c>
      <c r="C98" s="48">
        <v>30</v>
      </c>
      <c r="D98" s="48">
        <v>648</v>
      </c>
      <c r="E98" s="48">
        <v>558</v>
      </c>
      <c r="F98" s="48">
        <v>650</v>
      </c>
      <c r="G98" s="48">
        <v>764</v>
      </c>
    </row>
    <row r="99" spans="1:7" ht="15.5">
      <c r="A99" s="46" t="s">
        <v>871</v>
      </c>
      <c r="B99" s="47" t="s">
        <v>1068</v>
      </c>
      <c r="C99" s="48">
        <v>90</v>
      </c>
      <c r="D99" s="48">
        <v>1059</v>
      </c>
      <c r="E99" s="48">
        <v>950</v>
      </c>
      <c r="F99" s="48">
        <v>1050</v>
      </c>
      <c r="G99" s="48">
        <v>1150</v>
      </c>
    </row>
    <row r="100" spans="1:7" ht="15.5">
      <c r="A100" s="46" t="s">
        <v>871</v>
      </c>
      <c r="B100" s="47" t="s">
        <v>1070</v>
      </c>
      <c r="C100" s="48">
        <v>530</v>
      </c>
      <c r="D100" s="48">
        <v>1305</v>
      </c>
      <c r="E100" s="48">
        <v>1200</v>
      </c>
      <c r="F100" s="48">
        <v>1300</v>
      </c>
      <c r="G100" s="48">
        <v>1400</v>
      </c>
    </row>
    <row r="101" spans="1:7" ht="15.5">
      <c r="A101" s="46" t="s">
        <v>871</v>
      </c>
      <c r="B101" s="47" t="s">
        <v>1071</v>
      </c>
      <c r="C101" s="48">
        <v>830</v>
      </c>
      <c r="D101" s="48">
        <v>1624</v>
      </c>
      <c r="E101" s="48">
        <v>1478</v>
      </c>
      <c r="F101" s="48">
        <v>1600</v>
      </c>
      <c r="G101" s="48">
        <v>1750</v>
      </c>
    </row>
    <row r="102" spans="1:7" ht="15.5">
      <c r="A102" s="46" t="s">
        <v>871</v>
      </c>
      <c r="B102" s="47" t="s">
        <v>1072</v>
      </c>
      <c r="C102" s="48">
        <v>430</v>
      </c>
      <c r="D102" s="48">
        <v>1978</v>
      </c>
      <c r="E102" s="48">
        <v>1750</v>
      </c>
      <c r="F102" s="48">
        <v>1969</v>
      </c>
      <c r="G102" s="48">
        <v>2200</v>
      </c>
    </row>
    <row r="103" spans="1:7" ht="15.5">
      <c r="A103" s="46" t="s">
        <v>871</v>
      </c>
      <c r="B103" s="47" t="s">
        <v>1073</v>
      </c>
      <c r="C103" s="48">
        <v>150</v>
      </c>
      <c r="D103" s="48">
        <v>2704</v>
      </c>
      <c r="E103" s="48">
        <v>2150</v>
      </c>
      <c r="F103" s="48">
        <v>2500</v>
      </c>
      <c r="G103" s="48">
        <v>2900</v>
      </c>
    </row>
    <row r="104" spans="1:7" ht="15.5">
      <c r="A104" s="46" t="s">
        <v>872</v>
      </c>
      <c r="B104" s="47" t="s">
        <v>1066</v>
      </c>
      <c r="C104" s="48">
        <v>70</v>
      </c>
      <c r="D104" s="48">
        <v>721</v>
      </c>
      <c r="E104" s="48">
        <v>626</v>
      </c>
      <c r="F104" s="48">
        <v>700</v>
      </c>
      <c r="G104" s="48">
        <v>776</v>
      </c>
    </row>
    <row r="105" spans="1:7" ht="15.5">
      <c r="A105" s="46" t="s">
        <v>872</v>
      </c>
      <c r="B105" s="47" t="s">
        <v>1068</v>
      </c>
      <c r="C105" s="48">
        <v>30</v>
      </c>
      <c r="D105" s="48">
        <v>1127</v>
      </c>
      <c r="E105" s="48">
        <v>975</v>
      </c>
      <c r="F105" s="48">
        <v>1150</v>
      </c>
      <c r="G105" s="48">
        <v>1250</v>
      </c>
    </row>
    <row r="106" spans="1:7" ht="15.5">
      <c r="A106" s="46" t="s">
        <v>872</v>
      </c>
      <c r="B106" s="47" t="s">
        <v>1070</v>
      </c>
      <c r="C106" s="48">
        <v>420</v>
      </c>
      <c r="D106" s="48">
        <v>1509</v>
      </c>
      <c r="E106" s="48">
        <v>1350</v>
      </c>
      <c r="F106" s="48">
        <v>1495</v>
      </c>
      <c r="G106" s="48">
        <v>1700</v>
      </c>
    </row>
    <row r="107" spans="1:7" ht="15.5">
      <c r="A107" s="46" t="s">
        <v>872</v>
      </c>
      <c r="B107" s="47" t="s">
        <v>1071</v>
      </c>
      <c r="C107" s="48">
        <v>560</v>
      </c>
      <c r="D107" s="48">
        <v>1900</v>
      </c>
      <c r="E107" s="48">
        <v>1650</v>
      </c>
      <c r="F107" s="48">
        <v>1800</v>
      </c>
      <c r="G107" s="48">
        <v>2050</v>
      </c>
    </row>
    <row r="108" spans="1:7" ht="15.5">
      <c r="A108" s="46" t="s">
        <v>872</v>
      </c>
      <c r="B108" s="47" t="s">
        <v>1072</v>
      </c>
      <c r="C108" s="48">
        <v>220</v>
      </c>
      <c r="D108" s="48">
        <v>2385</v>
      </c>
      <c r="E108" s="48">
        <v>2046</v>
      </c>
      <c r="F108" s="48">
        <v>2250</v>
      </c>
      <c r="G108" s="48">
        <v>2500</v>
      </c>
    </row>
    <row r="109" spans="1:7" ht="15.5">
      <c r="A109" s="46" t="s">
        <v>872</v>
      </c>
      <c r="B109" s="47" t="s">
        <v>1073</v>
      </c>
      <c r="C109" s="48">
        <v>90</v>
      </c>
      <c r="D109" s="48">
        <v>3463</v>
      </c>
      <c r="E109" s="48">
        <v>2654</v>
      </c>
      <c r="F109" s="48">
        <v>3100</v>
      </c>
      <c r="G109" s="48">
        <v>4000</v>
      </c>
    </row>
    <row r="110" spans="1:7" ht="15.5">
      <c r="A110" s="46" t="s">
        <v>873</v>
      </c>
      <c r="B110" s="47" t="s">
        <v>1066</v>
      </c>
      <c r="C110" s="48">
        <v>20</v>
      </c>
      <c r="D110" s="48">
        <v>872</v>
      </c>
      <c r="E110" s="48">
        <v>787</v>
      </c>
      <c r="F110" s="48">
        <v>895</v>
      </c>
      <c r="G110" s="48">
        <v>938</v>
      </c>
    </row>
    <row r="111" spans="1:7" ht="15.5">
      <c r="A111" s="46" t="s">
        <v>873</v>
      </c>
      <c r="B111" s="47" t="s">
        <v>1068</v>
      </c>
      <c r="C111" s="48">
        <v>20</v>
      </c>
      <c r="D111" s="48">
        <v>1455</v>
      </c>
      <c r="E111" s="48">
        <v>1296</v>
      </c>
      <c r="F111" s="48">
        <v>1400</v>
      </c>
      <c r="G111" s="48">
        <v>1538</v>
      </c>
    </row>
    <row r="112" spans="1:7" ht="15.5">
      <c r="A112" s="46" t="s">
        <v>873</v>
      </c>
      <c r="B112" s="47" t="s">
        <v>1070</v>
      </c>
      <c r="C112" s="48">
        <v>470</v>
      </c>
      <c r="D112" s="48">
        <v>2027</v>
      </c>
      <c r="E112" s="48">
        <v>1750</v>
      </c>
      <c r="F112" s="48">
        <v>2000</v>
      </c>
      <c r="G112" s="48">
        <v>2250</v>
      </c>
    </row>
    <row r="113" spans="1:7" ht="15.5">
      <c r="A113" s="46" t="s">
        <v>873</v>
      </c>
      <c r="B113" s="47" t="s">
        <v>1071</v>
      </c>
      <c r="C113" s="48">
        <v>480</v>
      </c>
      <c r="D113" s="48">
        <v>2617</v>
      </c>
      <c r="E113" s="48">
        <v>2200</v>
      </c>
      <c r="F113" s="48">
        <v>2525</v>
      </c>
      <c r="G113" s="48">
        <v>3000</v>
      </c>
    </row>
    <row r="114" spans="1:7" ht="15.5">
      <c r="A114" s="46" t="s">
        <v>873</v>
      </c>
      <c r="B114" s="47" t="s">
        <v>1072</v>
      </c>
      <c r="C114" s="48">
        <v>160</v>
      </c>
      <c r="D114" s="48">
        <v>3222</v>
      </c>
      <c r="E114" s="48">
        <v>2450</v>
      </c>
      <c r="F114" s="48">
        <v>3100</v>
      </c>
      <c r="G114" s="48">
        <v>3688</v>
      </c>
    </row>
    <row r="115" spans="1:7" ht="15.5">
      <c r="A115" s="46" t="s">
        <v>873</v>
      </c>
      <c r="B115" s="47" t="s">
        <v>1073</v>
      </c>
      <c r="C115" s="48">
        <v>70</v>
      </c>
      <c r="D115" s="48">
        <v>4682</v>
      </c>
      <c r="E115" s="48">
        <v>3700</v>
      </c>
      <c r="F115" s="48">
        <v>4500</v>
      </c>
      <c r="G115" s="48">
        <v>5275</v>
      </c>
    </row>
    <row r="116" spans="1:7" ht="15.5">
      <c r="A116" s="46" t="s">
        <v>911</v>
      </c>
      <c r="B116" s="47" t="s">
        <v>1066</v>
      </c>
      <c r="C116" s="48">
        <v>20</v>
      </c>
      <c r="D116" s="48">
        <v>1124</v>
      </c>
      <c r="E116" s="48">
        <v>964</v>
      </c>
      <c r="F116" s="48">
        <v>1177</v>
      </c>
      <c r="G116" s="48">
        <v>1235</v>
      </c>
    </row>
    <row r="117" spans="1:7" ht="15.5">
      <c r="A117" s="46" t="s">
        <v>911</v>
      </c>
      <c r="B117" s="47" t="s">
        <v>1068</v>
      </c>
      <c r="C117" s="48">
        <v>370</v>
      </c>
      <c r="D117" s="48">
        <v>1653</v>
      </c>
      <c r="E117" s="48">
        <v>1487</v>
      </c>
      <c r="F117" s="48">
        <v>1603</v>
      </c>
      <c r="G117" s="48">
        <v>1800</v>
      </c>
    </row>
    <row r="118" spans="1:7" ht="15.5">
      <c r="A118" s="46" t="s">
        <v>911</v>
      </c>
      <c r="B118" s="47" t="s">
        <v>1070</v>
      </c>
      <c r="C118" s="48">
        <v>650</v>
      </c>
      <c r="D118" s="48">
        <v>2609</v>
      </c>
      <c r="E118" s="48">
        <v>2100</v>
      </c>
      <c r="F118" s="48">
        <v>2396</v>
      </c>
      <c r="G118" s="48">
        <v>2925</v>
      </c>
    </row>
    <row r="119" spans="1:7" ht="15.5">
      <c r="A119" s="46" t="s">
        <v>911</v>
      </c>
      <c r="B119" s="47" t="s">
        <v>1071</v>
      </c>
      <c r="C119" s="48">
        <v>880</v>
      </c>
      <c r="D119" s="48">
        <v>3628</v>
      </c>
      <c r="E119" s="48">
        <v>2900</v>
      </c>
      <c r="F119" s="48">
        <v>3358</v>
      </c>
      <c r="G119" s="48">
        <v>4117</v>
      </c>
    </row>
    <row r="120" spans="1:7" ht="15.5">
      <c r="A120" s="46" t="s">
        <v>911</v>
      </c>
      <c r="B120" s="47" t="s">
        <v>1072</v>
      </c>
      <c r="C120" s="48">
        <v>280</v>
      </c>
      <c r="D120" s="48">
        <v>5746</v>
      </c>
      <c r="E120" s="48">
        <v>4190</v>
      </c>
      <c r="F120" s="48">
        <v>5688</v>
      </c>
      <c r="G120" s="48">
        <v>6933</v>
      </c>
    </row>
    <row r="121" spans="1:7" ht="15.5">
      <c r="A121" s="46" t="s">
        <v>911</v>
      </c>
      <c r="B121" s="47" t="s">
        <v>1073</v>
      </c>
      <c r="C121" s="48">
        <v>100</v>
      </c>
      <c r="D121" s="48">
        <v>8362</v>
      </c>
      <c r="E121" s="48">
        <v>6500</v>
      </c>
      <c r="F121" s="48">
        <v>8000</v>
      </c>
      <c r="G121" s="48">
        <v>10272</v>
      </c>
    </row>
    <row r="122" spans="1:7" ht="15.5">
      <c r="A122" s="46" t="s">
        <v>913</v>
      </c>
      <c r="B122" s="47" t="s">
        <v>1066</v>
      </c>
      <c r="C122" s="48">
        <v>40</v>
      </c>
      <c r="D122" s="48">
        <v>797</v>
      </c>
      <c r="E122" s="48">
        <v>658</v>
      </c>
      <c r="F122" s="48">
        <v>757</v>
      </c>
      <c r="G122" s="48">
        <v>928</v>
      </c>
    </row>
    <row r="123" spans="1:7" ht="15.5">
      <c r="A123" s="46" t="s">
        <v>913</v>
      </c>
      <c r="B123" s="47" t="s">
        <v>1068</v>
      </c>
      <c r="C123" s="48">
        <v>10</v>
      </c>
      <c r="D123" s="48">
        <v>1167</v>
      </c>
      <c r="E123" s="48">
        <v>1025</v>
      </c>
      <c r="F123" s="48">
        <v>1075</v>
      </c>
      <c r="G123" s="48">
        <v>1325</v>
      </c>
    </row>
    <row r="124" spans="1:7" ht="15.5">
      <c r="A124" s="46" t="s">
        <v>913</v>
      </c>
      <c r="B124" s="47" t="s">
        <v>1070</v>
      </c>
      <c r="C124" s="48">
        <v>240</v>
      </c>
      <c r="D124" s="48">
        <v>1425</v>
      </c>
      <c r="E124" s="48">
        <v>1299</v>
      </c>
      <c r="F124" s="48">
        <v>1400</v>
      </c>
      <c r="G124" s="48">
        <v>1500</v>
      </c>
    </row>
    <row r="125" spans="1:7" ht="15.5">
      <c r="A125" s="46" t="s">
        <v>913</v>
      </c>
      <c r="B125" s="47" t="s">
        <v>1071</v>
      </c>
      <c r="C125" s="48">
        <v>350</v>
      </c>
      <c r="D125" s="48">
        <v>1769</v>
      </c>
      <c r="E125" s="48">
        <v>1570</v>
      </c>
      <c r="F125" s="48">
        <v>1750</v>
      </c>
      <c r="G125" s="48">
        <v>1995</v>
      </c>
    </row>
    <row r="126" spans="1:7" ht="15.5">
      <c r="A126" s="46" t="s">
        <v>913</v>
      </c>
      <c r="B126" s="47" t="s">
        <v>1072</v>
      </c>
      <c r="C126" s="48">
        <v>160</v>
      </c>
      <c r="D126" s="48">
        <v>2414</v>
      </c>
      <c r="E126" s="48">
        <v>2000</v>
      </c>
      <c r="F126" s="48">
        <v>2322</v>
      </c>
      <c r="G126" s="48">
        <v>2750</v>
      </c>
    </row>
    <row r="127" spans="1:7" ht="15.5">
      <c r="A127" s="46" t="s">
        <v>913</v>
      </c>
      <c r="B127" s="47" t="s">
        <v>1073</v>
      </c>
      <c r="C127" s="48">
        <v>60</v>
      </c>
      <c r="D127" s="48">
        <v>3331</v>
      </c>
      <c r="E127" s="48">
        <v>2519</v>
      </c>
      <c r="F127" s="48">
        <v>3000</v>
      </c>
      <c r="G127" s="48">
        <v>3300</v>
      </c>
    </row>
    <row r="128" spans="1:7" ht="15.5">
      <c r="A128" s="46" t="s">
        <v>876</v>
      </c>
      <c r="B128" s="47" t="s">
        <v>1066</v>
      </c>
      <c r="C128" s="48">
        <v>10</v>
      </c>
      <c r="D128" s="48">
        <v>822</v>
      </c>
      <c r="E128" s="48">
        <f>0</f>
        <v>0</v>
      </c>
      <c r="F128" s="48">
        <v>830</v>
      </c>
      <c r="G128" s="48">
        <f>0</f>
        <v>0</v>
      </c>
    </row>
    <row r="129" spans="1:7" ht="15.5">
      <c r="A129" s="46" t="s">
        <v>876</v>
      </c>
      <c r="B129" s="47" t="s">
        <v>1068</v>
      </c>
      <c r="C129" s="48">
        <v>60</v>
      </c>
      <c r="D129" s="48">
        <v>1470</v>
      </c>
      <c r="E129" s="48">
        <v>1113</v>
      </c>
      <c r="F129" s="48">
        <v>1375</v>
      </c>
      <c r="G129" s="48">
        <v>1894</v>
      </c>
    </row>
    <row r="130" spans="1:7" ht="15.5">
      <c r="A130" s="46" t="s">
        <v>876</v>
      </c>
      <c r="B130" s="47" t="s">
        <v>1070</v>
      </c>
      <c r="C130" s="48">
        <v>540</v>
      </c>
      <c r="D130" s="48">
        <v>1866</v>
      </c>
      <c r="E130" s="48">
        <v>1575</v>
      </c>
      <c r="F130" s="48">
        <v>1800</v>
      </c>
      <c r="G130" s="48">
        <v>2113</v>
      </c>
    </row>
    <row r="131" spans="1:7" ht="15.5">
      <c r="A131" s="46" t="s">
        <v>876</v>
      </c>
      <c r="B131" s="47" t="s">
        <v>1071</v>
      </c>
      <c r="C131" s="48">
        <v>750</v>
      </c>
      <c r="D131" s="48">
        <v>2372</v>
      </c>
      <c r="E131" s="48">
        <v>1900</v>
      </c>
      <c r="F131" s="48">
        <v>2205</v>
      </c>
      <c r="G131" s="48">
        <v>2700</v>
      </c>
    </row>
    <row r="132" spans="1:7" ht="15.5">
      <c r="A132" s="46" t="s">
        <v>876</v>
      </c>
      <c r="B132" s="47" t="s">
        <v>1072</v>
      </c>
      <c r="C132" s="48">
        <v>320</v>
      </c>
      <c r="D132" s="48">
        <v>2965</v>
      </c>
      <c r="E132" s="48">
        <v>2450</v>
      </c>
      <c r="F132" s="48">
        <v>2850</v>
      </c>
      <c r="G132" s="48">
        <v>3347</v>
      </c>
    </row>
    <row r="133" spans="1:7" ht="15.5">
      <c r="A133" s="46" t="s">
        <v>876</v>
      </c>
      <c r="B133" s="47" t="s">
        <v>1073</v>
      </c>
      <c r="C133" s="48">
        <v>130</v>
      </c>
      <c r="D133" s="48">
        <v>4047</v>
      </c>
      <c r="E133" s="48">
        <v>3150</v>
      </c>
      <c r="F133" s="48">
        <v>3750</v>
      </c>
      <c r="G133" s="48">
        <v>4600</v>
      </c>
    </row>
    <row r="134" spans="1:7" ht="15.5">
      <c r="A134" s="46" t="s">
        <v>877</v>
      </c>
      <c r="B134" s="47" t="s">
        <v>1066</v>
      </c>
      <c r="C134" s="48">
        <v>120</v>
      </c>
      <c r="D134" s="48">
        <v>816</v>
      </c>
      <c r="E134" s="48">
        <v>724</v>
      </c>
      <c r="F134" s="48">
        <v>821</v>
      </c>
      <c r="G134" s="48">
        <v>894</v>
      </c>
    </row>
    <row r="135" spans="1:7" ht="15.5">
      <c r="A135" s="46" t="s">
        <v>877</v>
      </c>
      <c r="B135" s="47" t="s">
        <v>1068</v>
      </c>
      <c r="C135" s="48">
        <v>140</v>
      </c>
      <c r="D135" s="48">
        <v>1164</v>
      </c>
      <c r="E135" s="48">
        <v>1050</v>
      </c>
      <c r="F135" s="48">
        <v>1150</v>
      </c>
      <c r="G135" s="48">
        <v>1300</v>
      </c>
    </row>
    <row r="136" spans="1:7" ht="15.5">
      <c r="A136" s="46" t="s">
        <v>877</v>
      </c>
      <c r="B136" s="47" t="s">
        <v>1070</v>
      </c>
      <c r="C136" s="48">
        <v>900</v>
      </c>
      <c r="D136" s="48">
        <v>1459</v>
      </c>
      <c r="E136" s="48">
        <v>1300</v>
      </c>
      <c r="F136" s="48">
        <v>1450</v>
      </c>
      <c r="G136" s="48">
        <v>1600</v>
      </c>
    </row>
    <row r="137" spans="1:7" ht="15.5">
      <c r="A137" s="46" t="s">
        <v>877</v>
      </c>
      <c r="B137" s="47" t="s">
        <v>1071</v>
      </c>
      <c r="C137" s="48">
        <v>1130</v>
      </c>
      <c r="D137" s="48">
        <v>1784</v>
      </c>
      <c r="E137" s="48">
        <v>1600</v>
      </c>
      <c r="F137" s="48">
        <v>1750</v>
      </c>
      <c r="G137" s="48">
        <v>1950</v>
      </c>
    </row>
    <row r="138" spans="1:7" ht="15.5">
      <c r="A138" s="46" t="s">
        <v>877</v>
      </c>
      <c r="B138" s="47" t="s">
        <v>1072</v>
      </c>
      <c r="C138" s="48">
        <v>400</v>
      </c>
      <c r="D138" s="48">
        <v>2263</v>
      </c>
      <c r="E138" s="48">
        <v>1900</v>
      </c>
      <c r="F138" s="48">
        <v>2200</v>
      </c>
      <c r="G138" s="48">
        <v>2575</v>
      </c>
    </row>
    <row r="139" spans="1:7" ht="15.5">
      <c r="A139" s="46" t="s">
        <v>877</v>
      </c>
      <c r="B139" s="47" t="s">
        <v>1073</v>
      </c>
      <c r="C139" s="48">
        <v>140</v>
      </c>
      <c r="D139" s="48">
        <v>2952</v>
      </c>
      <c r="E139" s="48">
        <v>2500</v>
      </c>
      <c r="F139" s="48">
        <v>2900</v>
      </c>
      <c r="G139" s="48">
        <v>3375</v>
      </c>
    </row>
    <row r="140" spans="1:7" ht="15.5">
      <c r="A140" s="46" t="s">
        <v>878</v>
      </c>
      <c r="B140" s="47" t="s">
        <v>1066</v>
      </c>
      <c r="C140" s="48">
        <v>40</v>
      </c>
      <c r="D140" s="48">
        <v>829</v>
      </c>
      <c r="E140" s="48">
        <v>749</v>
      </c>
      <c r="F140" s="48">
        <v>824</v>
      </c>
      <c r="G140" s="48">
        <v>923</v>
      </c>
    </row>
    <row r="141" spans="1:7" ht="15.5">
      <c r="A141" s="46" t="s">
        <v>878</v>
      </c>
      <c r="B141" s="47" t="s">
        <v>1068</v>
      </c>
      <c r="C141" s="48">
        <v>10</v>
      </c>
      <c r="D141" s="48">
        <v>1333</v>
      </c>
      <c r="E141" s="48">
        <v>1313</v>
      </c>
      <c r="F141" s="48">
        <v>1388</v>
      </c>
      <c r="G141" s="48">
        <v>1400</v>
      </c>
    </row>
    <row r="142" spans="1:7" ht="15.5">
      <c r="A142" s="46" t="s">
        <v>878</v>
      </c>
      <c r="B142" s="47" t="s">
        <v>1070</v>
      </c>
      <c r="C142" s="48">
        <v>230</v>
      </c>
      <c r="D142" s="48">
        <v>1551</v>
      </c>
      <c r="E142" s="48">
        <v>1350</v>
      </c>
      <c r="F142" s="48">
        <v>1500</v>
      </c>
      <c r="G142" s="48">
        <v>1700</v>
      </c>
    </row>
    <row r="143" spans="1:7" ht="15.5">
      <c r="A143" s="46" t="s">
        <v>878</v>
      </c>
      <c r="B143" s="47" t="s">
        <v>1071</v>
      </c>
      <c r="C143" s="48">
        <v>560</v>
      </c>
      <c r="D143" s="48">
        <v>1832</v>
      </c>
      <c r="E143" s="48">
        <v>1450</v>
      </c>
      <c r="F143" s="48">
        <v>1750</v>
      </c>
      <c r="G143" s="48">
        <v>2085</v>
      </c>
    </row>
    <row r="144" spans="1:7" ht="15.5">
      <c r="A144" s="46" t="s">
        <v>878</v>
      </c>
      <c r="B144" s="47" t="s">
        <v>1072</v>
      </c>
      <c r="C144" s="48">
        <v>260</v>
      </c>
      <c r="D144" s="48">
        <v>2605</v>
      </c>
      <c r="E144" s="48">
        <v>2100</v>
      </c>
      <c r="F144" s="48">
        <v>2450</v>
      </c>
      <c r="G144" s="48">
        <v>3000</v>
      </c>
    </row>
    <row r="145" spans="1:7" ht="15.5">
      <c r="A145" s="46" t="s">
        <v>878</v>
      </c>
      <c r="B145" s="47" t="s">
        <v>1073</v>
      </c>
      <c r="C145" s="48">
        <v>90</v>
      </c>
      <c r="D145" s="48">
        <v>3722</v>
      </c>
      <c r="E145" s="48">
        <v>2750</v>
      </c>
      <c r="F145" s="48">
        <v>3350</v>
      </c>
      <c r="G145" s="48">
        <v>4250</v>
      </c>
    </row>
    <row r="146" spans="1:7" ht="15.5">
      <c r="A146" s="46" t="s">
        <v>879</v>
      </c>
      <c r="B146" s="47" t="s">
        <v>1066</v>
      </c>
      <c r="C146" s="48">
        <v>90</v>
      </c>
      <c r="D146" s="48">
        <v>701</v>
      </c>
      <c r="E146" s="48">
        <v>576</v>
      </c>
      <c r="F146" s="48">
        <v>701</v>
      </c>
      <c r="G146" s="48">
        <v>808</v>
      </c>
    </row>
    <row r="147" spans="1:7" ht="15.5">
      <c r="A147" s="46" t="s">
        <v>879</v>
      </c>
      <c r="B147" s="47" t="s">
        <v>1068</v>
      </c>
      <c r="C147" s="48">
        <v>70</v>
      </c>
      <c r="D147" s="48">
        <v>1292</v>
      </c>
      <c r="E147" s="48">
        <v>1056</v>
      </c>
      <c r="F147" s="48">
        <v>1380</v>
      </c>
      <c r="G147" s="48">
        <v>1450</v>
      </c>
    </row>
    <row r="148" spans="1:7" ht="15.5">
      <c r="A148" s="46" t="s">
        <v>879</v>
      </c>
      <c r="B148" s="47" t="s">
        <v>1070</v>
      </c>
      <c r="C148" s="48">
        <v>900</v>
      </c>
      <c r="D148" s="48">
        <v>1611</v>
      </c>
      <c r="E148" s="48">
        <v>1500</v>
      </c>
      <c r="F148" s="48">
        <v>1650</v>
      </c>
      <c r="G148" s="48">
        <v>1750</v>
      </c>
    </row>
    <row r="149" spans="1:7" ht="15.5">
      <c r="A149" s="46" t="s">
        <v>879</v>
      </c>
      <c r="B149" s="47" t="s">
        <v>1071</v>
      </c>
      <c r="C149" s="48">
        <v>1060</v>
      </c>
      <c r="D149" s="48">
        <v>1944</v>
      </c>
      <c r="E149" s="48">
        <v>1700</v>
      </c>
      <c r="F149" s="48">
        <v>1950</v>
      </c>
      <c r="G149" s="48">
        <v>2200</v>
      </c>
    </row>
    <row r="150" spans="1:7" ht="15.5">
      <c r="A150" s="46" t="s">
        <v>879</v>
      </c>
      <c r="B150" s="47" t="s">
        <v>1072</v>
      </c>
      <c r="C150" s="48">
        <v>480</v>
      </c>
      <c r="D150" s="48">
        <v>2235</v>
      </c>
      <c r="E150" s="48">
        <v>1850</v>
      </c>
      <c r="F150" s="48">
        <v>2200</v>
      </c>
      <c r="G150" s="48">
        <v>2500</v>
      </c>
    </row>
    <row r="151" spans="1:7" ht="15.5">
      <c r="A151" s="46" t="s">
        <v>879</v>
      </c>
      <c r="B151" s="47" t="s">
        <v>1073</v>
      </c>
      <c r="C151" s="48">
        <v>100</v>
      </c>
      <c r="D151" s="48">
        <v>2657</v>
      </c>
      <c r="E151" s="48">
        <v>2300</v>
      </c>
      <c r="F151" s="48">
        <v>2525</v>
      </c>
      <c r="G151" s="48">
        <v>3000</v>
      </c>
    </row>
    <row r="152" spans="1:7" ht="15.5">
      <c r="A152" s="46" t="s">
        <v>880</v>
      </c>
      <c r="B152" s="47" t="s">
        <v>1066</v>
      </c>
      <c r="C152" s="48">
        <v>20</v>
      </c>
      <c r="D152" s="48">
        <v>828</v>
      </c>
      <c r="E152" s="48">
        <v>724</v>
      </c>
      <c r="F152" s="48">
        <v>876</v>
      </c>
      <c r="G152" s="48">
        <v>924</v>
      </c>
    </row>
    <row r="153" spans="1:7" ht="15.5">
      <c r="A153" s="46" t="s">
        <v>880</v>
      </c>
      <c r="B153" s="47" t="s">
        <v>1068</v>
      </c>
      <c r="C153" s="48">
        <v>20</v>
      </c>
      <c r="D153" s="48">
        <v>986</v>
      </c>
      <c r="E153" s="48">
        <v>844</v>
      </c>
      <c r="F153" s="48">
        <v>998</v>
      </c>
      <c r="G153" s="48">
        <v>1156</v>
      </c>
    </row>
    <row r="154" spans="1:7" ht="15.5">
      <c r="A154" s="46" t="s">
        <v>880</v>
      </c>
      <c r="B154" s="47" t="s">
        <v>1070</v>
      </c>
      <c r="C154" s="48">
        <v>340</v>
      </c>
      <c r="D154" s="48">
        <v>1373</v>
      </c>
      <c r="E154" s="48">
        <v>1250</v>
      </c>
      <c r="F154" s="48">
        <v>1375</v>
      </c>
      <c r="G154" s="48">
        <v>1500</v>
      </c>
    </row>
    <row r="155" spans="1:7" ht="15.5">
      <c r="A155" s="46" t="s">
        <v>880</v>
      </c>
      <c r="B155" s="47" t="s">
        <v>1071</v>
      </c>
      <c r="C155" s="48">
        <v>630</v>
      </c>
      <c r="D155" s="48">
        <v>1721</v>
      </c>
      <c r="E155" s="48">
        <v>1500</v>
      </c>
      <c r="F155" s="48">
        <v>1700</v>
      </c>
      <c r="G155" s="48">
        <v>1931</v>
      </c>
    </row>
    <row r="156" spans="1:7" ht="15.5">
      <c r="A156" s="46" t="s">
        <v>880</v>
      </c>
      <c r="B156" s="47" t="s">
        <v>1072</v>
      </c>
      <c r="C156" s="48">
        <v>310</v>
      </c>
      <c r="D156" s="48">
        <v>2094</v>
      </c>
      <c r="E156" s="48">
        <v>1850</v>
      </c>
      <c r="F156" s="48">
        <v>2100</v>
      </c>
      <c r="G156" s="48">
        <v>2300</v>
      </c>
    </row>
    <row r="157" spans="1:7" ht="15.5">
      <c r="A157" s="46" t="s">
        <v>880</v>
      </c>
      <c r="B157" s="47" t="s">
        <v>1073</v>
      </c>
      <c r="C157" s="48">
        <v>110</v>
      </c>
      <c r="D157" s="48">
        <v>2690</v>
      </c>
      <c r="E157" s="48">
        <v>2300</v>
      </c>
      <c r="F157" s="48">
        <v>2600</v>
      </c>
      <c r="G157" s="48">
        <v>2900</v>
      </c>
    </row>
    <row r="158" spans="1:7" ht="15.5">
      <c r="A158" s="46" t="s">
        <v>920</v>
      </c>
      <c r="B158" s="47" t="s">
        <v>1066</v>
      </c>
      <c r="C158" s="48">
        <v>10</v>
      </c>
      <c r="D158" s="48">
        <v>679</v>
      </c>
      <c r="E158" s="48">
        <v>626</v>
      </c>
      <c r="F158" s="48">
        <v>725</v>
      </c>
      <c r="G158" s="48">
        <v>726</v>
      </c>
    </row>
    <row r="159" spans="1:7" ht="15.5">
      <c r="A159" s="46" t="s">
        <v>920</v>
      </c>
      <c r="B159" s="47" t="s">
        <v>1068</v>
      </c>
      <c r="C159" s="48">
        <v>10</v>
      </c>
      <c r="D159" s="48">
        <v>1239</v>
      </c>
      <c r="E159" s="48">
        <v>1106</v>
      </c>
      <c r="F159" s="48">
        <v>1175</v>
      </c>
      <c r="G159" s="48">
        <v>1396</v>
      </c>
    </row>
    <row r="160" spans="1:7" ht="15.5">
      <c r="A160" s="46" t="s">
        <v>920</v>
      </c>
      <c r="B160" s="47" t="s">
        <v>1070</v>
      </c>
      <c r="C160" s="48">
        <v>220</v>
      </c>
      <c r="D160" s="48">
        <v>1622</v>
      </c>
      <c r="E160" s="48">
        <v>1400</v>
      </c>
      <c r="F160" s="48">
        <v>1571</v>
      </c>
      <c r="G160" s="48">
        <v>1750</v>
      </c>
    </row>
    <row r="161" spans="1:7" ht="15.5">
      <c r="A161" s="46" t="s">
        <v>920</v>
      </c>
      <c r="B161" s="47" t="s">
        <v>1071</v>
      </c>
      <c r="C161" s="48">
        <v>320</v>
      </c>
      <c r="D161" s="48">
        <v>2229</v>
      </c>
      <c r="E161" s="48">
        <v>1800</v>
      </c>
      <c r="F161" s="48">
        <v>2100</v>
      </c>
      <c r="G161" s="48">
        <v>2500</v>
      </c>
    </row>
    <row r="162" spans="1:7" ht="15.5">
      <c r="A162" s="46" t="s">
        <v>920</v>
      </c>
      <c r="B162" s="47" t="s">
        <v>1072</v>
      </c>
      <c r="C162" s="48">
        <v>140</v>
      </c>
      <c r="D162" s="48">
        <v>2970</v>
      </c>
      <c r="E162" s="48">
        <v>2335</v>
      </c>
      <c r="F162" s="48">
        <v>2700</v>
      </c>
      <c r="G162" s="48">
        <v>3365</v>
      </c>
    </row>
    <row r="163" spans="1:7" ht="15.5">
      <c r="A163" s="46" t="s">
        <v>920</v>
      </c>
      <c r="B163" s="47" t="s">
        <v>1073</v>
      </c>
      <c r="C163" s="48">
        <v>80</v>
      </c>
      <c r="D163" s="48">
        <v>4277</v>
      </c>
      <c r="E163" s="48">
        <v>3300</v>
      </c>
      <c r="F163" s="48">
        <v>3850</v>
      </c>
      <c r="G163" s="48">
        <v>4995</v>
      </c>
    </row>
    <row r="164" spans="1:7" ht="15.5">
      <c r="A164" s="46" t="s">
        <v>882</v>
      </c>
      <c r="B164" s="47" t="s">
        <v>1066</v>
      </c>
      <c r="C164" s="48">
        <v>60</v>
      </c>
      <c r="D164" s="48">
        <v>883</v>
      </c>
      <c r="E164" s="48">
        <v>775</v>
      </c>
      <c r="F164" s="48">
        <v>875</v>
      </c>
      <c r="G164" s="48">
        <v>996</v>
      </c>
    </row>
    <row r="165" spans="1:7" ht="15.5">
      <c r="A165" s="46" t="s">
        <v>882</v>
      </c>
      <c r="B165" s="47" t="s">
        <v>1068</v>
      </c>
      <c r="C165" s="48">
        <v>50</v>
      </c>
      <c r="D165" s="48">
        <v>1421</v>
      </c>
      <c r="E165" s="48">
        <v>1250</v>
      </c>
      <c r="F165" s="48">
        <v>1400</v>
      </c>
      <c r="G165" s="48">
        <v>1600</v>
      </c>
    </row>
    <row r="166" spans="1:7" ht="15.5">
      <c r="A166" s="46" t="s">
        <v>882</v>
      </c>
      <c r="B166" s="47" t="s">
        <v>1070</v>
      </c>
      <c r="C166" s="48">
        <v>1040</v>
      </c>
      <c r="D166" s="48">
        <v>1786</v>
      </c>
      <c r="E166" s="48">
        <v>1500</v>
      </c>
      <c r="F166" s="48">
        <v>1725</v>
      </c>
      <c r="G166" s="48">
        <v>2000</v>
      </c>
    </row>
    <row r="167" spans="1:7" ht="15.5">
      <c r="A167" s="46" t="s">
        <v>882</v>
      </c>
      <c r="B167" s="47" t="s">
        <v>1071</v>
      </c>
      <c r="C167" s="48">
        <v>1310</v>
      </c>
      <c r="D167" s="48">
        <v>2238</v>
      </c>
      <c r="E167" s="48">
        <v>1850</v>
      </c>
      <c r="F167" s="48">
        <v>2200</v>
      </c>
      <c r="G167" s="48">
        <v>2500</v>
      </c>
    </row>
    <row r="168" spans="1:7" ht="15.5">
      <c r="A168" s="46" t="s">
        <v>882</v>
      </c>
      <c r="B168" s="47" t="s">
        <v>1072</v>
      </c>
      <c r="C168" s="48">
        <v>400</v>
      </c>
      <c r="D168" s="48">
        <v>2784</v>
      </c>
      <c r="E168" s="48">
        <v>2300</v>
      </c>
      <c r="F168" s="48">
        <v>2700</v>
      </c>
      <c r="G168" s="48">
        <v>3183</v>
      </c>
    </row>
    <row r="169" spans="1:7" ht="15.5">
      <c r="A169" s="46" t="s">
        <v>882</v>
      </c>
      <c r="B169" s="47" t="s">
        <v>1073</v>
      </c>
      <c r="C169" s="48">
        <v>200</v>
      </c>
      <c r="D169" s="48">
        <v>3590</v>
      </c>
      <c r="E169" s="48">
        <v>3200</v>
      </c>
      <c r="F169" s="48">
        <v>3500</v>
      </c>
      <c r="G169" s="48">
        <v>4000</v>
      </c>
    </row>
    <row r="170" spans="1:7" ht="15.5">
      <c r="A170" s="46" t="s">
        <v>883</v>
      </c>
      <c r="B170" s="47" t="s">
        <v>1066</v>
      </c>
      <c r="C170" s="48" t="s">
        <v>1069</v>
      </c>
      <c r="D170" s="48">
        <f>0</f>
        <v>0</v>
      </c>
      <c r="E170" s="48">
        <f>0</f>
        <v>0</v>
      </c>
      <c r="F170" s="48">
        <f>0</f>
        <v>0</v>
      </c>
      <c r="G170" s="48">
        <f>0</f>
        <v>0</v>
      </c>
    </row>
    <row r="171" spans="1:7" ht="15.5">
      <c r="A171" s="46" t="s">
        <v>883</v>
      </c>
      <c r="B171" s="47" t="s">
        <v>1068</v>
      </c>
      <c r="C171" s="48">
        <v>40</v>
      </c>
      <c r="D171" s="48">
        <v>967</v>
      </c>
      <c r="E171" s="48">
        <v>873</v>
      </c>
      <c r="F171" s="48">
        <v>931</v>
      </c>
      <c r="G171" s="48">
        <v>1002</v>
      </c>
    </row>
    <row r="172" spans="1:7" ht="15.5">
      <c r="A172" s="46" t="s">
        <v>883</v>
      </c>
      <c r="B172" s="47" t="s">
        <v>1070</v>
      </c>
      <c r="C172" s="48">
        <v>440</v>
      </c>
      <c r="D172" s="48">
        <v>1220</v>
      </c>
      <c r="E172" s="48">
        <v>1100</v>
      </c>
      <c r="F172" s="48">
        <v>1250</v>
      </c>
      <c r="G172" s="48">
        <v>1300</v>
      </c>
    </row>
    <row r="173" spans="1:7" ht="15.5">
      <c r="A173" s="46" t="s">
        <v>883</v>
      </c>
      <c r="B173" s="47" t="s">
        <v>1071</v>
      </c>
      <c r="C173" s="48">
        <v>670</v>
      </c>
      <c r="D173" s="48">
        <v>1532</v>
      </c>
      <c r="E173" s="48">
        <v>1400</v>
      </c>
      <c r="F173" s="48">
        <v>1550</v>
      </c>
      <c r="G173" s="48">
        <v>1666</v>
      </c>
    </row>
    <row r="174" spans="1:7" ht="15.5">
      <c r="A174" s="46" t="s">
        <v>883</v>
      </c>
      <c r="B174" s="47" t="s">
        <v>1072</v>
      </c>
      <c r="C174" s="48">
        <v>230</v>
      </c>
      <c r="D174" s="48">
        <v>1925</v>
      </c>
      <c r="E174" s="48">
        <v>1700</v>
      </c>
      <c r="F174" s="48">
        <v>1950</v>
      </c>
      <c r="G174" s="48">
        <v>2200</v>
      </c>
    </row>
    <row r="175" spans="1:7" ht="15.5">
      <c r="A175" s="46" t="s">
        <v>883</v>
      </c>
      <c r="B175" s="47" t="s">
        <v>1073</v>
      </c>
      <c r="C175" s="48">
        <v>60</v>
      </c>
      <c r="D175" s="48">
        <v>2520</v>
      </c>
      <c r="E175" s="48">
        <v>2250</v>
      </c>
      <c r="F175" s="48">
        <v>2500</v>
      </c>
      <c r="G175" s="48">
        <v>2813</v>
      </c>
    </row>
    <row r="176" spans="1:7" ht="15.5">
      <c r="A176" s="46" t="s">
        <v>884</v>
      </c>
      <c r="B176" s="47" t="s">
        <v>1066</v>
      </c>
      <c r="C176" s="48">
        <v>110</v>
      </c>
      <c r="D176" s="48">
        <v>858</v>
      </c>
      <c r="E176" s="48">
        <v>726</v>
      </c>
      <c r="F176" s="48">
        <v>852</v>
      </c>
      <c r="G176" s="48">
        <v>938</v>
      </c>
    </row>
    <row r="177" spans="1:7" ht="15.5">
      <c r="A177" s="46" t="s">
        <v>884</v>
      </c>
      <c r="B177" s="47" t="s">
        <v>1068</v>
      </c>
      <c r="C177" s="48">
        <v>100</v>
      </c>
      <c r="D177" s="48">
        <v>1794</v>
      </c>
      <c r="E177" s="48">
        <v>1534</v>
      </c>
      <c r="F177" s="48">
        <v>1750</v>
      </c>
      <c r="G177" s="48">
        <v>1950</v>
      </c>
    </row>
    <row r="178" spans="1:7" ht="15.5">
      <c r="A178" s="46" t="s">
        <v>884</v>
      </c>
      <c r="B178" s="47" t="s">
        <v>1070</v>
      </c>
      <c r="C178" s="48">
        <v>740</v>
      </c>
      <c r="D178" s="48">
        <v>1922</v>
      </c>
      <c r="E178" s="48">
        <v>1661</v>
      </c>
      <c r="F178" s="48">
        <v>1850</v>
      </c>
      <c r="G178" s="48">
        <v>2100</v>
      </c>
    </row>
    <row r="179" spans="1:7" ht="15.5">
      <c r="A179" s="46" t="s">
        <v>884</v>
      </c>
      <c r="B179" s="47" t="s">
        <v>1071</v>
      </c>
      <c r="C179" s="48">
        <v>860</v>
      </c>
      <c r="D179" s="48">
        <v>2383</v>
      </c>
      <c r="E179" s="48">
        <v>2000</v>
      </c>
      <c r="F179" s="48">
        <v>2300</v>
      </c>
      <c r="G179" s="48">
        <v>2600</v>
      </c>
    </row>
    <row r="180" spans="1:7" ht="15.5">
      <c r="A180" s="46" t="s">
        <v>884</v>
      </c>
      <c r="B180" s="47" t="s">
        <v>1072</v>
      </c>
      <c r="C180" s="48">
        <v>300</v>
      </c>
      <c r="D180" s="48">
        <v>2863</v>
      </c>
      <c r="E180" s="48">
        <v>2500</v>
      </c>
      <c r="F180" s="48">
        <v>2750</v>
      </c>
      <c r="G180" s="48">
        <v>3100</v>
      </c>
    </row>
    <row r="181" spans="1:7" ht="15.5">
      <c r="A181" s="46" t="s">
        <v>884</v>
      </c>
      <c r="B181" s="47" t="s">
        <v>1073</v>
      </c>
      <c r="C181" s="48">
        <v>70</v>
      </c>
      <c r="D181" s="48">
        <v>3733</v>
      </c>
      <c r="E181" s="48">
        <v>3325</v>
      </c>
      <c r="F181" s="48">
        <v>3700</v>
      </c>
      <c r="G181" s="48">
        <v>4000</v>
      </c>
    </row>
    <row r="182" spans="1:7" ht="15.5">
      <c r="A182" s="46" t="s">
        <v>885</v>
      </c>
      <c r="B182" s="47" t="s">
        <v>1066</v>
      </c>
      <c r="C182" s="48">
        <v>20</v>
      </c>
      <c r="D182" s="48">
        <v>757</v>
      </c>
      <c r="E182" s="48">
        <v>684</v>
      </c>
      <c r="F182" s="48">
        <v>764</v>
      </c>
      <c r="G182" s="48">
        <v>822</v>
      </c>
    </row>
    <row r="183" spans="1:7" ht="15.5">
      <c r="A183" s="46" t="s">
        <v>885</v>
      </c>
      <c r="B183" s="47" t="s">
        <v>1068</v>
      </c>
      <c r="C183" s="48">
        <v>30</v>
      </c>
      <c r="D183" s="48">
        <v>1174</v>
      </c>
      <c r="E183" s="48">
        <v>1020</v>
      </c>
      <c r="F183" s="48">
        <v>1188</v>
      </c>
      <c r="G183" s="48">
        <v>1250</v>
      </c>
    </row>
    <row r="184" spans="1:7" ht="15.5">
      <c r="A184" s="46" t="s">
        <v>885</v>
      </c>
      <c r="B184" s="47" t="s">
        <v>1070</v>
      </c>
      <c r="C184" s="48">
        <v>420</v>
      </c>
      <c r="D184" s="48">
        <v>1407</v>
      </c>
      <c r="E184" s="48">
        <v>1279</v>
      </c>
      <c r="F184" s="48">
        <v>1400</v>
      </c>
      <c r="G184" s="48">
        <v>1525</v>
      </c>
    </row>
    <row r="185" spans="1:7" ht="15.5">
      <c r="A185" s="46" t="s">
        <v>885</v>
      </c>
      <c r="B185" s="47" t="s">
        <v>1071</v>
      </c>
      <c r="C185" s="48">
        <v>560</v>
      </c>
      <c r="D185" s="48">
        <v>1728</v>
      </c>
      <c r="E185" s="48">
        <v>1575</v>
      </c>
      <c r="F185" s="48">
        <v>1725</v>
      </c>
      <c r="G185" s="48">
        <v>1895</v>
      </c>
    </row>
    <row r="186" spans="1:7" ht="15.5">
      <c r="A186" s="46" t="s">
        <v>885</v>
      </c>
      <c r="B186" s="47" t="s">
        <v>1072</v>
      </c>
      <c r="C186" s="48">
        <v>280</v>
      </c>
      <c r="D186" s="48">
        <v>2146</v>
      </c>
      <c r="E186" s="48">
        <v>1900</v>
      </c>
      <c r="F186" s="48">
        <v>2150</v>
      </c>
      <c r="G186" s="48">
        <v>2350</v>
      </c>
    </row>
    <row r="187" spans="1:7" ht="15.5">
      <c r="A187" s="46" t="s">
        <v>885</v>
      </c>
      <c r="B187" s="47" t="s">
        <v>1073</v>
      </c>
      <c r="C187" s="48">
        <v>90</v>
      </c>
      <c r="D187" s="48">
        <v>2608</v>
      </c>
      <c r="E187" s="48">
        <v>2313</v>
      </c>
      <c r="F187" s="48">
        <v>2500</v>
      </c>
      <c r="G187" s="48">
        <v>2838</v>
      </c>
    </row>
    <row r="188" spans="1:7" ht="15.5">
      <c r="A188" s="46" t="s">
        <v>886</v>
      </c>
      <c r="B188" s="47" t="s">
        <v>1066</v>
      </c>
      <c r="C188" s="48">
        <v>90</v>
      </c>
      <c r="D188" s="48">
        <v>1030</v>
      </c>
      <c r="E188" s="48">
        <v>785</v>
      </c>
      <c r="F188" s="48">
        <v>1139</v>
      </c>
      <c r="G188" s="48">
        <v>1290</v>
      </c>
    </row>
    <row r="189" spans="1:7" ht="15.5">
      <c r="A189" s="46" t="s">
        <v>886</v>
      </c>
      <c r="B189" s="47" t="s">
        <v>1068</v>
      </c>
      <c r="C189" s="48">
        <v>40</v>
      </c>
      <c r="D189" s="48">
        <v>1418</v>
      </c>
      <c r="E189" s="48">
        <v>1300</v>
      </c>
      <c r="F189" s="48">
        <v>1350</v>
      </c>
      <c r="G189" s="48">
        <v>1525</v>
      </c>
    </row>
    <row r="190" spans="1:7" ht="15.5">
      <c r="A190" s="46" t="s">
        <v>886</v>
      </c>
      <c r="B190" s="47" t="s">
        <v>1070</v>
      </c>
      <c r="C190" s="48">
        <v>720</v>
      </c>
      <c r="D190" s="48">
        <v>1824</v>
      </c>
      <c r="E190" s="48">
        <v>1600</v>
      </c>
      <c r="F190" s="48">
        <v>1750</v>
      </c>
      <c r="G190" s="48">
        <v>2000</v>
      </c>
    </row>
    <row r="191" spans="1:7" ht="15.5">
      <c r="A191" s="46" t="s">
        <v>886</v>
      </c>
      <c r="B191" s="47" t="s">
        <v>1071</v>
      </c>
      <c r="C191" s="48">
        <v>1060</v>
      </c>
      <c r="D191" s="48">
        <v>2310</v>
      </c>
      <c r="E191" s="48">
        <v>1995</v>
      </c>
      <c r="F191" s="48">
        <v>2250</v>
      </c>
      <c r="G191" s="48">
        <v>2550</v>
      </c>
    </row>
    <row r="192" spans="1:7" ht="15.5">
      <c r="A192" s="46" t="s">
        <v>886</v>
      </c>
      <c r="B192" s="47" t="s">
        <v>1072</v>
      </c>
      <c r="C192" s="48">
        <v>500</v>
      </c>
      <c r="D192" s="48">
        <v>3053</v>
      </c>
      <c r="E192" s="48">
        <v>2500</v>
      </c>
      <c r="F192" s="48">
        <v>2900</v>
      </c>
      <c r="G192" s="48">
        <v>3500</v>
      </c>
    </row>
    <row r="193" spans="1:7" ht="15.5">
      <c r="A193" s="46" t="s">
        <v>886</v>
      </c>
      <c r="B193" s="47" t="s">
        <v>1073</v>
      </c>
      <c r="C193" s="48">
        <v>240</v>
      </c>
      <c r="D193" s="48">
        <v>4332</v>
      </c>
      <c r="E193" s="48">
        <v>3465</v>
      </c>
      <c r="F193" s="48">
        <v>4125</v>
      </c>
      <c r="G193" s="48">
        <v>4963</v>
      </c>
    </row>
    <row r="194" spans="1:7" ht="15.5">
      <c r="A194" s="46" t="s">
        <v>887</v>
      </c>
      <c r="B194" s="47" t="s">
        <v>1066</v>
      </c>
      <c r="C194" s="48">
        <v>60</v>
      </c>
      <c r="D194" s="48">
        <v>986</v>
      </c>
      <c r="E194" s="48">
        <v>895</v>
      </c>
      <c r="F194" s="48">
        <v>1000</v>
      </c>
      <c r="G194" s="48">
        <v>1053</v>
      </c>
    </row>
    <row r="195" spans="1:7" ht="15.5">
      <c r="A195" s="46" t="s">
        <v>887</v>
      </c>
      <c r="B195" s="47" t="s">
        <v>1068</v>
      </c>
      <c r="C195" s="48">
        <v>120</v>
      </c>
      <c r="D195" s="48">
        <v>1695</v>
      </c>
      <c r="E195" s="48">
        <v>1452</v>
      </c>
      <c r="F195" s="48">
        <v>1647</v>
      </c>
      <c r="G195" s="48">
        <v>1903</v>
      </c>
    </row>
    <row r="196" spans="1:7" ht="15.5">
      <c r="A196" s="46" t="s">
        <v>887</v>
      </c>
      <c r="B196" s="47" t="s">
        <v>1070</v>
      </c>
      <c r="C196" s="48">
        <v>440</v>
      </c>
      <c r="D196" s="48">
        <v>2608</v>
      </c>
      <c r="E196" s="48">
        <v>2149</v>
      </c>
      <c r="F196" s="48">
        <v>2492</v>
      </c>
      <c r="G196" s="48">
        <v>2855</v>
      </c>
    </row>
    <row r="197" spans="1:7" ht="15.5">
      <c r="A197" s="46" t="s">
        <v>887</v>
      </c>
      <c r="B197" s="47" t="s">
        <v>1071</v>
      </c>
      <c r="C197" s="48">
        <v>460</v>
      </c>
      <c r="D197" s="48">
        <v>3598</v>
      </c>
      <c r="E197" s="48">
        <v>2716</v>
      </c>
      <c r="F197" s="48">
        <v>3358</v>
      </c>
      <c r="G197" s="48">
        <v>4117</v>
      </c>
    </row>
    <row r="198" spans="1:7" ht="15.5">
      <c r="A198" s="46" t="s">
        <v>887</v>
      </c>
      <c r="B198" s="47" t="s">
        <v>1072</v>
      </c>
      <c r="C198" s="48">
        <v>160</v>
      </c>
      <c r="D198" s="48">
        <v>5131</v>
      </c>
      <c r="E198" s="48">
        <v>3600</v>
      </c>
      <c r="F198" s="48">
        <v>4658</v>
      </c>
      <c r="G198" s="48">
        <v>5958</v>
      </c>
    </row>
    <row r="199" spans="1:7" ht="15.5">
      <c r="A199" s="46" t="s">
        <v>887</v>
      </c>
      <c r="B199" s="47" t="s">
        <v>1073</v>
      </c>
      <c r="C199" s="48">
        <v>40</v>
      </c>
      <c r="D199" s="48">
        <v>8904</v>
      </c>
      <c r="E199" s="48">
        <v>6586</v>
      </c>
      <c r="F199" s="48">
        <v>9750</v>
      </c>
      <c r="G199" s="48">
        <v>10942</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38A2-DFC5-499A-AC9E-D5C42421316E}">
  <dimension ref="A1:E12"/>
  <sheetViews>
    <sheetView workbookViewId="0">
      <selection activeCell="B12" sqref="B12"/>
    </sheetView>
  </sheetViews>
  <sheetFormatPr defaultRowHeight="14.5"/>
  <sheetData>
    <row r="1" spans="1:5" ht="21">
      <c r="A1" s="53" t="s">
        <v>1076</v>
      </c>
      <c r="B1" s="53" t="s">
        <v>1077</v>
      </c>
      <c r="C1" s="53" t="s">
        <v>1078</v>
      </c>
      <c r="D1" s="53" t="s">
        <v>1079</v>
      </c>
      <c r="E1" s="53" t="s">
        <v>1080</v>
      </c>
    </row>
    <row r="2" spans="1:5">
      <c r="A2" s="54">
        <v>-2000</v>
      </c>
      <c r="B2" s="55">
        <v>-0.27</v>
      </c>
      <c r="C2" s="55">
        <v>-0.48</v>
      </c>
      <c r="D2" s="56">
        <v>-1.2E-2</v>
      </c>
      <c r="E2" s="55">
        <v>-0.24</v>
      </c>
    </row>
    <row r="3" spans="1:5">
      <c r="A3" s="57">
        <v>2013</v>
      </c>
      <c r="B3" s="58">
        <v>0.36</v>
      </c>
      <c r="C3" s="58">
        <v>0.38</v>
      </c>
      <c r="D3" s="59">
        <v>1.9E-2</v>
      </c>
      <c r="E3" s="58">
        <v>0.24</v>
      </c>
    </row>
    <row r="4" spans="1:5">
      <c r="A4" s="54">
        <v>2014</v>
      </c>
      <c r="B4" s="55">
        <v>0.36</v>
      </c>
      <c r="C4" s="55">
        <v>0.38</v>
      </c>
      <c r="D4" s="56">
        <v>2.1000000000000001E-2</v>
      </c>
      <c r="E4" s="55">
        <v>0.24</v>
      </c>
    </row>
    <row r="5" spans="1:5">
      <c r="A5" s="57">
        <v>2015</v>
      </c>
      <c r="B5" s="58">
        <v>0.35</v>
      </c>
      <c r="C5" s="58">
        <v>0.37</v>
      </c>
      <c r="D5" s="59">
        <v>3.6999999999999998E-2</v>
      </c>
      <c r="E5" s="58">
        <v>0.24</v>
      </c>
    </row>
    <row r="6" spans="1:5">
      <c r="A6" s="54">
        <v>2016</v>
      </c>
      <c r="B6" s="55">
        <v>0.35</v>
      </c>
      <c r="C6" s="55">
        <v>0.37</v>
      </c>
      <c r="D6" s="56">
        <v>3.5999999999999997E-2</v>
      </c>
      <c r="E6" s="55">
        <v>0.24</v>
      </c>
    </row>
    <row r="7" spans="1:5">
      <c r="A7" s="57">
        <v>2017</v>
      </c>
      <c r="B7" s="58">
        <v>0.35</v>
      </c>
      <c r="C7" s="58">
        <v>0.37</v>
      </c>
      <c r="D7" s="59">
        <v>3.6999999999999998E-2</v>
      </c>
      <c r="E7" s="58">
        <v>0.24</v>
      </c>
    </row>
    <row r="8" spans="1:5">
      <c r="A8" s="54">
        <v>2018</v>
      </c>
      <c r="B8" s="55">
        <v>0.35</v>
      </c>
      <c r="C8" s="55">
        <v>0.37</v>
      </c>
      <c r="D8" s="56">
        <v>3.6999999999999998E-2</v>
      </c>
      <c r="E8" s="55">
        <v>0.25</v>
      </c>
    </row>
    <row r="9" spans="1:5">
      <c r="A9" s="57">
        <v>2019</v>
      </c>
      <c r="B9" s="58">
        <v>0.35</v>
      </c>
      <c r="C9" s="58">
        <v>0.36</v>
      </c>
      <c r="D9" s="59">
        <v>3.5999999999999997E-2</v>
      </c>
      <c r="E9" s="58">
        <v>0.25</v>
      </c>
    </row>
    <row r="10" spans="1:5">
      <c r="A10" s="54">
        <v>2020</v>
      </c>
      <c r="B10" s="55">
        <v>0.22</v>
      </c>
      <c r="C10" s="55">
        <v>0.39</v>
      </c>
      <c r="D10" s="56">
        <v>6.0999999999999999E-2</v>
      </c>
      <c r="E10" s="55">
        <v>0.33</v>
      </c>
    </row>
    <row r="11" spans="1:5">
      <c r="A11" s="57">
        <v>2021</v>
      </c>
      <c r="B11" s="58">
        <v>0.23</v>
      </c>
      <c r="C11" s="58">
        <v>0.42</v>
      </c>
      <c r="D11" s="59">
        <v>0.04</v>
      </c>
      <c r="E11" s="58">
        <v>0.31</v>
      </c>
    </row>
    <row r="12" spans="1:5">
      <c r="A12" s="54">
        <v>2022</v>
      </c>
      <c r="B12" s="55">
        <v>0.31</v>
      </c>
      <c r="C12" s="55">
        <v>0.38</v>
      </c>
      <c r="D12" s="56">
        <v>4.4999999999999998E-2</v>
      </c>
      <c r="E12" s="55">
        <v>0.27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2C22-C6F2-4F06-B709-2C5B0DF065DB}">
  <dimension ref="A1:P201"/>
  <sheetViews>
    <sheetView topLeftCell="A184" workbookViewId="0">
      <selection activeCell="A3" sqref="A3:G201"/>
    </sheetView>
  </sheetViews>
  <sheetFormatPr defaultRowHeight="14.5"/>
  <cols>
    <col min="2" max="2" width="24.36328125" bestFit="1" customWidth="1"/>
    <col min="7" max="7" width="9" bestFit="1" customWidth="1"/>
  </cols>
  <sheetData>
    <row r="1" spans="1:16" s="42" customFormat="1" ht="20" customHeight="1">
      <c r="A1" s="40" t="s">
        <v>1060</v>
      </c>
      <c r="B1" s="41"/>
      <c r="C1" s="41"/>
      <c r="D1" s="41"/>
      <c r="E1" s="41"/>
      <c r="F1" s="41"/>
      <c r="G1" s="41"/>
      <c r="H1" s="41"/>
      <c r="I1" s="41"/>
      <c r="J1" s="41"/>
      <c r="K1" s="41"/>
      <c r="L1" s="41"/>
      <c r="M1" s="41"/>
      <c r="N1" s="41"/>
      <c r="O1" s="41"/>
      <c r="P1" s="41"/>
    </row>
    <row r="2" spans="1:16" s="42" customFormat="1" ht="15.5">
      <c r="A2" s="43" t="s">
        <v>1061</v>
      </c>
      <c r="B2" s="41"/>
      <c r="C2" s="41"/>
      <c r="D2" s="41"/>
      <c r="E2" s="41"/>
      <c r="F2" s="41"/>
      <c r="G2" s="41"/>
      <c r="H2" s="41"/>
      <c r="I2" s="41"/>
      <c r="J2" s="41"/>
      <c r="K2" s="41"/>
      <c r="L2" s="41"/>
      <c r="M2" s="41"/>
      <c r="N2" s="41"/>
      <c r="O2" s="41"/>
      <c r="P2" s="41"/>
    </row>
    <row r="3" spans="1:16" s="42" customFormat="1" ht="31.25" customHeight="1" thickBot="1">
      <c r="A3" s="44" t="s">
        <v>938</v>
      </c>
      <c r="B3" s="44" t="s">
        <v>1062</v>
      </c>
      <c r="C3" s="45" t="s">
        <v>1063</v>
      </c>
      <c r="D3" s="45" t="s">
        <v>845</v>
      </c>
      <c r="E3" s="45" t="s">
        <v>1064</v>
      </c>
      <c r="F3" s="45" t="s">
        <v>844</v>
      </c>
      <c r="G3" s="45" t="s">
        <v>1065</v>
      </c>
    </row>
    <row r="4" spans="1:16" s="42" customFormat="1" ht="15.5">
      <c r="A4" s="46" t="s">
        <v>891</v>
      </c>
      <c r="B4" s="47" t="s">
        <v>1066</v>
      </c>
      <c r="C4" s="48">
        <v>10</v>
      </c>
      <c r="D4" s="48">
        <v>646</v>
      </c>
      <c r="E4" s="48" t="s">
        <v>1067</v>
      </c>
      <c r="F4" s="48">
        <v>726</v>
      </c>
      <c r="G4" s="48" t="s">
        <v>1067</v>
      </c>
    </row>
    <row r="5" spans="1:16" s="42" customFormat="1" ht="15.5">
      <c r="A5" s="46" t="s">
        <v>891</v>
      </c>
      <c r="B5" s="47" t="s">
        <v>1068</v>
      </c>
      <c r="C5" s="48" t="s">
        <v>1069</v>
      </c>
      <c r="D5" s="48" t="s">
        <v>1067</v>
      </c>
      <c r="E5" s="48" t="s">
        <v>1067</v>
      </c>
      <c r="F5" s="48" t="s">
        <v>1067</v>
      </c>
      <c r="G5" s="48" t="s">
        <v>1067</v>
      </c>
    </row>
    <row r="6" spans="1:16" s="42" customFormat="1" ht="15.5">
      <c r="A6" s="46" t="s">
        <v>891</v>
      </c>
      <c r="B6" s="47" t="s">
        <v>1070</v>
      </c>
      <c r="C6" s="48">
        <v>200</v>
      </c>
      <c r="D6" s="48">
        <v>1341</v>
      </c>
      <c r="E6" s="48">
        <v>1250</v>
      </c>
      <c r="F6" s="48">
        <v>1350</v>
      </c>
      <c r="G6" s="48">
        <v>1480</v>
      </c>
    </row>
    <row r="7" spans="1:16" s="42" customFormat="1" ht="15.5">
      <c r="A7" s="46" t="s">
        <v>891</v>
      </c>
      <c r="B7" s="47" t="s">
        <v>1071</v>
      </c>
      <c r="C7" s="48">
        <v>390</v>
      </c>
      <c r="D7" s="48">
        <v>1660</v>
      </c>
      <c r="E7" s="48">
        <v>1500</v>
      </c>
      <c r="F7" s="48">
        <v>1700</v>
      </c>
      <c r="G7" s="48">
        <v>1836</v>
      </c>
    </row>
    <row r="8" spans="1:16" s="42" customFormat="1" ht="15.5">
      <c r="A8" s="46" t="s">
        <v>891</v>
      </c>
      <c r="B8" s="47" t="s">
        <v>1072</v>
      </c>
      <c r="C8" s="48">
        <v>190</v>
      </c>
      <c r="D8" s="48">
        <v>1954</v>
      </c>
      <c r="E8" s="48">
        <v>1750</v>
      </c>
      <c r="F8" s="48">
        <v>1965</v>
      </c>
      <c r="G8" s="48">
        <v>2100</v>
      </c>
    </row>
    <row r="9" spans="1:16" s="42" customFormat="1" ht="15.5">
      <c r="A9" s="46" t="s">
        <v>891</v>
      </c>
      <c r="B9" s="47" t="s">
        <v>1073</v>
      </c>
      <c r="C9" s="48">
        <v>20</v>
      </c>
      <c r="D9" s="48">
        <v>2409</v>
      </c>
      <c r="E9" s="48">
        <v>2300</v>
      </c>
      <c r="F9" s="48">
        <v>2400</v>
      </c>
      <c r="G9" s="48">
        <v>2500</v>
      </c>
    </row>
    <row r="10" spans="1:16" s="42" customFormat="1" ht="15.5">
      <c r="A10" s="46" t="s">
        <v>857</v>
      </c>
      <c r="B10" s="47" t="s">
        <v>1066</v>
      </c>
      <c r="C10" s="48">
        <v>10</v>
      </c>
      <c r="D10" s="48">
        <v>747</v>
      </c>
      <c r="E10" s="48">
        <v>701</v>
      </c>
      <c r="F10" s="48">
        <v>726</v>
      </c>
      <c r="G10" s="48">
        <v>796</v>
      </c>
    </row>
    <row r="11" spans="1:16" s="42" customFormat="1" ht="15.5">
      <c r="A11" s="46" t="s">
        <v>857</v>
      </c>
      <c r="B11" s="47" t="s">
        <v>1068</v>
      </c>
      <c r="C11" s="48">
        <v>110</v>
      </c>
      <c r="D11" s="48">
        <v>1105</v>
      </c>
      <c r="E11" s="48">
        <v>1000</v>
      </c>
      <c r="F11" s="48">
        <v>1100</v>
      </c>
      <c r="G11" s="48">
        <v>1200</v>
      </c>
    </row>
    <row r="12" spans="1:16" s="42" customFormat="1" ht="15.5">
      <c r="A12" s="46" t="s">
        <v>857</v>
      </c>
      <c r="B12" s="47" t="s">
        <v>1070</v>
      </c>
      <c r="C12" s="48">
        <v>670</v>
      </c>
      <c r="D12" s="48">
        <v>1472</v>
      </c>
      <c r="E12" s="48">
        <v>1300</v>
      </c>
      <c r="F12" s="48">
        <v>1450</v>
      </c>
      <c r="G12" s="48">
        <v>1600</v>
      </c>
    </row>
    <row r="13" spans="1:16" s="42" customFormat="1" ht="15.5">
      <c r="A13" s="46" t="s">
        <v>857</v>
      </c>
      <c r="B13" s="47" t="s">
        <v>1071</v>
      </c>
      <c r="C13" s="48">
        <v>1150</v>
      </c>
      <c r="D13" s="48">
        <v>1802</v>
      </c>
      <c r="E13" s="48">
        <v>1600</v>
      </c>
      <c r="F13" s="48">
        <v>1750</v>
      </c>
      <c r="G13" s="48">
        <v>1975</v>
      </c>
    </row>
    <row r="14" spans="1:16" s="42" customFormat="1" ht="15.5">
      <c r="A14" s="46" t="s">
        <v>857</v>
      </c>
      <c r="B14" s="47" t="s">
        <v>1072</v>
      </c>
      <c r="C14" s="48">
        <v>430</v>
      </c>
      <c r="D14" s="48">
        <v>2448</v>
      </c>
      <c r="E14" s="48">
        <v>2100</v>
      </c>
      <c r="F14" s="48">
        <v>2400</v>
      </c>
      <c r="G14" s="48">
        <v>2700</v>
      </c>
    </row>
    <row r="15" spans="1:16" s="42" customFormat="1" ht="15.5">
      <c r="A15" s="46" t="s">
        <v>857</v>
      </c>
      <c r="B15" s="47" t="s">
        <v>1073</v>
      </c>
      <c r="C15" s="48">
        <v>160</v>
      </c>
      <c r="D15" s="48">
        <v>3398</v>
      </c>
      <c r="E15" s="48">
        <v>2800</v>
      </c>
      <c r="F15" s="48">
        <v>3150</v>
      </c>
      <c r="G15" s="48">
        <v>3775</v>
      </c>
      <c r="H15" s="49"/>
    </row>
    <row r="16" spans="1:16" s="42" customFormat="1" ht="15.5">
      <c r="A16" s="46" t="s">
        <v>858</v>
      </c>
      <c r="B16" s="47" t="s">
        <v>1066</v>
      </c>
      <c r="C16" s="48">
        <v>20</v>
      </c>
      <c r="D16" s="48">
        <v>833</v>
      </c>
      <c r="E16" s="48">
        <v>738</v>
      </c>
      <c r="F16" s="48">
        <v>800</v>
      </c>
      <c r="G16" s="48">
        <v>1000</v>
      </c>
      <c r="H16" s="49"/>
    </row>
    <row r="17" spans="1:8" s="42" customFormat="1" ht="15.5">
      <c r="A17" s="46" t="s">
        <v>858</v>
      </c>
      <c r="B17" s="47" t="s">
        <v>1068</v>
      </c>
      <c r="C17" s="48">
        <v>10</v>
      </c>
      <c r="D17" s="48">
        <v>1081</v>
      </c>
      <c r="E17" s="48" t="s">
        <v>1067</v>
      </c>
      <c r="F17" s="48">
        <v>1000</v>
      </c>
      <c r="G17" s="48" t="s">
        <v>1067</v>
      </c>
      <c r="H17" s="49"/>
    </row>
    <row r="18" spans="1:8" s="42" customFormat="1" ht="15.5">
      <c r="A18" s="46" t="s">
        <v>858</v>
      </c>
      <c r="B18" s="47" t="s">
        <v>1070</v>
      </c>
      <c r="C18" s="48">
        <v>180</v>
      </c>
      <c r="D18" s="48">
        <v>1248</v>
      </c>
      <c r="E18" s="48">
        <v>1100</v>
      </c>
      <c r="F18" s="48">
        <v>1250</v>
      </c>
      <c r="G18" s="48">
        <v>1375</v>
      </c>
      <c r="H18" s="49"/>
    </row>
    <row r="19" spans="1:8" s="42" customFormat="1" ht="15.5">
      <c r="A19" s="46" t="s">
        <v>858</v>
      </c>
      <c r="B19" s="47" t="s">
        <v>1071</v>
      </c>
      <c r="C19" s="48">
        <v>300</v>
      </c>
      <c r="D19" s="48">
        <v>1554</v>
      </c>
      <c r="E19" s="48">
        <v>1400</v>
      </c>
      <c r="F19" s="48">
        <v>1600</v>
      </c>
      <c r="G19" s="48">
        <v>1700</v>
      </c>
      <c r="H19" s="49"/>
    </row>
    <row r="20" spans="1:8" s="42" customFormat="1" ht="15.5">
      <c r="A20" s="46" t="s">
        <v>858</v>
      </c>
      <c r="B20" s="47" t="s">
        <v>1072</v>
      </c>
      <c r="C20" s="48">
        <v>220</v>
      </c>
      <c r="D20" s="48">
        <v>1924</v>
      </c>
      <c r="E20" s="48">
        <v>1750</v>
      </c>
      <c r="F20" s="48">
        <v>1950</v>
      </c>
      <c r="G20" s="48">
        <v>2100</v>
      </c>
      <c r="H20" s="49"/>
    </row>
    <row r="21" spans="1:8" s="42" customFormat="1" ht="15.5">
      <c r="A21" s="46" t="s">
        <v>858</v>
      </c>
      <c r="B21" s="47" t="s">
        <v>1073</v>
      </c>
      <c r="C21" s="48">
        <v>50</v>
      </c>
      <c r="D21" s="48">
        <v>2315</v>
      </c>
      <c r="E21" s="48">
        <v>2050</v>
      </c>
      <c r="F21" s="48">
        <v>2300</v>
      </c>
      <c r="G21" s="48">
        <v>2600</v>
      </c>
      <c r="H21" s="49"/>
    </row>
    <row r="22" spans="1:8" s="42" customFormat="1" ht="15.5">
      <c r="A22" s="46" t="s">
        <v>859</v>
      </c>
      <c r="B22" s="47" t="s">
        <v>1066</v>
      </c>
      <c r="C22" s="48">
        <v>80</v>
      </c>
      <c r="D22" s="48">
        <v>796</v>
      </c>
      <c r="E22" s="48">
        <v>708</v>
      </c>
      <c r="F22" s="48">
        <v>776</v>
      </c>
      <c r="G22" s="48">
        <v>878</v>
      </c>
      <c r="H22" s="49"/>
    </row>
    <row r="23" spans="1:8" s="42" customFormat="1" ht="15.5">
      <c r="A23" s="46" t="s">
        <v>859</v>
      </c>
      <c r="B23" s="47" t="s">
        <v>1068</v>
      </c>
      <c r="C23" s="48">
        <v>110</v>
      </c>
      <c r="D23" s="48">
        <v>1152</v>
      </c>
      <c r="E23" s="48">
        <v>1000</v>
      </c>
      <c r="F23" s="48">
        <v>1160</v>
      </c>
      <c r="G23" s="48">
        <v>1280</v>
      </c>
      <c r="H23" s="49"/>
    </row>
    <row r="24" spans="1:8" s="42" customFormat="1" ht="15.5">
      <c r="A24" s="46" t="s">
        <v>859</v>
      </c>
      <c r="B24" s="47" t="s">
        <v>1070</v>
      </c>
      <c r="C24" s="48">
        <v>440</v>
      </c>
      <c r="D24" s="48">
        <v>1646</v>
      </c>
      <c r="E24" s="48">
        <v>1450</v>
      </c>
      <c r="F24" s="48">
        <v>1650</v>
      </c>
      <c r="G24" s="48">
        <v>1850</v>
      </c>
      <c r="H24" s="49"/>
    </row>
    <row r="25" spans="1:8" s="42" customFormat="1" ht="15.5">
      <c r="A25" s="46" t="s">
        <v>859</v>
      </c>
      <c r="B25" s="47" t="s">
        <v>1071</v>
      </c>
      <c r="C25" s="48">
        <v>660</v>
      </c>
      <c r="D25" s="48">
        <v>2036</v>
      </c>
      <c r="E25" s="48">
        <v>1800</v>
      </c>
      <c r="F25" s="48">
        <v>2000</v>
      </c>
      <c r="G25" s="48">
        <v>2250</v>
      </c>
      <c r="H25" s="49"/>
    </row>
    <row r="26" spans="1:8" s="42" customFormat="1" ht="15.5">
      <c r="A26" s="46" t="s">
        <v>859</v>
      </c>
      <c r="B26" s="47" t="s">
        <v>1072</v>
      </c>
      <c r="C26" s="48">
        <v>290</v>
      </c>
      <c r="D26" s="48">
        <v>2480</v>
      </c>
      <c r="E26" s="48">
        <v>2100</v>
      </c>
      <c r="F26" s="48">
        <v>2400</v>
      </c>
      <c r="G26" s="48">
        <v>2700</v>
      </c>
      <c r="H26" s="49"/>
    </row>
    <row r="27" spans="1:8" s="42" customFormat="1" ht="15.5">
      <c r="A27" s="46" t="s">
        <v>859</v>
      </c>
      <c r="B27" s="47" t="s">
        <v>1073</v>
      </c>
      <c r="C27" s="48">
        <v>120</v>
      </c>
      <c r="D27" s="48">
        <v>3601</v>
      </c>
      <c r="E27" s="48">
        <v>2515</v>
      </c>
      <c r="F27" s="48">
        <v>3200</v>
      </c>
      <c r="G27" s="48">
        <v>4213</v>
      </c>
    </row>
    <row r="28" spans="1:8" s="42" customFormat="1" ht="15.5">
      <c r="A28" s="46" t="s">
        <v>860</v>
      </c>
      <c r="B28" s="47" t="s">
        <v>1066</v>
      </c>
      <c r="C28" s="48">
        <v>20</v>
      </c>
      <c r="D28" s="48">
        <v>706</v>
      </c>
      <c r="E28" s="48">
        <v>676</v>
      </c>
      <c r="F28" s="48">
        <v>718</v>
      </c>
      <c r="G28" s="48">
        <v>801</v>
      </c>
    </row>
    <row r="29" spans="1:8" s="42" customFormat="1" ht="15.5">
      <c r="A29" s="46" t="s">
        <v>860</v>
      </c>
      <c r="B29" s="47" t="s">
        <v>1068</v>
      </c>
      <c r="C29" s="48">
        <v>40</v>
      </c>
      <c r="D29" s="48">
        <v>993</v>
      </c>
      <c r="E29" s="48">
        <v>925</v>
      </c>
      <c r="F29" s="48">
        <v>995</v>
      </c>
      <c r="G29" s="48">
        <v>1050</v>
      </c>
    </row>
    <row r="30" spans="1:8" s="42" customFormat="1" ht="15.5">
      <c r="A30" s="46" t="s">
        <v>860</v>
      </c>
      <c r="B30" s="47" t="s">
        <v>1070</v>
      </c>
      <c r="C30" s="48">
        <v>790</v>
      </c>
      <c r="D30" s="48">
        <v>1292</v>
      </c>
      <c r="E30" s="48">
        <v>1181</v>
      </c>
      <c r="F30" s="48">
        <v>1300</v>
      </c>
      <c r="G30" s="48">
        <v>1400</v>
      </c>
    </row>
    <row r="31" spans="1:8" s="42" customFormat="1" ht="15.5">
      <c r="A31" s="46" t="s">
        <v>860</v>
      </c>
      <c r="B31" s="47" t="s">
        <v>1071</v>
      </c>
      <c r="C31" s="48">
        <v>1130</v>
      </c>
      <c r="D31" s="48">
        <v>1620</v>
      </c>
      <c r="E31" s="48">
        <v>1450</v>
      </c>
      <c r="F31" s="48">
        <v>1600</v>
      </c>
      <c r="G31" s="48">
        <v>1750</v>
      </c>
    </row>
    <row r="32" spans="1:8" s="42" customFormat="1" ht="15.5">
      <c r="A32" s="46" t="s">
        <v>860</v>
      </c>
      <c r="B32" s="47" t="s">
        <v>1072</v>
      </c>
      <c r="C32" s="48">
        <v>480</v>
      </c>
      <c r="D32" s="48">
        <v>2021</v>
      </c>
      <c r="E32" s="48">
        <v>1750</v>
      </c>
      <c r="F32" s="48">
        <v>2000</v>
      </c>
      <c r="G32" s="48">
        <v>2246</v>
      </c>
    </row>
    <row r="33" spans="1:7" s="42" customFormat="1" ht="15.5">
      <c r="A33" s="46" t="s">
        <v>860</v>
      </c>
      <c r="B33" s="47" t="s">
        <v>1073</v>
      </c>
      <c r="C33" s="48">
        <v>190</v>
      </c>
      <c r="D33" s="48">
        <v>2750</v>
      </c>
      <c r="E33" s="48">
        <v>2200</v>
      </c>
      <c r="F33" s="48">
        <v>2500</v>
      </c>
      <c r="G33" s="48">
        <v>3000</v>
      </c>
    </row>
    <row r="34" spans="1:7" s="42" customFormat="1" ht="15.5">
      <c r="A34" s="46" t="s">
        <v>861</v>
      </c>
      <c r="B34" s="47" t="s">
        <v>1066</v>
      </c>
      <c r="C34" s="48">
        <v>30</v>
      </c>
      <c r="D34" s="48">
        <v>882</v>
      </c>
      <c r="E34" s="48">
        <v>826</v>
      </c>
      <c r="F34" s="48">
        <v>875</v>
      </c>
      <c r="G34" s="48">
        <v>930</v>
      </c>
    </row>
    <row r="35" spans="1:7" s="42" customFormat="1" ht="15.5">
      <c r="A35" s="46" t="s">
        <v>861</v>
      </c>
      <c r="B35" s="47" t="s">
        <v>1068</v>
      </c>
      <c r="C35" s="48">
        <v>60</v>
      </c>
      <c r="D35" s="48">
        <v>1520</v>
      </c>
      <c r="E35" s="48">
        <v>1350</v>
      </c>
      <c r="F35" s="48">
        <v>1450</v>
      </c>
      <c r="G35" s="48">
        <v>1750</v>
      </c>
    </row>
    <row r="36" spans="1:7" s="42" customFormat="1" ht="15.5">
      <c r="A36" s="46" t="s">
        <v>861</v>
      </c>
      <c r="B36" s="47" t="s">
        <v>1070</v>
      </c>
      <c r="C36" s="48">
        <v>300</v>
      </c>
      <c r="D36" s="48">
        <v>2113</v>
      </c>
      <c r="E36" s="48">
        <v>1800</v>
      </c>
      <c r="F36" s="48">
        <v>2000</v>
      </c>
      <c r="G36" s="48">
        <v>2350</v>
      </c>
    </row>
    <row r="37" spans="1:7" s="42" customFormat="1" ht="15.5">
      <c r="A37" s="46" t="s">
        <v>861</v>
      </c>
      <c r="B37" s="47" t="s">
        <v>1071</v>
      </c>
      <c r="C37" s="48">
        <v>310</v>
      </c>
      <c r="D37" s="48">
        <v>2747</v>
      </c>
      <c r="E37" s="48">
        <v>2250</v>
      </c>
      <c r="F37" s="48">
        <v>2600</v>
      </c>
      <c r="G37" s="48">
        <v>3100</v>
      </c>
    </row>
    <row r="38" spans="1:7" s="42" customFormat="1" ht="15.5">
      <c r="A38" s="46" t="s">
        <v>861</v>
      </c>
      <c r="B38" s="47" t="s">
        <v>1072</v>
      </c>
      <c r="C38" s="48">
        <v>130</v>
      </c>
      <c r="D38" s="48">
        <v>3684</v>
      </c>
      <c r="E38" s="48">
        <v>3025</v>
      </c>
      <c r="F38" s="48">
        <v>3500</v>
      </c>
      <c r="G38" s="48">
        <v>4000</v>
      </c>
    </row>
    <row r="39" spans="1:7" s="42" customFormat="1" ht="15.5">
      <c r="A39" s="46" t="s">
        <v>861</v>
      </c>
      <c r="B39" s="47" t="s">
        <v>1073</v>
      </c>
      <c r="C39" s="48">
        <v>40</v>
      </c>
      <c r="D39" s="48">
        <v>4815</v>
      </c>
      <c r="E39" s="48">
        <v>3590</v>
      </c>
      <c r="F39" s="48">
        <v>4090</v>
      </c>
      <c r="G39" s="48">
        <v>5079</v>
      </c>
    </row>
    <row r="40" spans="1:7" s="42" customFormat="1" ht="15.5">
      <c r="A40" s="46" t="s">
        <v>855</v>
      </c>
      <c r="B40" s="47" t="s">
        <v>1066</v>
      </c>
      <c r="C40" s="48" t="s">
        <v>1069</v>
      </c>
      <c r="D40" s="48" t="s">
        <v>1067</v>
      </c>
      <c r="E40" s="48" t="s">
        <v>1067</v>
      </c>
      <c r="F40" s="48" t="s">
        <v>1067</v>
      </c>
      <c r="G40" s="48" t="s">
        <v>1067</v>
      </c>
    </row>
    <row r="41" spans="1:7" s="42" customFormat="1" ht="15.5">
      <c r="A41" s="46" t="s">
        <v>855</v>
      </c>
      <c r="B41" s="47" t="s">
        <v>1068</v>
      </c>
      <c r="C41" s="48">
        <v>10</v>
      </c>
      <c r="D41" s="48">
        <v>2388</v>
      </c>
      <c r="E41" s="48" t="s">
        <v>1067</v>
      </c>
      <c r="F41" s="48">
        <v>2300</v>
      </c>
      <c r="G41" s="48" t="s">
        <v>1067</v>
      </c>
    </row>
    <row r="42" spans="1:7" s="42" customFormat="1" ht="15.5">
      <c r="A42" s="46" t="s">
        <v>855</v>
      </c>
      <c r="B42" s="47" t="s">
        <v>1070</v>
      </c>
      <c r="C42" s="48">
        <v>70</v>
      </c>
      <c r="D42" s="48">
        <v>2395</v>
      </c>
      <c r="E42" s="48">
        <v>2100</v>
      </c>
      <c r="F42" s="48">
        <v>2300</v>
      </c>
      <c r="G42" s="48">
        <v>2675</v>
      </c>
    </row>
    <row r="43" spans="1:7" s="42" customFormat="1" ht="15.5">
      <c r="A43" s="46" t="s">
        <v>855</v>
      </c>
      <c r="B43" s="47" t="s">
        <v>1071</v>
      </c>
      <c r="C43" s="48">
        <v>50</v>
      </c>
      <c r="D43" s="48">
        <v>3072</v>
      </c>
      <c r="E43" s="48">
        <v>2843</v>
      </c>
      <c r="F43" s="48">
        <v>3075</v>
      </c>
      <c r="G43" s="48">
        <v>3263</v>
      </c>
    </row>
    <row r="44" spans="1:7" s="42" customFormat="1" ht="15.5">
      <c r="A44" s="46" t="s">
        <v>855</v>
      </c>
      <c r="B44" s="47" t="s">
        <v>1072</v>
      </c>
      <c r="C44" s="48">
        <v>10</v>
      </c>
      <c r="D44" s="48">
        <v>4378</v>
      </c>
      <c r="E44" s="48" t="s">
        <v>1067</v>
      </c>
      <c r="F44" s="48">
        <v>4575</v>
      </c>
      <c r="G44" s="48" t="s">
        <v>1067</v>
      </c>
    </row>
    <row r="45" spans="1:7" s="42" customFormat="1" ht="15.5">
      <c r="A45" s="46" t="s">
        <v>855</v>
      </c>
      <c r="B45" s="47" t="s">
        <v>1073</v>
      </c>
      <c r="C45" s="48" t="s">
        <v>1069</v>
      </c>
      <c r="D45" s="48" t="s">
        <v>1067</v>
      </c>
      <c r="E45" s="48" t="s">
        <v>1067</v>
      </c>
      <c r="F45" s="48" t="s">
        <v>1067</v>
      </c>
      <c r="G45" s="48" t="s">
        <v>1067</v>
      </c>
    </row>
    <row r="46" spans="1:7" s="42" customFormat="1" ht="15.5">
      <c r="A46" s="46" t="s">
        <v>862</v>
      </c>
      <c r="B46" s="47" t="s">
        <v>1066</v>
      </c>
      <c r="C46" s="48">
        <v>20</v>
      </c>
      <c r="D46" s="48">
        <v>719</v>
      </c>
      <c r="E46" s="48">
        <v>650</v>
      </c>
      <c r="F46" s="48">
        <v>732</v>
      </c>
      <c r="G46" s="48">
        <v>805</v>
      </c>
    </row>
    <row r="47" spans="1:7" s="42" customFormat="1" ht="15.5">
      <c r="A47" s="46" t="s">
        <v>862</v>
      </c>
      <c r="B47" s="47" t="s">
        <v>1068</v>
      </c>
      <c r="C47" s="48">
        <v>50</v>
      </c>
      <c r="D47" s="48">
        <v>1019</v>
      </c>
      <c r="E47" s="48">
        <v>938</v>
      </c>
      <c r="F47" s="48">
        <v>1025</v>
      </c>
      <c r="G47" s="48">
        <v>1100</v>
      </c>
    </row>
    <row r="48" spans="1:7" s="42" customFormat="1" ht="15.5">
      <c r="A48" s="46" t="s">
        <v>862</v>
      </c>
      <c r="B48" s="47" t="s">
        <v>1070</v>
      </c>
      <c r="C48" s="48">
        <v>540</v>
      </c>
      <c r="D48" s="48">
        <v>1226</v>
      </c>
      <c r="E48" s="48">
        <v>1100</v>
      </c>
      <c r="F48" s="48">
        <v>1250</v>
      </c>
      <c r="G48" s="48">
        <v>1315</v>
      </c>
    </row>
    <row r="49" spans="1:7" s="42" customFormat="1" ht="15.5">
      <c r="A49" s="46" t="s">
        <v>862</v>
      </c>
      <c r="B49" s="47" t="s">
        <v>1071</v>
      </c>
      <c r="C49" s="48">
        <v>810</v>
      </c>
      <c r="D49" s="48">
        <v>1542</v>
      </c>
      <c r="E49" s="48">
        <v>1400</v>
      </c>
      <c r="F49" s="48">
        <v>1550</v>
      </c>
      <c r="G49" s="48">
        <v>1650</v>
      </c>
    </row>
    <row r="50" spans="1:7" s="42" customFormat="1" ht="15.5">
      <c r="A50" s="46" t="s">
        <v>862</v>
      </c>
      <c r="B50" s="47" t="s">
        <v>1072</v>
      </c>
      <c r="C50" s="48">
        <v>350</v>
      </c>
      <c r="D50" s="48">
        <v>1932</v>
      </c>
      <c r="E50" s="48">
        <v>1700</v>
      </c>
      <c r="F50" s="48">
        <v>1950</v>
      </c>
      <c r="G50" s="48">
        <v>2150</v>
      </c>
    </row>
    <row r="51" spans="1:7" s="42" customFormat="1" ht="15.5">
      <c r="A51" s="46" t="s">
        <v>862</v>
      </c>
      <c r="B51" s="47" t="s">
        <v>1073</v>
      </c>
      <c r="C51" s="48">
        <v>110</v>
      </c>
      <c r="D51" s="48">
        <v>2511</v>
      </c>
      <c r="E51" s="48">
        <v>2200</v>
      </c>
      <c r="F51" s="48">
        <v>2475</v>
      </c>
      <c r="G51" s="48">
        <v>2700</v>
      </c>
    </row>
    <row r="52" spans="1:7" s="42" customFormat="1" ht="15.5">
      <c r="A52" s="46" t="s">
        <v>863</v>
      </c>
      <c r="B52" s="47" t="s">
        <v>1066</v>
      </c>
      <c r="C52" s="48">
        <v>160</v>
      </c>
      <c r="D52" s="48">
        <v>872</v>
      </c>
      <c r="E52" s="48">
        <v>726</v>
      </c>
      <c r="F52" s="48">
        <v>826</v>
      </c>
      <c r="G52" s="48">
        <v>957</v>
      </c>
    </row>
    <row r="53" spans="1:7" s="42" customFormat="1" ht="15.5">
      <c r="A53" s="46" t="s">
        <v>863</v>
      </c>
      <c r="B53" s="47" t="s">
        <v>1068</v>
      </c>
      <c r="C53" s="48">
        <v>70</v>
      </c>
      <c r="D53" s="48">
        <v>1300</v>
      </c>
      <c r="E53" s="48">
        <v>1138</v>
      </c>
      <c r="F53" s="48">
        <v>1345</v>
      </c>
      <c r="G53" s="48">
        <v>1450</v>
      </c>
    </row>
    <row r="54" spans="1:7" s="42" customFormat="1" ht="15.5">
      <c r="A54" s="46" t="s">
        <v>863</v>
      </c>
      <c r="B54" s="47" t="s">
        <v>1070</v>
      </c>
      <c r="C54" s="48">
        <v>660</v>
      </c>
      <c r="D54" s="48">
        <v>1571</v>
      </c>
      <c r="E54" s="48">
        <v>1400</v>
      </c>
      <c r="F54" s="48">
        <v>1550</v>
      </c>
      <c r="G54" s="48">
        <v>1700</v>
      </c>
    </row>
    <row r="55" spans="1:7" s="42" customFormat="1" ht="15.5">
      <c r="A55" s="46" t="s">
        <v>863</v>
      </c>
      <c r="B55" s="47" t="s">
        <v>1071</v>
      </c>
      <c r="C55" s="48">
        <v>870</v>
      </c>
      <c r="D55" s="48">
        <v>1958</v>
      </c>
      <c r="E55" s="48">
        <v>1744</v>
      </c>
      <c r="F55" s="48">
        <v>1900</v>
      </c>
      <c r="G55" s="48">
        <v>2150</v>
      </c>
    </row>
    <row r="56" spans="1:7" s="42" customFormat="1" ht="15.5">
      <c r="A56" s="46" t="s">
        <v>863</v>
      </c>
      <c r="B56" s="47" t="s">
        <v>1072</v>
      </c>
      <c r="C56" s="48">
        <v>240</v>
      </c>
      <c r="D56" s="48">
        <v>2551</v>
      </c>
      <c r="E56" s="48">
        <v>2200</v>
      </c>
      <c r="F56" s="48">
        <v>2445</v>
      </c>
      <c r="G56" s="48">
        <v>2752</v>
      </c>
    </row>
    <row r="57" spans="1:7" s="42" customFormat="1" ht="15.5">
      <c r="A57" s="46" t="s">
        <v>863</v>
      </c>
      <c r="B57" s="47" t="s">
        <v>1073</v>
      </c>
      <c r="C57" s="48">
        <v>110</v>
      </c>
      <c r="D57" s="48">
        <v>3310</v>
      </c>
      <c r="E57" s="48">
        <v>2550</v>
      </c>
      <c r="F57" s="48">
        <v>2900</v>
      </c>
      <c r="G57" s="48">
        <v>3750</v>
      </c>
    </row>
    <row r="58" spans="1:7" s="42" customFormat="1" ht="15.5">
      <c r="A58" s="46" t="s">
        <v>864</v>
      </c>
      <c r="B58" s="47" t="s">
        <v>1066</v>
      </c>
      <c r="C58" s="48">
        <v>30</v>
      </c>
      <c r="D58" s="48">
        <v>736</v>
      </c>
      <c r="E58" s="48">
        <v>676</v>
      </c>
      <c r="F58" s="48">
        <v>738</v>
      </c>
      <c r="G58" s="48">
        <v>801</v>
      </c>
    </row>
    <row r="59" spans="1:7" s="42" customFormat="1" ht="15.5">
      <c r="A59" s="46" t="s">
        <v>864</v>
      </c>
      <c r="B59" s="47" t="s">
        <v>1068</v>
      </c>
      <c r="C59" s="48">
        <v>30</v>
      </c>
      <c r="D59" s="48">
        <v>1107</v>
      </c>
      <c r="E59" s="48">
        <v>1000</v>
      </c>
      <c r="F59" s="48">
        <v>1100</v>
      </c>
      <c r="G59" s="48">
        <v>1250</v>
      </c>
    </row>
    <row r="60" spans="1:7" s="42" customFormat="1" ht="15.5">
      <c r="A60" s="46" t="s">
        <v>864</v>
      </c>
      <c r="B60" s="47" t="s">
        <v>1070</v>
      </c>
      <c r="C60" s="48">
        <v>240</v>
      </c>
      <c r="D60" s="48">
        <v>1332</v>
      </c>
      <c r="E60" s="48">
        <v>1250</v>
      </c>
      <c r="F60" s="48">
        <v>1350</v>
      </c>
      <c r="G60" s="48">
        <v>1424</v>
      </c>
    </row>
    <row r="61" spans="1:7" s="42" customFormat="1" ht="15.5">
      <c r="A61" s="46" t="s">
        <v>864</v>
      </c>
      <c r="B61" s="47" t="s">
        <v>1071</v>
      </c>
      <c r="C61" s="48">
        <v>400</v>
      </c>
      <c r="D61" s="48">
        <v>1649</v>
      </c>
      <c r="E61" s="48">
        <v>1495</v>
      </c>
      <c r="F61" s="48">
        <v>1650</v>
      </c>
      <c r="G61" s="48">
        <v>1750</v>
      </c>
    </row>
    <row r="62" spans="1:7" s="42" customFormat="1" ht="15.5">
      <c r="A62" s="46" t="s">
        <v>864</v>
      </c>
      <c r="B62" s="47" t="s">
        <v>1072</v>
      </c>
      <c r="C62" s="48">
        <v>260</v>
      </c>
      <c r="D62" s="48">
        <v>2103</v>
      </c>
      <c r="E62" s="48">
        <v>1800</v>
      </c>
      <c r="F62" s="48">
        <v>2050</v>
      </c>
      <c r="G62" s="48">
        <v>2300</v>
      </c>
    </row>
    <row r="63" spans="1:7" s="42" customFormat="1" ht="15.5">
      <c r="A63" s="46" t="s">
        <v>864</v>
      </c>
      <c r="B63" s="47" t="s">
        <v>1073</v>
      </c>
      <c r="C63" s="48">
        <v>80</v>
      </c>
      <c r="D63" s="48">
        <v>3127</v>
      </c>
      <c r="E63" s="48">
        <v>2500</v>
      </c>
      <c r="F63" s="48">
        <v>2900</v>
      </c>
      <c r="G63" s="48">
        <v>3400</v>
      </c>
    </row>
    <row r="64" spans="1:7" s="42" customFormat="1" ht="15.5">
      <c r="A64" s="46" t="s">
        <v>865</v>
      </c>
      <c r="B64" s="47" t="s">
        <v>1066</v>
      </c>
      <c r="C64" s="48">
        <v>70</v>
      </c>
      <c r="D64" s="48">
        <v>800</v>
      </c>
      <c r="E64" s="48">
        <v>663</v>
      </c>
      <c r="F64" s="48">
        <v>770</v>
      </c>
      <c r="G64" s="48">
        <v>900</v>
      </c>
    </row>
    <row r="65" spans="1:7" s="42" customFormat="1" ht="15.5">
      <c r="A65" s="46" t="s">
        <v>865</v>
      </c>
      <c r="B65" s="47" t="s">
        <v>1068</v>
      </c>
      <c r="C65" s="48">
        <v>40</v>
      </c>
      <c r="D65" s="48">
        <v>1139</v>
      </c>
      <c r="E65" s="48">
        <v>1000</v>
      </c>
      <c r="F65" s="48">
        <v>1150</v>
      </c>
      <c r="G65" s="48">
        <v>1300</v>
      </c>
    </row>
    <row r="66" spans="1:7" s="42" customFormat="1" ht="15.5">
      <c r="A66" s="46" t="s">
        <v>865</v>
      </c>
      <c r="B66" s="47" t="s">
        <v>1070</v>
      </c>
      <c r="C66" s="48">
        <v>660</v>
      </c>
      <c r="D66" s="48">
        <v>1553</v>
      </c>
      <c r="E66" s="48">
        <v>1350</v>
      </c>
      <c r="F66" s="48">
        <v>1525</v>
      </c>
      <c r="G66" s="48">
        <v>1750</v>
      </c>
    </row>
    <row r="67" spans="1:7" s="42" customFormat="1" ht="15.5">
      <c r="A67" s="46" t="s">
        <v>865</v>
      </c>
      <c r="B67" s="47" t="s">
        <v>1071</v>
      </c>
      <c r="C67" s="48">
        <v>1000</v>
      </c>
      <c r="D67" s="48">
        <v>1903</v>
      </c>
      <c r="E67" s="48">
        <v>1600</v>
      </c>
      <c r="F67" s="48">
        <v>1850</v>
      </c>
      <c r="G67" s="48">
        <v>2100</v>
      </c>
    </row>
    <row r="68" spans="1:7" s="42" customFormat="1" ht="15.5">
      <c r="A68" s="46" t="s">
        <v>865</v>
      </c>
      <c r="B68" s="47" t="s">
        <v>1072</v>
      </c>
      <c r="C68" s="48">
        <v>420</v>
      </c>
      <c r="D68" s="48">
        <v>2210</v>
      </c>
      <c r="E68" s="48">
        <v>1850</v>
      </c>
      <c r="F68" s="48">
        <v>2100</v>
      </c>
      <c r="G68" s="48">
        <v>2500</v>
      </c>
    </row>
    <row r="69" spans="1:7" s="42" customFormat="1" ht="15.5">
      <c r="A69" s="46" t="s">
        <v>865</v>
      </c>
      <c r="B69" s="47" t="s">
        <v>1073</v>
      </c>
      <c r="C69" s="48">
        <v>120</v>
      </c>
      <c r="D69" s="48">
        <v>2931</v>
      </c>
      <c r="E69" s="48">
        <v>2303</v>
      </c>
      <c r="F69" s="48">
        <v>2750</v>
      </c>
      <c r="G69" s="48">
        <v>3300</v>
      </c>
    </row>
    <row r="70" spans="1:7" s="42" customFormat="1" ht="15.5">
      <c r="A70" s="46" t="s">
        <v>866</v>
      </c>
      <c r="B70" s="47" t="s">
        <v>1066</v>
      </c>
      <c r="C70" s="48">
        <v>30</v>
      </c>
      <c r="D70" s="48">
        <v>992</v>
      </c>
      <c r="E70" s="48">
        <v>855</v>
      </c>
      <c r="F70" s="48">
        <v>976</v>
      </c>
      <c r="G70" s="48">
        <v>1056</v>
      </c>
    </row>
    <row r="71" spans="1:7" s="42" customFormat="1" ht="15.5">
      <c r="A71" s="46" t="s">
        <v>866</v>
      </c>
      <c r="B71" s="47" t="s">
        <v>1068</v>
      </c>
      <c r="C71" s="48">
        <v>40</v>
      </c>
      <c r="D71" s="48">
        <v>1396</v>
      </c>
      <c r="E71" s="48">
        <v>1258</v>
      </c>
      <c r="F71" s="48">
        <v>1280</v>
      </c>
      <c r="G71" s="48">
        <v>1519</v>
      </c>
    </row>
    <row r="72" spans="1:7" s="42" customFormat="1" ht="15.5">
      <c r="A72" s="46" t="s">
        <v>866</v>
      </c>
      <c r="B72" s="47" t="s">
        <v>1070</v>
      </c>
      <c r="C72" s="48">
        <v>320</v>
      </c>
      <c r="D72" s="48">
        <v>2048</v>
      </c>
      <c r="E72" s="48">
        <v>1743</v>
      </c>
      <c r="F72" s="48">
        <v>2000</v>
      </c>
      <c r="G72" s="48">
        <v>2225</v>
      </c>
    </row>
    <row r="73" spans="1:7" s="42" customFormat="1" ht="15.5">
      <c r="A73" s="46" t="s">
        <v>866</v>
      </c>
      <c r="B73" s="47" t="s">
        <v>1071</v>
      </c>
      <c r="C73" s="48">
        <v>390</v>
      </c>
      <c r="D73" s="48">
        <v>2525</v>
      </c>
      <c r="E73" s="48">
        <v>2110</v>
      </c>
      <c r="F73" s="48">
        <v>2500</v>
      </c>
      <c r="G73" s="48">
        <v>2775</v>
      </c>
    </row>
    <row r="74" spans="1:7" s="42" customFormat="1" ht="15.5">
      <c r="A74" s="46" t="s">
        <v>866</v>
      </c>
      <c r="B74" s="47" t="s">
        <v>1072</v>
      </c>
      <c r="C74" s="48">
        <v>170</v>
      </c>
      <c r="D74" s="48">
        <v>3190</v>
      </c>
      <c r="E74" s="48">
        <v>2700</v>
      </c>
      <c r="F74" s="48">
        <v>3200</v>
      </c>
      <c r="G74" s="48">
        <v>3500</v>
      </c>
    </row>
    <row r="75" spans="1:7" s="42" customFormat="1" ht="15.5">
      <c r="A75" s="46" t="s">
        <v>866</v>
      </c>
      <c r="B75" s="47" t="s">
        <v>1073</v>
      </c>
      <c r="C75" s="48">
        <v>50</v>
      </c>
      <c r="D75" s="48">
        <v>4204</v>
      </c>
      <c r="E75" s="48">
        <v>3450</v>
      </c>
      <c r="F75" s="48">
        <v>3950</v>
      </c>
      <c r="G75" s="48">
        <v>4870</v>
      </c>
    </row>
    <row r="76" spans="1:7" s="42" customFormat="1" ht="15.5">
      <c r="A76" s="46" t="s">
        <v>903</v>
      </c>
      <c r="B76" s="47" t="s">
        <v>1066</v>
      </c>
      <c r="C76" s="48">
        <v>30</v>
      </c>
      <c r="D76" s="48">
        <v>1030</v>
      </c>
      <c r="E76" s="48">
        <v>918</v>
      </c>
      <c r="F76" s="48">
        <v>1026</v>
      </c>
      <c r="G76" s="48">
        <v>1147</v>
      </c>
    </row>
    <row r="77" spans="1:7" s="42" customFormat="1" ht="15.5">
      <c r="A77" s="46" t="s">
        <v>903</v>
      </c>
      <c r="B77" s="47" t="s">
        <v>1068</v>
      </c>
      <c r="C77" s="48">
        <v>60</v>
      </c>
      <c r="D77" s="48">
        <v>1530</v>
      </c>
      <c r="E77" s="48">
        <v>1355</v>
      </c>
      <c r="F77" s="48">
        <v>1500</v>
      </c>
      <c r="G77" s="48">
        <v>1659</v>
      </c>
    </row>
    <row r="78" spans="1:7" s="42" customFormat="1" ht="15.5">
      <c r="A78" s="46" t="s">
        <v>903</v>
      </c>
      <c r="B78" s="47" t="s">
        <v>1070</v>
      </c>
      <c r="C78" s="48">
        <v>390</v>
      </c>
      <c r="D78" s="48">
        <v>1937</v>
      </c>
      <c r="E78" s="48">
        <v>1700</v>
      </c>
      <c r="F78" s="48">
        <v>1850</v>
      </c>
      <c r="G78" s="48">
        <v>2143</v>
      </c>
    </row>
    <row r="79" spans="1:7" s="42" customFormat="1" ht="15.5">
      <c r="A79" s="46" t="s">
        <v>903</v>
      </c>
      <c r="B79" s="47" t="s">
        <v>1071</v>
      </c>
      <c r="C79" s="48">
        <v>630</v>
      </c>
      <c r="D79" s="48">
        <v>2440</v>
      </c>
      <c r="E79" s="48">
        <v>2050</v>
      </c>
      <c r="F79" s="48">
        <v>2250</v>
      </c>
      <c r="G79" s="48">
        <v>2700</v>
      </c>
    </row>
    <row r="80" spans="1:7" s="42" customFormat="1" ht="15.5">
      <c r="A80" s="46" t="s">
        <v>903</v>
      </c>
      <c r="B80" s="47" t="s">
        <v>1072</v>
      </c>
      <c r="C80" s="48">
        <v>170</v>
      </c>
      <c r="D80" s="48">
        <v>3396</v>
      </c>
      <c r="E80" s="48">
        <v>2831</v>
      </c>
      <c r="F80" s="48">
        <v>3300</v>
      </c>
      <c r="G80" s="48">
        <v>3750</v>
      </c>
    </row>
    <row r="81" spans="1:7" s="42" customFormat="1" ht="15.5">
      <c r="A81" s="46" t="s">
        <v>903</v>
      </c>
      <c r="B81" s="47" t="s">
        <v>1073</v>
      </c>
      <c r="C81" s="48">
        <v>90</v>
      </c>
      <c r="D81" s="48">
        <v>5042</v>
      </c>
      <c r="E81" s="48">
        <v>4100</v>
      </c>
      <c r="F81" s="48">
        <v>4600</v>
      </c>
      <c r="G81" s="48">
        <v>5538</v>
      </c>
    </row>
    <row r="82" spans="1:7" s="42" customFormat="1" ht="15.5">
      <c r="A82" s="46" t="s">
        <v>868</v>
      </c>
      <c r="B82" s="47" t="s">
        <v>1066</v>
      </c>
      <c r="C82" s="48">
        <v>10</v>
      </c>
      <c r="D82" s="48">
        <v>754</v>
      </c>
      <c r="E82" s="48" t="s">
        <v>1067</v>
      </c>
      <c r="F82" s="48">
        <v>686</v>
      </c>
      <c r="G82" s="48" t="s">
        <v>1067</v>
      </c>
    </row>
    <row r="83" spans="1:7" s="42" customFormat="1" ht="15.5">
      <c r="A83" s="46" t="s">
        <v>868</v>
      </c>
      <c r="B83" s="47" t="s">
        <v>1068</v>
      </c>
      <c r="C83" s="48">
        <v>30</v>
      </c>
      <c r="D83" s="48">
        <v>1131</v>
      </c>
      <c r="E83" s="48">
        <v>1000</v>
      </c>
      <c r="F83" s="48">
        <v>1067</v>
      </c>
      <c r="G83" s="48">
        <v>1200</v>
      </c>
    </row>
    <row r="84" spans="1:7" s="42" customFormat="1" ht="15.5">
      <c r="A84" s="46" t="s">
        <v>868</v>
      </c>
      <c r="B84" s="47" t="s">
        <v>1070</v>
      </c>
      <c r="C84" s="48">
        <v>230</v>
      </c>
      <c r="D84" s="48">
        <v>1651</v>
      </c>
      <c r="E84" s="48">
        <v>1500</v>
      </c>
      <c r="F84" s="48">
        <v>1625</v>
      </c>
      <c r="G84" s="48">
        <v>1800</v>
      </c>
    </row>
    <row r="85" spans="1:7" s="42" customFormat="1" ht="15.5">
      <c r="A85" s="46" t="s">
        <v>868</v>
      </c>
      <c r="B85" s="47" t="s">
        <v>1071</v>
      </c>
      <c r="C85" s="48">
        <v>350</v>
      </c>
      <c r="D85" s="48">
        <v>2042</v>
      </c>
      <c r="E85" s="48">
        <v>1763</v>
      </c>
      <c r="F85" s="48">
        <v>1993</v>
      </c>
      <c r="G85" s="48">
        <v>2250</v>
      </c>
    </row>
    <row r="86" spans="1:7" s="42" customFormat="1" ht="15.5">
      <c r="A86" s="46" t="s">
        <v>868</v>
      </c>
      <c r="B86" s="47" t="s">
        <v>1072</v>
      </c>
      <c r="C86" s="48">
        <v>130</v>
      </c>
      <c r="D86" s="48">
        <v>2619</v>
      </c>
      <c r="E86" s="48">
        <v>2200</v>
      </c>
      <c r="F86" s="48">
        <v>2500</v>
      </c>
      <c r="G86" s="48">
        <v>2991</v>
      </c>
    </row>
    <row r="87" spans="1:7" s="42" customFormat="1" ht="15.5">
      <c r="A87" s="46" t="s">
        <v>868</v>
      </c>
      <c r="B87" s="47" t="s">
        <v>1073</v>
      </c>
      <c r="C87" s="48">
        <v>100</v>
      </c>
      <c r="D87" s="48">
        <v>3647</v>
      </c>
      <c r="E87" s="48">
        <v>2975</v>
      </c>
      <c r="F87" s="48">
        <v>3350</v>
      </c>
      <c r="G87" s="48">
        <v>4173</v>
      </c>
    </row>
    <row r="88" spans="1:7" s="42" customFormat="1" ht="15.5">
      <c r="A88" s="46" t="s">
        <v>869</v>
      </c>
      <c r="B88" s="47" t="s">
        <v>1066</v>
      </c>
      <c r="C88" s="48">
        <v>30</v>
      </c>
      <c r="D88" s="48">
        <v>804</v>
      </c>
      <c r="E88" s="48">
        <v>726</v>
      </c>
      <c r="F88" s="48">
        <v>826</v>
      </c>
      <c r="G88" s="48">
        <v>876</v>
      </c>
    </row>
    <row r="89" spans="1:7" s="42" customFormat="1" ht="15.5">
      <c r="A89" s="46" t="s">
        <v>869</v>
      </c>
      <c r="B89" s="47" t="s">
        <v>1068</v>
      </c>
      <c r="C89" s="48">
        <v>60</v>
      </c>
      <c r="D89" s="48">
        <v>1147</v>
      </c>
      <c r="E89" s="48">
        <v>969</v>
      </c>
      <c r="F89" s="48">
        <v>1088</v>
      </c>
      <c r="G89" s="48">
        <v>1381</v>
      </c>
    </row>
    <row r="90" spans="1:7" s="42" customFormat="1" ht="15.5">
      <c r="A90" s="46" t="s">
        <v>869</v>
      </c>
      <c r="B90" s="47" t="s">
        <v>1070</v>
      </c>
      <c r="C90" s="48">
        <v>290</v>
      </c>
      <c r="D90" s="48">
        <v>1406</v>
      </c>
      <c r="E90" s="48">
        <v>1300</v>
      </c>
      <c r="F90" s="48">
        <v>1400</v>
      </c>
      <c r="G90" s="48">
        <v>1500</v>
      </c>
    </row>
    <row r="91" spans="1:7" s="42" customFormat="1" ht="15.5">
      <c r="A91" s="46" t="s">
        <v>869</v>
      </c>
      <c r="B91" s="47" t="s">
        <v>1071</v>
      </c>
      <c r="C91" s="48">
        <v>580</v>
      </c>
      <c r="D91" s="48">
        <v>1731</v>
      </c>
      <c r="E91" s="48">
        <v>1600</v>
      </c>
      <c r="F91" s="48">
        <v>1700</v>
      </c>
      <c r="G91" s="48">
        <v>1850</v>
      </c>
    </row>
    <row r="92" spans="1:7" s="42" customFormat="1" ht="15.5">
      <c r="A92" s="46" t="s">
        <v>869</v>
      </c>
      <c r="B92" s="47" t="s">
        <v>1072</v>
      </c>
      <c r="C92" s="48">
        <v>330</v>
      </c>
      <c r="D92" s="48">
        <v>2202</v>
      </c>
      <c r="E92" s="48">
        <v>1926</v>
      </c>
      <c r="F92" s="48">
        <v>2150</v>
      </c>
      <c r="G92" s="48">
        <v>2400</v>
      </c>
    </row>
    <row r="93" spans="1:7" s="42" customFormat="1" ht="15.5">
      <c r="A93" s="46" t="s">
        <v>869</v>
      </c>
      <c r="B93" s="47" t="s">
        <v>1073</v>
      </c>
      <c r="C93" s="48">
        <v>160</v>
      </c>
      <c r="D93" s="48">
        <v>2937</v>
      </c>
      <c r="E93" s="48">
        <v>2600</v>
      </c>
      <c r="F93" s="48">
        <v>2800</v>
      </c>
      <c r="G93" s="48">
        <v>3100</v>
      </c>
    </row>
    <row r="94" spans="1:7" s="42" customFormat="1" ht="15.5">
      <c r="A94" s="46" t="s">
        <v>870</v>
      </c>
      <c r="B94" s="47" t="s">
        <v>1066</v>
      </c>
      <c r="C94" s="48">
        <v>10</v>
      </c>
      <c r="D94" s="48">
        <v>797</v>
      </c>
      <c r="E94" s="48" t="s">
        <v>1067</v>
      </c>
      <c r="F94" s="48">
        <v>801</v>
      </c>
      <c r="G94" s="48" t="s">
        <v>1067</v>
      </c>
    </row>
    <row r="95" spans="1:7" s="42" customFormat="1" ht="15.5">
      <c r="A95" s="46" t="s">
        <v>870</v>
      </c>
      <c r="B95" s="47" t="s">
        <v>1068</v>
      </c>
      <c r="C95" s="48">
        <v>10</v>
      </c>
      <c r="D95" s="48">
        <v>968</v>
      </c>
      <c r="E95" s="48">
        <v>888</v>
      </c>
      <c r="F95" s="48">
        <v>973</v>
      </c>
      <c r="G95" s="48">
        <v>1013</v>
      </c>
    </row>
    <row r="96" spans="1:7" s="42" customFormat="1" ht="15.5">
      <c r="A96" s="46" t="s">
        <v>870</v>
      </c>
      <c r="B96" s="47" t="s">
        <v>1070</v>
      </c>
      <c r="C96" s="48">
        <v>260</v>
      </c>
      <c r="D96" s="48">
        <v>1243</v>
      </c>
      <c r="E96" s="48">
        <v>1150</v>
      </c>
      <c r="F96" s="48">
        <v>1250</v>
      </c>
      <c r="G96" s="48">
        <v>1350</v>
      </c>
    </row>
    <row r="97" spans="1:7" s="42" customFormat="1" ht="15.5">
      <c r="A97" s="46" t="s">
        <v>870</v>
      </c>
      <c r="B97" s="47" t="s">
        <v>1071</v>
      </c>
      <c r="C97" s="48">
        <v>390</v>
      </c>
      <c r="D97" s="48">
        <v>1528</v>
      </c>
      <c r="E97" s="48">
        <v>1400</v>
      </c>
      <c r="F97" s="48">
        <v>1550</v>
      </c>
      <c r="G97" s="48">
        <v>1650</v>
      </c>
    </row>
    <row r="98" spans="1:7" s="42" customFormat="1" ht="15.5">
      <c r="A98" s="46" t="s">
        <v>870</v>
      </c>
      <c r="B98" s="47" t="s">
        <v>1072</v>
      </c>
      <c r="C98" s="48">
        <v>270</v>
      </c>
      <c r="D98" s="48">
        <v>1861</v>
      </c>
      <c r="E98" s="48">
        <v>1700</v>
      </c>
      <c r="F98" s="48">
        <v>1850</v>
      </c>
      <c r="G98" s="48">
        <v>2000</v>
      </c>
    </row>
    <row r="99" spans="1:7" s="42" customFormat="1" ht="15.5">
      <c r="A99" s="46" t="s">
        <v>870</v>
      </c>
      <c r="B99" s="47" t="s">
        <v>1073</v>
      </c>
      <c r="C99" s="48">
        <v>70</v>
      </c>
      <c r="D99" s="48">
        <v>2388</v>
      </c>
      <c r="E99" s="48">
        <v>2200</v>
      </c>
      <c r="F99" s="48">
        <v>2400</v>
      </c>
      <c r="G99" s="48">
        <v>2550</v>
      </c>
    </row>
    <row r="100" spans="1:7" s="42" customFormat="1" ht="15.5">
      <c r="A100" s="46" t="s">
        <v>871</v>
      </c>
      <c r="B100" s="47" t="s">
        <v>1066</v>
      </c>
      <c r="C100" s="48">
        <v>30</v>
      </c>
      <c r="D100" s="48">
        <v>648</v>
      </c>
      <c r="E100" s="48">
        <v>558</v>
      </c>
      <c r="F100" s="48">
        <v>650</v>
      </c>
      <c r="G100" s="48">
        <v>764</v>
      </c>
    </row>
    <row r="101" spans="1:7" s="42" customFormat="1" ht="15.5">
      <c r="A101" s="46" t="s">
        <v>871</v>
      </c>
      <c r="B101" s="47" t="s">
        <v>1068</v>
      </c>
      <c r="C101" s="48">
        <v>90</v>
      </c>
      <c r="D101" s="48">
        <v>1059</v>
      </c>
      <c r="E101" s="48">
        <v>950</v>
      </c>
      <c r="F101" s="48">
        <v>1050</v>
      </c>
      <c r="G101" s="48">
        <v>1150</v>
      </c>
    </row>
    <row r="102" spans="1:7" s="42" customFormat="1" ht="15.5">
      <c r="A102" s="46" t="s">
        <v>871</v>
      </c>
      <c r="B102" s="47" t="s">
        <v>1070</v>
      </c>
      <c r="C102" s="48">
        <v>530</v>
      </c>
      <c r="D102" s="48">
        <v>1305</v>
      </c>
      <c r="E102" s="48">
        <v>1200</v>
      </c>
      <c r="F102" s="48">
        <v>1300</v>
      </c>
      <c r="G102" s="48">
        <v>1400</v>
      </c>
    </row>
    <row r="103" spans="1:7" s="42" customFormat="1" ht="15.5">
      <c r="A103" s="46" t="s">
        <v>871</v>
      </c>
      <c r="B103" s="47" t="s">
        <v>1071</v>
      </c>
      <c r="C103" s="48">
        <v>830</v>
      </c>
      <c r="D103" s="48">
        <v>1624</v>
      </c>
      <c r="E103" s="48">
        <v>1478</v>
      </c>
      <c r="F103" s="48">
        <v>1600</v>
      </c>
      <c r="G103" s="48">
        <v>1750</v>
      </c>
    </row>
    <row r="104" spans="1:7" s="42" customFormat="1" ht="15.5">
      <c r="A104" s="46" t="s">
        <v>871</v>
      </c>
      <c r="B104" s="47" t="s">
        <v>1072</v>
      </c>
      <c r="C104" s="48">
        <v>430</v>
      </c>
      <c r="D104" s="48">
        <v>1978</v>
      </c>
      <c r="E104" s="48">
        <v>1750</v>
      </c>
      <c r="F104" s="48">
        <v>1969</v>
      </c>
      <c r="G104" s="48">
        <v>2200</v>
      </c>
    </row>
    <row r="105" spans="1:7" s="42" customFormat="1" ht="15.5">
      <c r="A105" s="46" t="s">
        <v>871</v>
      </c>
      <c r="B105" s="47" t="s">
        <v>1073</v>
      </c>
      <c r="C105" s="48">
        <v>150</v>
      </c>
      <c r="D105" s="48">
        <v>2704</v>
      </c>
      <c r="E105" s="48">
        <v>2150</v>
      </c>
      <c r="F105" s="48">
        <v>2500</v>
      </c>
      <c r="G105" s="48">
        <v>2900</v>
      </c>
    </row>
    <row r="106" spans="1:7" s="42" customFormat="1" ht="15.5">
      <c r="A106" s="46" t="s">
        <v>872</v>
      </c>
      <c r="B106" s="47" t="s">
        <v>1066</v>
      </c>
      <c r="C106" s="48">
        <v>70</v>
      </c>
      <c r="D106" s="48">
        <v>721</v>
      </c>
      <c r="E106" s="48">
        <v>626</v>
      </c>
      <c r="F106" s="48">
        <v>700</v>
      </c>
      <c r="G106" s="48">
        <v>776</v>
      </c>
    </row>
    <row r="107" spans="1:7" s="42" customFormat="1" ht="15.5">
      <c r="A107" s="46" t="s">
        <v>872</v>
      </c>
      <c r="B107" s="47" t="s">
        <v>1068</v>
      </c>
      <c r="C107" s="48">
        <v>30</v>
      </c>
      <c r="D107" s="48">
        <v>1127</v>
      </c>
      <c r="E107" s="48">
        <v>975</v>
      </c>
      <c r="F107" s="48">
        <v>1150</v>
      </c>
      <c r="G107" s="48">
        <v>1250</v>
      </c>
    </row>
    <row r="108" spans="1:7" s="42" customFormat="1" ht="15.5">
      <c r="A108" s="46" t="s">
        <v>872</v>
      </c>
      <c r="B108" s="47" t="s">
        <v>1070</v>
      </c>
      <c r="C108" s="48">
        <v>420</v>
      </c>
      <c r="D108" s="48">
        <v>1509</v>
      </c>
      <c r="E108" s="48">
        <v>1350</v>
      </c>
      <c r="F108" s="48">
        <v>1495</v>
      </c>
      <c r="G108" s="48">
        <v>1700</v>
      </c>
    </row>
    <row r="109" spans="1:7" s="42" customFormat="1" ht="15.5">
      <c r="A109" s="46" t="s">
        <v>872</v>
      </c>
      <c r="B109" s="47" t="s">
        <v>1071</v>
      </c>
      <c r="C109" s="48">
        <v>560</v>
      </c>
      <c r="D109" s="48">
        <v>1900</v>
      </c>
      <c r="E109" s="48">
        <v>1650</v>
      </c>
      <c r="F109" s="48">
        <v>1800</v>
      </c>
      <c r="G109" s="48">
        <v>2050</v>
      </c>
    </row>
    <row r="110" spans="1:7" s="42" customFormat="1" ht="15.5">
      <c r="A110" s="46" t="s">
        <v>872</v>
      </c>
      <c r="B110" s="47" t="s">
        <v>1072</v>
      </c>
      <c r="C110" s="48">
        <v>220</v>
      </c>
      <c r="D110" s="48">
        <v>2385</v>
      </c>
      <c r="E110" s="48">
        <v>2046</v>
      </c>
      <c r="F110" s="48">
        <v>2250</v>
      </c>
      <c r="G110" s="48">
        <v>2500</v>
      </c>
    </row>
    <row r="111" spans="1:7" s="42" customFormat="1" ht="15.5">
      <c r="A111" s="46" t="s">
        <v>872</v>
      </c>
      <c r="B111" s="47" t="s">
        <v>1073</v>
      </c>
      <c r="C111" s="48">
        <v>90</v>
      </c>
      <c r="D111" s="48">
        <v>3463</v>
      </c>
      <c r="E111" s="48">
        <v>2654</v>
      </c>
      <c r="F111" s="48">
        <v>3100</v>
      </c>
      <c r="G111" s="48">
        <v>4000</v>
      </c>
    </row>
    <row r="112" spans="1:7" s="42" customFormat="1" ht="15.5">
      <c r="A112" s="46" t="s">
        <v>873</v>
      </c>
      <c r="B112" s="47" t="s">
        <v>1066</v>
      </c>
      <c r="C112" s="48">
        <v>20</v>
      </c>
      <c r="D112" s="48">
        <v>872</v>
      </c>
      <c r="E112" s="48">
        <v>787</v>
      </c>
      <c r="F112" s="48">
        <v>895</v>
      </c>
      <c r="G112" s="48">
        <v>938</v>
      </c>
    </row>
    <row r="113" spans="1:7" s="42" customFormat="1" ht="15.5">
      <c r="A113" s="46" t="s">
        <v>873</v>
      </c>
      <c r="B113" s="47" t="s">
        <v>1068</v>
      </c>
      <c r="C113" s="48">
        <v>20</v>
      </c>
      <c r="D113" s="48">
        <v>1455</v>
      </c>
      <c r="E113" s="48">
        <v>1296</v>
      </c>
      <c r="F113" s="48">
        <v>1400</v>
      </c>
      <c r="G113" s="48">
        <v>1538</v>
      </c>
    </row>
    <row r="114" spans="1:7" s="42" customFormat="1" ht="15.5">
      <c r="A114" s="46" t="s">
        <v>873</v>
      </c>
      <c r="B114" s="47" t="s">
        <v>1070</v>
      </c>
      <c r="C114" s="48">
        <v>470</v>
      </c>
      <c r="D114" s="48">
        <v>2027</v>
      </c>
      <c r="E114" s="48">
        <v>1750</v>
      </c>
      <c r="F114" s="48">
        <v>2000</v>
      </c>
      <c r="G114" s="48">
        <v>2250</v>
      </c>
    </row>
    <row r="115" spans="1:7" s="42" customFormat="1" ht="15.5">
      <c r="A115" s="46" t="s">
        <v>873</v>
      </c>
      <c r="B115" s="47" t="s">
        <v>1071</v>
      </c>
      <c r="C115" s="48">
        <v>480</v>
      </c>
      <c r="D115" s="48">
        <v>2617</v>
      </c>
      <c r="E115" s="48">
        <v>2200</v>
      </c>
      <c r="F115" s="48">
        <v>2525</v>
      </c>
      <c r="G115" s="48">
        <v>3000</v>
      </c>
    </row>
    <row r="116" spans="1:7" s="42" customFormat="1" ht="15.5">
      <c r="A116" s="46" t="s">
        <v>873</v>
      </c>
      <c r="B116" s="47" t="s">
        <v>1072</v>
      </c>
      <c r="C116" s="48">
        <v>160</v>
      </c>
      <c r="D116" s="48">
        <v>3222</v>
      </c>
      <c r="E116" s="48">
        <v>2450</v>
      </c>
      <c r="F116" s="48">
        <v>3100</v>
      </c>
      <c r="G116" s="48">
        <v>3688</v>
      </c>
    </row>
    <row r="117" spans="1:7" s="42" customFormat="1" ht="15.5">
      <c r="A117" s="46" t="s">
        <v>873</v>
      </c>
      <c r="B117" s="47" t="s">
        <v>1073</v>
      </c>
      <c r="C117" s="48">
        <v>70</v>
      </c>
      <c r="D117" s="48">
        <v>4682</v>
      </c>
      <c r="E117" s="48">
        <v>3700</v>
      </c>
      <c r="F117" s="48">
        <v>4500</v>
      </c>
      <c r="G117" s="48">
        <v>5275</v>
      </c>
    </row>
    <row r="118" spans="1:7" s="42" customFormat="1" ht="15.5">
      <c r="A118" s="46" t="s">
        <v>911</v>
      </c>
      <c r="B118" s="47" t="s">
        <v>1066</v>
      </c>
      <c r="C118" s="48">
        <v>20</v>
      </c>
      <c r="D118" s="48">
        <v>1124</v>
      </c>
      <c r="E118" s="48">
        <v>964</v>
      </c>
      <c r="F118" s="48">
        <v>1177</v>
      </c>
      <c r="G118" s="48">
        <v>1235</v>
      </c>
    </row>
    <row r="119" spans="1:7" s="42" customFormat="1" ht="15.5">
      <c r="A119" s="46" t="s">
        <v>911</v>
      </c>
      <c r="B119" s="47" t="s">
        <v>1068</v>
      </c>
      <c r="C119" s="48">
        <v>370</v>
      </c>
      <c r="D119" s="48">
        <v>1653</v>
      </c>
      <c r="E119" s="48">
        <v>1487</v>
      </c>
      <c r="F119" s="48">
        <v>1603</v>
      </c>
      <c r="G119" s="48">
        <v>1800</v>
      </c>
    </row>
    <row r="120" spans="1:7" s="42" customFormat="1" ht="15.5">
      <c r="A120" s="46" t="s">
        <v>911</v>
      </c>
      <c r="B120" s="47" t="s">
        <v>1070</v>
      </c>
      <c r="C120" s="48">
        <v>650</v>
      </c>
      <c r="D120" s="48">
        <v>2609</v>
      </c>
      <c r="E120" s="48">
        <v>2100</v>
      </c>
      <c r="F120" s="48">
        <v>2396</v>
      </c>
      <c r="G120" s="48">
        <v>2925</v>
      </c>
    </row>
    <row r="121" spans="1:7" s="42" customFormat="1" ht="15.5">
      <c r="A121" s="46" t="s">
        <v>911</v>
      </c>
      <c r="B121" s="47" t="s">
        <v>1071</v>
      </c>
      <c r="C121" s="48">
        <v>880</v>
      </c>
      <c r="D121" s="48">
        <v>3628</v>
      </c>
      <c r="E121" s="48">
        <v>2900</v>
      </c>
      <c r="F121" s="48">
        <v>3358</v>
      </c>
      <c r="G121" s="48">
        <v>4117</v>
      </c>
    </row>
    <row r="122" spans="1:7" s="42" customFormat="1" ht="15.5">
      <c r="A122" s="46" t="s">
        <v>911</v>
      </c>
      <c r="B122" s="47" t="s">
        <v>1072</v>
      </c>
      <c r="C122" s="48">
        <v>280</v>
      </c>
      <c r="D122" s="48">
        <v>5746</v>
      </c>
      <c r="E122" s="48">
        <v>4190</v>
      </c>
      <c r="F122" s="48">
        <v>5688</v>
      </c>
      <c r="G122" s="48">
        <v>6933</v>
      </c>
    </row>
    <row r="123" spans="1:7" s="42" customFormat="1" ht="15.5">
      <c r="A123" s="46" t="s">
        <v>911</v>
      </c>
      <c r="B123" s="47" t="s">
        <v>1073</v>
      </c>
      <c r="C123" s="48">
        <v>100</v>
      </c>
      <c r="D123" s="48">
        <v>8362</v>
      </c>
      <c r="E123" s="48">
        <v>6500</v>
      </c>
      <c r="F123" s="48">
        <v>8000</v>
      </c>
      <c r="G123" s="48">
        <v>10272</v>
      </c>
    </row>
    <row r="124" spans="1:7" s="42" customFormat="1" ht="15.5">
      <c r="A124" s="46" t="s">
        <v>913</v>
      </c>
      <c r="B124" s="47" t="s">
        <v>1066</v>
      </c>
      <c r="C124" s="48">
        <v>40</v>
      </c>
      <c r="D124" s="48">
        <v>797</v>
      </c>
      <c r="E124" s="48">
        <v>658</v>
      </c>
      <c r="F124" s="48">
        <v>757</v>
      </c>
      <c r="G124" s="48">
        <v>928</v>
      </c>
    </row>
    <row r="125" spans="1:7" s="42" customFormat="1" ht="15.5">
      <c r="A125" s="46" t="s">
        <v>913</v>
      </c>
      <c r="B125" s="47" t="s">
        <v>1068</v>
      </c>
      <c r="C125" s="48">
        <v>10</v>
      </c>
      <c r="D125" s="48">
        <v>1167</v>
      </c>
      <c r="E125" s="48">
        <v>1025</v>
      </c>
      <c r="F125" s="48">
        <v>1075</v>
      </c>
      <c r="G125" s="48">
        <v>1325</v>
      </c>
    </row>
    <row r="126" spans="1:7" s="42" customFormat="1" ht="15.5">
      <c r="A126" s="46" t="s">
        <v>913</v>
      </c>
      <c r="B126" s="47" t="s">
        <v>1070</v>
      </c>
      <c r="C126" s="48">
        <v>240</v>
      </c>
      <c r="D126" s="48">
        <v>1425</v>
      </c>
      <c r="E126" s="48">
        <v>1299</v>
      </c>
      <c r="F126" s="48">
        <v>1400</v>
      </c>
      <c r="G126" s="48">
        <v>1500</v>
      </c>
    </row>
    <row r="127" spans="1:7" s="42" customFormat="1" ht="15.5">
      <c r="A127" s="46" t="s">
        <v>913</v>
      </c>
      <c r="B127" s="47" t="s">
        <v>1071</v>
      </c>
      <c r="C127" s="48">
        <v>350</v>
      </c>
      <c r="D127" s="48">
        <v>1769</v>
      </c>
      <c r="E127" s="48">
        <v>1570</v>
      </c>
      <c r="F127" s="48">
        <v>1750</v>
      </c>
      <c r="G127" s="48">
        <v>1995</v>
      </c>
    </row>
    <row r="128" spans="1:7" s="42" customFormat="1" ht="15.5">
      <c r="A128" s="46" t="s">
        <v>913</v>
      </c>
      <c r="B128" s="47" t="s">
        <v>1072</v>
      </c>
      <c r="C128" s="48">
        <v>160</v>
      </c>
      <c r="D128" s="48">
        <v>2414</v>
      </c>
      <c r="E128" s="48">
        <v>2000</v>
      </c>
      <c r="F128" s="48">
        <v>2322</v>
      </c>
      <c r="G128" s="48">
        <v>2750</v>
      </c>
    </row>
    <row r="129" spans="1:7" s="42" customFormat="1" ht="15.5">
      <c r="A129" s="46" t="s">
        <v>913</v>
      </c>
      <c r="B129" s="47" t="s">
        <v>1073</v>
      </c>
      <c r="C129" s="48">
        <v>60</v>
      </c>
      <c r="D129" s="48">
        <v>3331</v>
      </c>
      <c r="E129" s="48">
        <v>2519</v>
      </c>
      <c r="F129" s="48">
        <v>3000</v>
      </c>
      <c r="G129" s="48">
        <v>3300</v>
      </c>
    </row>
    <row r="130" spans="1:7" s="42" customFormat="1" ht="15.5">
      <c r="A130" s="46" t="s">
        <v>876</v>
      </c>
      <c r="B130" s="47" t="s">
        <v>1066</v>
      </c>
      <c r="C130" s="48">
        <v>10</v>
      </c>
      <c r="D130" s="48">
        <v>822</v>
      </c>
      <c r="E130" s="48" t="s">
        <v>1067</v>
      </c>
      <c r="F130" s="48">
        <v>830</v>
      </c>
      <c r="G130" s="48" t="s">
        <v>1067</v>
      </c>
    </row>
    <row r="131" spans="1:7" s="42" customFormat="1" ht="15.5">
      <c r="A131" s="46" t="s">
        <v>876</v>
      </c>
      <c r="B131" s="47" t="s">
        <v>1068</v>
      </c>
      <c r="C131" s="48">
        <v>60</v>
      </c>
      <c r="D131" s="48">
        <v>1470</v>
      </c>
      <c r="E131" s="48">
        <v>1113</v>
      </c>
      <c r="F131" s="48">
        <v>1375</v>
      </c>
      <c r="G131" s="48">
        <v>1894</v>
      </c>
    </row>
    <row r="132" spans="1:7" s="42" customFormat="1" ht="15.5">
      <c r="A132" s="46" t="s">
        <v>876</v>
      </c>
      <c r="B132" s="47" t="s">
        <v>1070</v>
      </c>
      <c r="C132" s="48">
        <v>540</v>
      </c>
      <c r="D132" s="48">
        <v>1866</v>
      </c>
      <c r="E132" s="48">
        <v>1575</v>
      </c>
      <c r="F132" s="48">
        <v>1800</v>
      </c>
      <c r="G132" s="48">
        <v>2113</v>
      </c>
    </row>
    <row r="133" spans="1:7" s="42" customFormat="1" ht="15.5">
      <c r="A133" s="46" t="s">
        <v>876</v>
      </c>
      <c r="B133" s="47" t="s">
        <v>1071</v>
      </c>
      <c r="C133" s="48">
        <v>750</v>
      </c>
      <c r="D133" s="48">
        <v>2372</v>
      </c>
      <c r="E133" s="48">
        <v>1900</v>
      </c>
      <c r="F133" s="48">
        <v>2205</v>
      </c>
      <c r="G133" s="48">
        <v>2700</v>
      </c>
    </row>
    <row r="134" spans="1:7" s="42" customFormat="1" ht="15.5">
      <c r="A134" s="46" t="s">
        <v>876</v>
      </c>
      <c r="B134" s="47" t="s">
        <v>1072</v>
      </c>
      <c r="C134" s="48">
        <v>320</v>
      </c>
      <c r="D134" s="48">
        <v>2965</v>
      </c>
      <c r="E134" s="48">
        <v>2450</v>
      </c>
      <c r="F134" s="48">
        <v>2850</v>
      </c>
      <c r="G134" s="48">
        <v>3347</v>
      </c>
    </row>
    <row r="135" spans="1:7" s="42" customFormat="1" ht="15.5">
      <c r="A135" s="46" t="s">
        <v>876</v>
      </c>
      <c r="B135" s="47" t="s">
        <v>1073</v>
      </c>
      <c r="C135" s="48">
        <v>130</v>
      </c>
      <c r="D135" s="48">
        <v>4047</v>
      </c>
      <c r="E135" s="48">
        <v>3150</v>
      </c>
      <c r="F135" s="48">
        <v>3750</v>
      </c>
      <c r="G135" s="48">
        <v>4600</v>
      </c>
    </row>
    <row r="136" spans="1:7" s="42" customFormat="1" ht="15.5">
      <c r="A136" s="46" t="s">
        <v>877</v>
      </c>
      <c r="B136" s="47" t="s">
        <v>1066</v>
      </c>
      <c r="C136" s="48">
        <v>120</v>
      </c>
      <c r="D136" s="48">
        <v>816</v>
      </c>
      <c r="E136" s="48">
        <v>724</v>
      </c>
      <c r="F136" s="48">
        <v>821</v>
      </c>
      <c r="G136" s="48">
        <v>894</v>
      </c>
    </row>
    <row r="137" spans="1:7" s="42" customFormat="1" ht="15.5">
      <c r="A137" s="46" t="s">
        <v>877</v>
      </c>
      <c r="B137" s="47" t="s">
        <v>1068</v>
      </c>
      <c r="C137" s="48">
        <v>140</v>
      </c>
      <c r="D137" s="48">
        <v>1164</v>
      </c>
      <c r="E137" s="48">
        <v>1050</v>
      </c>
      <c r="F137" s="48">
        <v>1150</v>
      </c>
      <c r="G137" s="48">
        <v>1300</v>
      </c>
    </row>
    <row r="138" spans="1:7" s="42" customFormat="1" ht="15.5">
      <c r="A138" s="46" t="s">
        <v>877</v>
      </c>
      <c r="B138" s="47" t="s">
        <v>1070</v>
      </c>
      <c r="C138" s="48">
        <v>900</v>
      </c>
      <c r="D138" s="48">
        <v>1459</v>
      </c>
      <c r="E138" s="48">
        <v>1300</v>
      </c>
      <c r="F138" s="48">
        <v>1450</v>
      </c>
      <c r="G138" s="48">
        <v>1600</v>
      </c>
    </row>
    <row r="139" spans="1:7" s="42" customFormat="1" ht="15.5">
      <c r="A139" s="46" t="s">
        <v>877</v>
      </c>
      <c r="B139" s="47" t="s">
        <v>1071</v>
      </c>
      <c r="C139" s="48">
        <v>1130</v>
      </c>
      <c r="D139" s="48">
        <v>1784</v>
      </c>
      <c r="E139" s="48">
        <v>1600</v>
      </c>
      <c r="F139" s="48">
        <v>1750</v>
      </c>
      <c r="G139" s="48">
        <v>1950</v>
      </c>
    </row>
    <row r="140" spans="1:7" s="42" customFormat="1" ht="15.5">
      <c r="A140" s="46" t="s">
        <v>877</v>
      </c>
      <c r="B140" s="47" t="s">
        <v>1072</v>
      </c>
      <c r="C140" s="48">
        <v>400</v>
      </c>
      <c r="D140" s="48">
        <v>2263</v>
      </c>
      <c r="E140" s="48">
        <v>1900</v>
      </c>
      <c r="F140" s="48">
        <v>2200</v>
      </c>
      <c r="G140" s="48">
        <v>2575</v>
      </c>
    </row>
    <row r="141" spans="1:7" s="42" customFormat="1" ht="15.5">
      <c r="A141" s="46" t="s">
        <v>877</v>
      </c>
      <c r="B141" s="47" t="s">
        <v>1073</v>
      </c>
      <c r="C141" s="48">
        <v>140</v>
      </c>
      <c r="D141" s="48">
        <v>2952</v>
      </c>
      <c r="E141" s="48">
        <v>2500</v>
      </c>
      <c r="F141" s="48">
        <v>2900</v>
      </c>
      <c r="G141" s="48">
        <v>3375</v>
      </c>
    </row>
    <row r="142" spans="1:7" s="42" customFormat="1" ht="15.5">
      <c r="A142" s="46" t="s">
        <v>878</v>
      </c>
      <c r="B142" s="47" t="s">
        <v>1066</v>
      </c>
      <c r="C142" s="48">
        <v>40</v>
      </c>
      <c r="D142" s="48">
        <v>829</v>
      </c>
      <c r="E142" s="48">
        <v>749</v>
      </c>
      <c r="F142" s="48">
        <v>824</v>
      </c>
      <c r="G142" s="48">
        <v>923</v>
      </c>
    </row>
    <row r="143" spans="1:7" s="42" customFormat="1" ht="15.5">
      <c r="A143" s="46" t="s">
        <v>878</v>
      </c>
      <c r="B143" s="47" t="s">
        <v>1068</v>
      </c>
      <c r="C143" s="48">
        <v>10</v>
      </c>
      <c r="D143" s="48">
        <v>1333</v>
      </c>
      <c r="E143" s="48">
        <v>1313</v>
      </c>
      <c r="F143" s="48">
        <v>1388</v>
      </c>
      <c r="G143" s="48">
        <v>1400</v>
      </c>
    </row>
    <row r="144" spans="1:7" s="42" customFormat="1" ht="15.5">
      <c r="A144" s="46" t="s">
        <v>878</v>
      </c>
      <c r="B144" s="47" t="s">
        <v>1070</v>
      </c>
      <c r="C144" s="48">
        <v>230</v>
      </c>
      <c r="D144" s="48">
        <v>1551</v>
      </c>
      <c r="E144" s="48">
        <v>1350</v>
      </c>
      <c r="F144" s="48">
        <v>1500</v>
      </c>
      <c r="G144" s="48">
        <v>1700</v>
      </c>
    </row>
    <row r="145" spans="1:16" s="42" customFormat="1" ht="15.5">
      <c r="A145" s="46" t="s">
        <v>878</v>
      </c>
      <c r="B145" s="47" t="s">
        <v>1071</v>
      </c>
      <c r="C145" s="48">
        <v>560</v>
      </c>
      <c r="D145" s="48">
        <v>1832</v>
      </c>
      <c r="E145" s="48">
        <v>1450</v>
      </c>
      <c r="F145" s="48">
        <v>1750</v>
      </c>
      <c r="G145" s="48">
        <v>2085</v>
      </c>
    </row>
    <row r="146" spans="1:16" s="42" customFormat="1" ht="15.5">
      <c r="A146" s="46" t="s">
        <v>878</v>
      </c>
      <c r="B146" s="47" t="s">
        <v>1072</v>
      </c>
      <c r="C146" s="48">
        <v>260</v>
      </c>
      <c r="D146" s="48">
        <v>2605</v>
      </c>
      <c r="E146" s="48">
        <v>2100</v>
      </c>
      <c r="F146" s="48">
        <v>2450</v>
      </c>
      <c r="G146" s="48">
        <v>3000</v>
      </c>
    </row>
    <row r="147" spans="1:16" s="42" customFormat="1" ht="15.5">
      <c r="A147" s="46" t="s">
        <v>878</v>
      </c>
      <c r="B147" s="47" t="s">
        <v>1073</v>
      </c>
      <c r="C147" s="48">
        <v>90</v>
      </c>
      <c r="D147" s="48">
        <v>3722</v>
      </c>
      <c r="E147" s="48">
        <v>2750</v>
      </c>
      <c r="F147" s="48">
        <v>3350</v>
      </c>
      <c r="G147" s="48">
        <v>4250</v>
      </c>
    </row>
    <row r="148" spans="1:16" s="42" customFormat="1" ht="15.5">
      <c r="A148" s="46" t="s">
        <v>879</v>
      </c>
      <c r="B148" s="47" t="s">
        <v>1066</v>
      </c>
      <c r="C148" s="48">
        <v>90</v>
      </c>
      <c r="D148" s="48">
        <v>701</v>
      </c>
      <c r="E148" s="48">
        <v>576</v>
      </c>
      <c r="F148" s="48">
        <v>701</v>
      </c>
      <c r="G148" s="48">
        <v>808</v>
      </c>
    </row>
    <row r="149" spans="1:16" s="42" customFormat="1" ht="15.5">
      <c r="A149" s="46" t="s">
        <v>879</v>
      </c>
      <c r="B149" s="47" t="s">
        <v>1068</v>
      </c>
      <c r="C149" s="48">
        <v>70</v>
      </c>
      <c r="D149" s="48">
        <v>1292</v>
      </c>
      <c r="E149" s="48">
        <v>1056</v>
      </c>
      <c r="F149" s="48">
        <v>1380</v>
      </c>
      <c r="G149" s="48">
        <v>1450</v>
      </c>
    </row>
    <row r="150" spans="1:16" s="42" customFormat="1" ht="15.5">
      <c r="A150" s="46" t="s">
        <v>879</v>
      </c>
      <c r="B150" s="47" t="s">
        <v>1070</v>
      </c>
      <c r="C150" s="48">
        <v>900</v>
      </c>
      <c r="D150" s="48">
        <v>1611</v>
      </c>
      <c r="E150" s="48">
        <v>1500</v>
      </c>
      <c r="F150" s="48">
        <v>1650</v>
      </c>
      <c r="G150" s="48">
        <v>1750</v>
      </c>
    </row>
    <row r="151" spans="1:16" s="42" customFormat="1" ht="15.5">
      <c r="A151" s="46" t="s">
        <v>879</v>
      </c>
      <c r="B151" s="47" t="s">
        <v>1071</v>
      </c>
      <c r="C151" s="48">
        <v>1060</v>
      </c>
      <c r="D151" s="48">
        <v>1944</v>
      </c>
      <c r="E151" s="48">
        <v>1700</v>
      </c>
      <c r="F151" s="48">
        <v>1950</v>
      </c>
      <c r="G151" s="48">
        <v>2200</v>
      </c>
    </row>
    <row r="152" spans="1:16" s="42" customFormat="1" ht="15.5">
      <c r="A152" s="46" t="s">
        <v>879</v>
      </c>
      <c r="B152" s="47" t="s">
        <v>1072</v>
      </c>
      <c r="C152" s="48">
        <v>480</v>
      </c>
      <c r="D152" s="48">
        <v>2235</v>
      </c>
      <c r="E152" s="48">
        <v>1850</v>
      </c>
      <c r="F152" s="48">
        <v>2200</v>
      </c>
      <c r="G152" s="48">
        <v>2500</v>
      </c>
    </row>
    <row r="153" spans="1:16" s="42" customFormat="1" ht="15.5">
      <c r="A153" s="46" t="s">
        <v>879</v>
      </c>
      <c r="B153" s="47" t="s">
        <v>1073</v>
      </c>
      <c r="C153" s="48">
        <v>100</v>
      </c>
      <c r="D153" s="48">
        <v>2657</v>
      </c>
      <c r="E153" s="48">
        <v>2300</v>
      </c>
      <c r="F153" s="48">
        <v>2525</v>
      </c>
      <c r="G153" s="48">
        <v>3000</v>
      </c>
    </row>
    <row r="154" spans="1:16" s="42" customFormat="1" ht="15.5">
      <c r="A154" s="46" t="s">
        <v>880</v>
      </c>
      <c r="B154" s="47" t="s">
        <v>1066</v>
      </c>
      <c r="C154" s="48">
        <v>20</v>
      </c>
      <c r="D154" s="48">
        <v>828</v>
      </c>
      <c r="E154" s="48">
        <v>724</v>
      </c>
      <c r="F154" s="48">
        <v>876</v>
      </c>
      <c r="G154" s="48">
        <v>924</v>
      </c>
      <c r="H154" s="41"/>
      <c r="I154" s="41"/>
      <c r="J154" s="41"/>
      <c r="K154" s="41"/>
      <c r="L154" s="41"/>
      <c r="M154" s="41"/>
      <c r="N154" s="41"/>
      <c r="O154" s="41"/>
      <c r="P154" s="41"/>
    </row>
    <row r="155" spans="1:16" s="42" customFormat="1" ht="15.5">
      <c r="A155" s="46" t="s">
        <v>880</v>
      </c>
      <c r="B155" s="47" t="s">
        <v>1068</v>
      </c>
      <c r="C155" s="48">
        <v>20</v>
      </c>
      <c r="D155" s="48">
        <v>986</v>
      </c>
      <c r="E155" s="48">
        <v>844</v>
      </c>
      <c r="F155" s="48">
        <v>998</v>
      </c>
      <c r="G155" s="48">
        <v>1156</v>
      </c>
      <c r="H155" s="41"/>
      <c r="I155" s="41"/>
      <c r="J155" s="41"/>
      <c r="K155" s="41"/>
      <c r="L155" s="41"/>
      <c r="M155" s="41"/>
      <c r="N155" s="41"/>
      <c r="O155" s="41"/>
      <c r="P155" s="41"/>
    </row>
    <row r="156" spans="1:16" s="42" customFormat="1" ht="15.5">
      <c r="A156" s="46" t="s">
        <v>880</v>
      </c>
      <c r="B156" s="47" t="s">
        <v>1070</v>
      </c>
      <c r="C156" s="48">
        <v>340</v>
      </c>
      <c r="D156" s="48">
        <v>1373</v>
      </c>
      <c r="E156" s="48">
        <v>1250</v>
      </c>
      <c r="F156" s="48">
        <v>1375</v>
      </c>
      <c r="G156" s="48">
        <v>1500</v>
      </c>
      <c r="H156" s="41"/>
      <c r="I156" s="41"/>
      <c r="J156" s="41"/>
      <c r="K156" s="41"/>
      <c r="L156" s="41"/>
      <c r="M156" s="41"/>
      <c r="N156" s="41"/>
      <c r="O156" s="41"/>
      <c r="P156" s="41"/>
    </row>
    <row r="157" spans="1:16" s="42" customFormat="1" ht="15.5">
      <c r="A157" s="46" t="s">
        <v>880</v>
      </c>
      <c r="B157" s="47" t="s">
        <v>1071</v>
      </c>
      <c r="C157" s="48">
        <v>630</v>
      </c>
      <c r="D157" s="48">
        <v>1721</v>
      </c>
      <c r="E157" s="48">
        <v>1500</v>
      </c>
      <c r="F157" s="48">
        <v>1700</v>
      </c>
      <c r="G157" s="48">
        <v>1931</v>
      </c>
      <c r="H157" s="41"/>
      <c r="I157" s="41"/>
      <c r="J157" s="41"/>
      <c r="K157" s="41"/>
      <c r="L157" s="41"/>
      <c r="M157" s="41"/>
      <c r="N157" s="41"/>
      <c r="O157" s="41"/>
      <c r="P157" s="41"/>
    </row>
    <row r="158" spans="1:16" s="42" customFormat="1" ht="15.5">
      <c r="A158" s="46" t="s">
        <v>880</v>
      </c>
      <c r="B158" s="47" t="s">
        <v>1072</v>
      </c>
      <c r="C158" s="48">
        <v>310</v>
      </c>
      <c r="D158" s="48">
        <v>2094</v>
      </c>
      <c r="E158" s="48">
        <v>1850</v>
      </c>
      <c r="F158" s="48">
        <v>2100</v>
      </c>
      <c r="G158" s="48">
        <v>2300</v>
      </c>
      <c r="H158" s="41"/>
      <c r="I158" s="41"/>
      <c r="J158" s="41"/>
      <c r="K158" s="41"/>
      <c r="L158" s="41"/>
      <c r="M158" s="41"/>
      <c r="N158" s="41"/>
      <c r="O158" s="41"/>
      <c r="P158" s="41"/>
    </row>
    <row r="159" spans="1:16" s="42" customFormat="1" ht="15.5">
      <c r="A159" s="46" t="s">
        <v>880</v>
      </c>
      <c r="B159" s="47" t="s">
        <v>1073</v>
      </c>
      <c r="C159" s="48">
        <v>110</v>
      </c>
      <c r="D159" s="48">
        <v>2690</v>
      </c>
      <c r="E159" s="48">
        <v>2300</v>
      </c>
      <c r="F159" s="48">
        <v>2600</v>
      </c>
      <c r="G159" s="48">
        <v>2900</v>
      </c>
      <c r="H159" s="41"/>
      <c r="I159" s="41"/>
      <c r="J159" s="41"/>
      <c r="K159" s="41"/>
      <c r="L159" s="41"/>
      <c r="M159" s="41"/>
      <c r="N159" s="41"/>
      <c r="O159" s="41"/>
      <c r="P159" s="41"/>
    </row>
    <row r="160" spans="1:16" s="42" customFormat="1" ht="15.5">
      <c r="A160" s="46" t="s">
        <v>920</v>
      </c>
      <c r="B160" s="47" t="s">
        <v>1066</v>
      </c>
      <c r="C160" s="48">
        <v>10</v>
      </c>
      <c r="D160" s="48">
        <v>679</v>
      </c>
      <c r="E160" s="48">
        <v>626</v>
      </c>
      <c r="F160" s="48">
        <v>725</v>
      </c>
      <c r="G160" s="48">
        <v>726</v>
      </c>
      <c r="H160" s="41"/>
      <c r="I160" s="41"/>
      <c r="J160" s="41"/>
      <c r="K160" s="41"/>
      <c r="L160" s="41"/>
      <c r="M160" s="41"/>
      <c r="N160" s="41"/>
      <c r="O160" s="41"/>
      <c r="P160" s="41"/>
    </row>
    <row r="161" spans="1:16" s="42" customFormat="1" ht="15.5">
      <c r="A161" s="46" t="s">
        <v>920</v>
      </c>
      <c r="B161" s="47" t="s">
        <v>1068</v>
      </c>
      <c r="C161" s="48">
        <v>10</v>
      </c>
      <c r="D161" s="48">
        <v>1239</v>
      </c>
      <c r="E161" s="48">
        <v>1106</v>
      </c>
      <c r="F161" s="48">
        <v>1175</v>
      </c>
      <c r="G161" s="48">
        <v>1396</v>
      </c>
      <c r="H161" s="41"/>
      <c r="I161" s="41"/>
      <c r="J161" s="41"/>
      <c r="K161" s="41"/>
      <c r="L161" s="41"/>
      <c r="M161" s="41"/>
      <c r="N161" s="41"/>
      <c r="O161" s="41"/>
      <c r="P161" s="41"/>
    </row>
    <row r="162" spans="1:16" s="42" customFormat="1" ht="15.5">
      <c r="A162" s="46" t="s">
        <v>920</v>
      </c>
      <c r="B162" s="47" t="s">
        <v>1070</v>
      </c>
      <c r="C162" s="48">
        <v>220</v>
      </c>
      <c r="D162" s="48">
        <v>1622</v>
      </c>
      <c r="E162" s="48">
        <v>1400</v>
      </c>
      <c r="F162" s="48">
        <v>1571</v>
      </c>
      <c r="G162" s="48">
        <v>1750</v>
      </c>
      <c r="H162" s="41"/>
      <c r="I162" s="41"/>
      <c r="J162" s="41"/>
      <c r="K162" s="41"/>
      <c r="L162" s="41"/>
      <c r="M162" s="41"/>
      <c r="N162" s="41"/>
      <c r="O162" s="41"/>
      <c r="P162" s="41"/>
    </row>
    <row r="163" spans="1:16" s="42" customFormat="1" ht="15.5">
      <c r="A163" s="46" t="s">
        <v>920</v>
      </c>
      <c r="B163" s="47" t="s">
        <v>1071</v>
      </c>
      <c r="C163" s="48">
        <v>320</v>
      </c>
      <c r="D163" s="48">
        <v>2229</v>
      </c>
      <c r="E163" s="48">
        <v>1800</v>
      </c>
      <c r="F163" s="48">
        <v>2100</v>
      </c>
      <c r="G163" s="48">
        <v>2500</v>
      </c>
      <c r="H163" s="41"/>
      <c r="I163" s="41"/>
      <c r="J163" s="41"/>
      <c r="K163" s="41"/>
      <c r="L163" s="41"/>
      <c r="M163" s="41"/>
      <c r="N163" s="41"/>
      <c r="O163" s="41"/>
      <c r="P163" s="41"/>
    </row>
    <row r="164" spans="1:16" s="42" customFormat="1" ht="15.5">
      <c r="A164" s="46" t="s">
        <v>920</v>
      </c>
      <c r="B164" s="47" t="s">
        <v>1072</v>
      </c>
      <c r="C164" s="48">
        <v>140</v>
      </c>
      <c r="D164" s="48">
        <v>2970</v>
      </c>
      <c r="E164" s="48">
        <v>2335</v>
      </c>
      <c r="F164" s="48">
        <v>2700</v>
      </c>
      <c r="G164" s="48">
        <v>3365</v>
      </c>
      <c r="H164" s="41"/>
      <c r="I164" s="41"/>
      <c r="J164" s="41"/>
      <c r="K164" s="41"/>
      <c r="L164" s="41"/>
      <c r="M164" s="41"/>
      <c r="N164" s="41"/>
      <c r="O164" s="41"/>
      <c r="P164" s="41"/>
    </row>
    <row r="165" spans="1:16" s="42" customFormat="1" ht="15.5">
      <c r="A165" s="46" t="s">
        <v>920</v>
      </c>
      <c r="B165" s="47" t="s">
        <v>1073</v>
      </c>
      <c r="C165" s="48">
        <v>80</v>
      </c>
      <c r="D165" s="48">
        <v>4277</v>
      </c>
      <c r="E165" s="48">
        <v>3300</v>
      </c>
      <c r="F165" s="48">
        <v>3850</v>
      </c>
      <c r="G165" s="48">
        <v>4995</v>
      </c>
      <c r="H165" s="41"/>
      <c r="I165" s="41"/>
      <c r="J165" s="41"/>
      <c r="K165" s="41"/>
      <c r="L165" s="41"/>
      <c r="M165" s="41"/>
      <c r="N165" s="41"/>
      <c r="O165" s="41"/>
      <c r="P165" s="41"/>
    </row>
    <row r="166" spans="1:16" s="42" customFormat="1" ht="15.5">
      <c r="A166" s="46" t="s">
        <v>882</v>
      </c>
      <c r="B166" s="47" t="s">
        <v>1066</v>
      </c>
      <c r="C166" s="48">
        <v>60</v>
      </c>
      <c r="D166" s="48">
        <v>883</v>
      </c>
      <c r="E166" s="48">
        <v>775</v>
      </c>
      <c r="F166" s="48">
        <v>875</v>
      </c>
      <c r="G166" s="48">
        <v>996</v>
      </c>
      <c r="H166" s="41"/>
      <c r="I166" s="41"/>
      <c r="J166" s="41"/>
      <c r="K166" s="41"/>
      <c r="L166" s="41"/>
      <c r="M166" s="41"/>
      <c r="N166" s="41"/>
      <c r="O166" s="41"/>
      <c r="P166" s="41"/>
    </row>
    <row r="167" spans="1:16" s="42" customFormat="1" ht="15.5">
      <c r="A167" s="46" t="s">
        <v>882</v>
      </c>
      <c r="B167" s="47" t="s">
        <v>1068</v>
      </c>
      <c r="C167" s="48">
        <v>50</v>
      </c>
      <c r="D167" s="48">
        <v>1421</v>
      </c>
      <c r="E167" s="48">
        <v>1250</v>
      </c>
      <c r="F167" s="48">
        <v>1400</v>
      </c>
      <c r="G167" s="48">
        <v>1600</v>
      </c>
      <c r="H167" s="41"/>
      <c r="I167" s="41"/>
      <c r="J167" s="41"/>
      <c r="K167" s="41"/>
      <c r="L167" s="41"/>
      <c r="M167" s="41"/>
      <c r="N167" s="41"/>
      <c r="O167" s="41"/>
      <c r="P167" s="41"/>
    </row>
    <row r="168" spans="1:16" s="42" customFormat="1" ht="15.5">
      <c r="A168" s="46" t="s">
        <v>882</v>
      </c>
      <c r="B168" s="47" t="s">
        <v>1070</v>
      </c>
      <c r="C168" s="48">
        <v>1040</v>
      </c>
      <c r="D168" s="48">
        <v>1786</v>
      </c>
      <c r="E168" s="48">
        <v>1500</v>
      </c>
      <c r="F168" s="48">
        <v>1725</v>
      </c>
      <c r="G168" s="48">
        <v>2000</v>
      </c>
      <c r="H168" s="41"/>
      <c r="I168" s="41"/>
      <c r="J168" s="41"/>
      <c r="K168" s="41"/>
      <c r="L168" s="41"/>
      <c r="M168" s="41"/>
      <c r="N168" s="41"/>
      <c r="O168" s="41"/>
      <c r="P168" s="41"/>
    </row>
    <row r="169" spans="1:16" s="42" customFormat="1" ht="15.5">
      <c r="A169" s="46" t="s">
        <v>882</v>
      </c>
      <c r="B169" s="47" t="s">
        <v>1071</v>
      </c>
      <c r="C169" s="48">
        <v>1310</v>
      </c>
      <c r="D169" s="48">
        <v>2238</v>
      </c>
      <c r="E169" s="48">
        <v>1850</v>
      </c>
      <c r="F169" s="48">
        <v>2200</v>
      </c>
      <c r="G169" s="48">
        <v>2500</v>
      </c>
      <c r="H169" s="41"/>
      <c r="I169" s="41"/>
      <c r="J169" s="41"/>
      <c r="K169" s="41"/>
      <c r="L169" s="41"/>
      <c r="M169" s="41"/>
      <c r="N169" s="41"/>
      <c r="O169" s="41"/>
      <c r="P169" s="41"/>
    </row>
    <row r="170" spans="1:16" s="42" customFormat="1" ht="15.5">
      <c r="A170" s="46" t="s">
        <v>882</v>
      </c>
      <c r="B170" s="47" t="s">
        <v>1072</v>
      </c>
      <c r="C170" s="48">
        <v>400</v>
      </c>
      <c r="D170" s="48">
        <v>2784</v>
      </c>
      <c r="E170" s="48">
        <v>2300</v>
      </c>
      <c r="F170" s="48">
        <v>2700</v>
      </c>
      <c r="G170" s="48">
        <v>3183</v>
      </c>
      <c r="H170" s="41"/>
      <c r="I170" s="41"/>
      <c r="J170" s="41"/>
      <c r="K170" s="41"/>
      <c r="L170" s="41"/>
      <c r="M170" s="41"/>
      <c r="N170" s="41"/>
      <c r="O170" s="41"/>
      <c r="P170" s="41"/>
    </row>
    <row r="171" spans="1:16" s="42" customFormat="1" ht="15.5">
      <c r="A171" s="46" t="s">
        <v>882</v>
      </c>
      <c r="B171" s="47" t="s">
        <v>1073</v>
      </c>
      <c r="C171" s="48">
        <v>200</v>
      </c>
      <c r="D171" s="48">
        <v>3590</v>
      </c>
      <c r="E171" s="48">
        <v>3200</v>
      </c>
      <c r="F171" s="48">
        <v>3500</v>
      </c>
      <c r="G171" s="48">
        <v>4000</v>
      </c>
      <c r="H171" s="41"/>
      <c r="I171" s="41"/>
      <c r="J171" s="41"/>
      <c r="K171" s="41"/>
      <c r="L171" s="41"/>
      <c r="M171" s="41"/>
      <c r="N171" s="41"/>
      <c r="O171" s="41"/>
      <c r="P171" s="41"/>
    </row>
    <row r="172" spans="1:16" s="42" customFormat="1" ht="15.5">
      <c r="A172" s="46" t="s">
        <v>883</v>
      </c>
      <c r="B172" s="47" t="s">
        <v>1066</v>
      </c>
      <c r="C172" s="48" t="s">
        <v>1069</v>
      </c>
      <c r="D172" s="48" t="s">
        <v>1067</v>
      </c>
      <c r="E172" s="48" t="s">
        <v>1067</v>
      </c>
      <c r="F172" s="48" t="s">
        <v>1067</v>
      </c>
      <c r="G172" s="48" t="s">
        <v>1067</v>
      </c>
      <c r="H172" s="41"/>
      <c r="I172" s="41"/>
      <c r="J172" s="41"/>
      <c r="K172" s="41"/>
      <c r="L172" s="41"/>
      <c r="M172" s="41"/>
      <c r="N172" s="41"/>
      <c r="O172" s="41"/>
      <c r="P172" s="41"/>
    </row>
    <row r="173" spans="1:16" s="42" customFormat="1" ht="15.5">
      <c r="A173" s="46" t="s">
        <v>883</v>
      </c>
      <c r="B173" s="47" t="s">
        <v>1068</v>
      </c>
      <c r="C173" s="48">
        <v>40</v>
      </c>
      <c r="D173" s="48">
        <v>967</v>
      </c>
      <c r="E173" s="48">
        <v>873</v>
      </c>
      <c r="F173" s="48">
        <v>931</v>
      </c>
      <c r="G173" s="48">
        <v>1002</v>
      </c>
      <c r="H173" s="41"/>
      <c r="I173" s="41"/>
      <c r="J173" s="41"/>
      <c r="K173" s="41"/>
      <c r="L173" s="41"/>
      <c r="M173" s="41"/>
      <c r="N173" s="41"/>
      <c r="O173" s="41"/>
      <c r="P173" s="41"/>
    </row>
    <row r="174" spans="1:16" s="42" customFormat="1" ht="15.5">
      <c r="A174" s="46" t="s">
        <v>883</v>
      </c>
      <c r="B174" s="47" t="s">
        <v>1070</v>
      </c>
      <c r="C174" s="48">
        <v>440</v>
      </c>
      <c r="D174" s="48">
        <v>1220</v>
      </c>
      <c r="E174" s="48">
        <v>1100</v>
      </c>
      <c r="F174" s="48">
        <v>1250</v>
      </c>
      <c r="G174" s="48">
        <v>1300</v>
      </c>
      <c r="H174" s="41"/>
      <c r="I174" s="41"/>
      <c r="J174" s="41"/>
      <c r="K174" s="41"/>
      <c r="L174" s="41"/>
      <c r="M174" s="41"/>
      <c r="N174" s="41"/>
      <c r="O174" s="41"/>
      <c r="P174" s="41"/>
    </row>
    <row r="175" spans="1:16" s="42" customFormat="1" ht="15.5">
      <c r="A175" s="46" t="s">
        <v>883</v>
      </c>
      <c r="B175" s="47" t="s">
        <v>1071</v>
      </c>
      <c r="C175" s="48">
        <v>670</v>
      </c>
      <c r="D175" s="48">
        <v>1532</v>
      </c>
      <c r="E175" s="48">
        <v>1400</v>
      </c>
      <c r="F175" s="48">
        <v>1550</v>
      </c>
      <c r="G175" s="48">
        <v>1666</v>
      </c>
      <c r="H175" s="41"/>
      <c r="I175" s="41"/>
      <c r="J175" s="41"/>
      <c r="K175" s="41"/>
      <c r="L175" s="41"/>
      <c r="M175" s="41"/>
      <c r="N175" s="41"/>
      <c r="O175" s="41"/>
      <c r="P175" s="41"/>
    </row>
    <row r="176" spans="1:16" s="42" customFormat="1" ht="15.5">
      <c r="A176" s="46" t="s">
        <v>883</v>
      </c>
      <c r="B176" s="47" t="s">
        <v>1072</v>
      </c>
      <c r="C176" s="48">
        <v>230</v>
      </c>
      <c r="D176" s="48">
        <v>1925</v>
      </c>
      <c r="E176" s="48">
        <v>1700</v>
      </c>
      <c r="F176" s="48">
        <v>1950</v>
      </c>
      <c r="G176" s="48">
        <v>2200</v>
      </c>
      <c r="H176" s="41"/>
      <c r="I176" s="41"/>
      <c r="J176" s="41"/>
      <c r="K176" s="41"/>
      <c r="L176" s="41"/>
      <c r="M176" s="41"/>
      <c r="N176" s="41"/>
      <c r="O176" s="41"/>
      <c r="P176" s="41"/>
    </row>
    <row r="177" spans="1:16" s="42" customFormat="1" ht="15.5">
      <c r="A177" s="46" t="s">
        <v>883</v>
      </c>
      <c r="B177" s="47" t="s">
        <v>1073</v>
      </c>
      <c r="C177" s="48">
        <v>60</v>
      </c>
      <c r="D177" s="48">
        <v>2520</v>
      </c>
      <c r="E177" s="48">
        <v>2250</v>
      </c>
      <c r="F177" s="48">
        <v>2500</v>
      </c>
      <c r="G177" s="48">
        <v>2813</v>
      </c>
      <c r="H177" s="41"/>
      <c r="I177" s="41"/>
      <c r="J177" s="41"/>
      <c r="K177" s="41"/>
      <c r="L177" s="41"/>
      <c r="M177" s="41"/>
      <c r="N177" s="41"/>
      <c r="O177" s="41"/>
      <c r="P177" s="41"/>
    </row>
    <row r="178" spans="1:16" s="42" customFormat="1" ht="15.5">
      <c r="A178" s="46" t="s">
        <v>884</v>
      </c>
      <c r="B178" s="47" t="s">
        <v>1066</v>
      </c>
      <c r="C178" s="48">
        <v>110</v>
      </c>
      <c r="D178" s="48">
        <v>858</v>
      </c>
      <c r="E178" s="48">
        <v>726</v>
      </c>
      <c r="F178" s="48">
        <v>852</v>
      </c>
      <c r="G178" s="48">
        <v>938</v>
      </c>
      <c r="H178" s="41"/>
      <c r="I178" s="41"/>
      <c r="J178" s="41"/>
      <c r="K178" s="41"/>
      <c r="L178" s="41"/>
      <c r="M178" s="41"/>
      <c r="N178" s="41"/>
      <c r="O178" s="41"/>
      <c r="P178" s="41"/>
    </row>
    <row r="179" spans="1:16" s="42" customFormat="1" ht="15.5">
      <c r="A179" s="46" t="s">
        <v>884</v>
      </c>
      <c r="B179" s="47" t="s">
        <v>1068</v>
      </c>
      <c r="C179" s="48">
        <v>100</v>
      </c>
      <c r="D179" s="48">
        <v>1794</v>
      </c>
      <c r="E179" s="48">
        <v>1534</v>
      </c>
      <c r="F179" s="48">
        <v>1750</v>
      </c>
      <c r="G179" s="48">
        <v>1950</v>
      </c>
      <c r="H179" s="41"/>
      <c r="I179" s="41"/>
      <c r="J179" s="41"/>
      <c r="K179" s="41"/>
      <c r="L179" s="41"/>
      <c r="M179" s="41"/>
      <c r="N179" s="41"/>
      <c r="O179" s="41"/>
      <c r="P179" s="41"/>
    </row>
    <row r="180" spans="1:16" s="42" customFormat="1" ht="15.5">
      <c r="A180" s="46" t="s">
        <v>884</v>
      </c>
      <c r="B180" s="47" t="s">
        <v>1070</v>
      </c>
      <c r="C180" s="48">
        <v>740</v>
      </c>
      <c r="D180" s="48">
        <v>1922</v>
      </c>
      <c r="E180" s="48">
        <v>1661</v>
      </c>
      <c r="F180" s="48">
        <v>1850</v>
      </c>
      <c r="G180" s="48">
        <v>2100</v>
      </c>
      <c r="H180" s="41"/>
      <c r="I180" s="41"/>
      <c r="J180" s="41"/>
      <c r="K180" s="41"/>
      <c r="L180" s="41"/>
      <c r="M180" s="41"/>
      <c r="N180" s="41"/>
      <c r="O180" s="41"/>
      <c r="P180" s="41"/>
    </row>
    <row r="181" spans="1:16" s="42" customFormat="1" ht="15.5">
      <c r="A181" s="46" t="s">
        <v>884</v>
      </c>
      <c r="B181" s="47" t="s">
        <v>1071</v>
      </c>
      <c r="C181" s="48">
        <v>860</v>
      </c>
      <c r="D181" s="48">
        <v>2383</v>
      </c>
      <c r="E181" s="48">
        <v>2000</v>
      </c>
      <c r="F181" s="48">
        <v>2300</v>
      </c>
      <c r="G181" s="48">
        <v>2600</v>
      </c>
      <c r="H181" s="41"/>
      <c r="I181" s="41"/>
      <c r="J181" s="41"/>
      <c r="K181" s="41"/>
      <c r="L181" s="41"/>
      <c r="M181" s="41"/>
      <c r="N181" s="41"/>
      <c r="O181" s="41"/>
      <c r="P181" s="41"/>
    </row>
    <row r="182" spans="1:16" s="42" customFormat="1" ht="15.5">
      <c r="A182" s="46" t="s">
        <v>884</v>
      </c>
      <c r="B182" s="47" t="s">
        <v>1072</v>
      </c>
      <c r="C182" s="48">
        <v>300</v>
      </c>
      <c r="D182" s="48">
        <v>2863</v>
      </c>
      <c r="E182" s="48">
        <v>2500</v>
      </c>
      <c r="F182" s="48">
        <v>2750</v>
      </c>
      <c r="G182" s="48">
        <v>3100</v>
      </c>
      <c r="H182" s="41"/>
      <c r="I182" s="41"/>
      <c r="J182" s="41"/>
      <c r="K182" s="41"/>
      <c r="L182" s="41"/>
      <c r="M182" s="41"/>
      <c r="N182" s="41"/>
      <c r="O182" s="41"/>
      <c r="P182" s="41"/>
    </row>
    <row r="183" spans="1:16" s="42" customFormat="1" ht="15.5">
      <c r="A183" s="46" t="s">
        <v>884</v>
      </c>
      <c r="B183" s="47" t="s">
        <v>1073</v>
      </c>
      <c r="C183" s="48">
        <v>70</v>
      </c>
      <c r="D183" s="48">
        <v>3733</v>
      </c>
      <c r="E183" s="48">
        <v>3325</v>
      </c>
      <c r="F183" s="48">
        <v>3700</v>
      </c>
      <c r="G183" s="48">
        <v>4000</v>
      </c>
      <c r="H183" s="41"/>
      <c r="I183" s="41"/>
      <c r="J183" s="41"/>
      <c r="K183" s="41"/>
      <c r="L183" s="41"/>
      <c r="M183" s="41"/>
      <c r="N183" s="41"/>
      <c r="O183" s="41"/>
      <c r="P183" s="41"/>
    </row>
    <row r="184" spans="1:16" s="42" customFormat="1" ht="15.5">
      <c r="A184" s="46" t="s">
        <v>885</v>
      </c>
      <c r="B184" s="47" t="s">
        <v>1066</v>
      </c>
      <c r="C184" s="48">
        <v>20</v>
      </c>
      <c r="D184" s="48">
        <v>757</v>
      </c>
      <c r="E184" s="48">
        <v>684</v>
      </c>
      <c r="F184" s="48">
        <v>764</v>
      </c>
      <c r="G184" s="48">
        <v>822</v>
      </c>
      <c r="H184" s="41"/>
      <c r="I184" s="41"/>
      <c r="J184" s="41"/>
      <c r="K184" s="41"/>
      <c r="L184" s="41"/>
      <c r="M184" s="41"/>
      <c r="N184" s="41"/>
      <c r="O184" s="41"/>
      <c r="P184" s="41"/>
    </row>
    <row r="185" spans="1:16" s="42" customFormat="1" ht="15.5">
      <c r="A185" s="46" t="s">
        <v>885</v>
      </c>
      <c r="B185" s="47" t="s">
        <v>1068</v>
      </c>
      <c r="C185" s="48">
        <v>30</v>
      </c>
      <c r="D185" s="48">
        <v>1174</v>
      </c>
      <c r="E185" s="48">
        <v>1020</v>
      </c>
      <c r="F185" s="48">
        <v>1188</v>
      </c>
      <c r="G185" s="48">
        <v>1250</v>
      </c>
      <c r="H185" s="41"/>
      <c r="I185" s="41"/>
      <c r="J185" s="41"/>
      <c r="K185" s="41"/>
      <c r="L185" s="41"/>
      <c r="M185" s="41"/>
      <c r="N185" s="41"/>
      <c r="O185" s="41"/>
      <c r="P185" s="41"/>
    </row>
    <row r="186" spans="1:16" s="42" customFormat="1" ht="15.5">
      <c r="A186" s="46" t="s">
        <v>885</v>
      </c>
      <c r="B186" s="47" t="s">
        <v>1070</v>
      </c>
      <c r="C186" s="48">
        <v>420</v>
      </c>
      <c r="D186" s="48">
        <v>1407</v>
      </c>
      <c r="E186" s="48">
        <v>1279</v>
      </c>
      <c r="F186" s="48">
        <v>1400</v>
      </c>
      <c r="G186" s="48">
        <v>1525</v>
      </c>
      <c r="H186" s="41"/>
      <c r="I186" s="41"/>
      <c r="J186" s="41"/>
      <c r="K186" s="41"/>
      <c r="L186" s="41"/>
      <c r="M186" s="41"/>
      <c r="N186" s="41"/>
      <c r="O186" s="41"/>
      <c r="P186" s="41"/>
    </row>
    <row r="187" spans="1:16" s="42" customFormat="1" ht="15.5">
      <c r="A187" s="46" t="s">
        <v>885</v>
      </c>
      <c r="B187" s="47" t="s">
        <v>1071</v>
      </c>
      <c r="C187" s="48">
        <v>560</v>
      </c>
      <c r="D187" s="48">
        <v>1728</v>
      </c>
      <c r="E187" s="48">
        <v>1575</v>
      </c>
      <c r="F187" s="48">
        <v>1725</v>
      </c>
      <c r="G187" s="48">
        <v>1895</v>
      </c>
      <c r="H187" s="41"/>
      <c r="I187" s="41"/>
      <c r="J187" s="41"/>
      <c r="K187" s="41"/>
      <c r="L187" s="41"/>
      <c r="M187" s="41"/>
      <c r="N187" s="41"/>
      <c r="O187" s="41"/>
      <c r="P187" s="41"/>
    </row>
    <row r="188" spans="1:16" s="42" customFormat="1" ht="15.5">
      <c r="A188" s="46" t="s">
        <v>885</v>
      </c>
      <c r="B188" s="47" t="s">
        <v>1072</v>
      </c>
      <c r="C188" s="48">
        <v>280</v>
      </c>
      <c r="D188" s="48">
        <v>2146</v>
      </c>
      <c r="E188" s="48">
        <v>1900</v>
      </c>
      <c r="F188" s="48">
        <v>2150</v>
      </c>
      <c r="G188" s="48">
        <v>2350</v>
      </c>
      <c r="H188" s="41"/>
      <c r="I188" s="41"/>
      <c r="J188" s="41"/>
      <c r="K188" s="41"/>
      <c r="L188" s="41"/>
      <c r="M188" s="41"/>
      <c r="N188" s="41"/>
      <c r="O188" s="41"/>
      <c r="P188" s="41"/>
    </row>
    <row r="189" spans="1:16" s="42" customFormat="1" ht="15.5">
      <c r="A189" s="46" t="s">
        <v>885</v>
      </c>
      <c r="B189" s="47" t="s">
        <v>1073</v>
      </c>
      <c r="C189" s="48">
        <v>90</v>
      </c>
      <c r="D189" s="48">
        <v>2608</v>
      </c>
      <c r="E189" s="48">
        <v>2313</v>
      </c>
      <c r="F189" s="48">
        <v>2500</v>
      </c>
      <c r="G189" s="48">
        <v>2838</v>
      </c>
      <c r="H189" s="41"/>
      <c r="I189" s="41"/>
      <c r="J189" s="41"/>
      <c r="K189" s="41"/>
      <c r="L189" s="41"/>
      <c r="M189" s="41"/>
      <c r="N189" s="41"/>
      <c r="O189" s="41"/>
      <c r="P189" s="41"/>
    </row>
    <row r="190" spans="1:16" s="42" customFormat="1" ht="15.5">
      <c r="A190" s="46" t="s">
        <v>886</v>
      </c>
      <c r="B190" s="47" t="s">
        <v>1066</v>
      </c>
      <c r="C190" s="48">
        <v>90</v>
      </c>
      <c r="D190" s="48">
        <v>1030</v>
      </c>
      <c r="E190" s="48">
        <v>785</v>
      </c>
      <c r="F190" s="48">
        <v>1139</v>
      </c>
      <c r="G190" s="48">
        <v>1290</v>
      </c>
      <c r="H190" s="41"/>
      <c r="I190" s="41"/>
      <c r="J190" s="41"/>
      <c r="K190" s="41"/>
      <c r="L190" s="41"/>
      <c r="M190" s="41"/>
      <c r="N190" s="41"/>
      <c r="O190" s="41"/>
      <c r="P190" s="41"/>
    </row>
    <row r="191" spans="1:16" s="42" customFormat="1" ht="15.5">
      <c r="A191" s="46" t="s">
        <v>886</v>
      </c>
      <c r="B191" s="47" t="s">
        <v>1068</v>
      </c>
      <c r="C191" s="48">
        <v>40</v>
      </c>
      <c r="D191" s="48">
        <v>1418</v>
      </c>
      <c r="E191" s="48">
        <v>1300</v>
      </c>
      <c r="F191" s="48">
        <v>1350</v>
      </c>
      <c r="G191" s="48">
        <v>1525</v>
      </c>
      <c r="H191" s="41"/>
      <c r="I191" s="41"/>
      <c r="J191" s="41"/>
      <c r="K191" s="41"/>
      <c r="L191" s="41"/>
      <c r="M191" s="41"/>
      <c r="N191" s="41"/>
      <c r="O191" s="41"/>
      <c r="P191" s="41"/>
    </row>
    <row r="192" spans="1:16" s="42" customFormat="1" ht="15.5">
      <c r="A192" s="46" t="s">
        <v>886</v>
      </c>
      <c r="B192" s="47" t="s">
        <v>1070</v>
      </c>
      <c r="C192" s="48">
        <v>720</v>
      </c>
      <c r="D192" s="48">
        <v>1824</v>
      </c>
      <c r="E192" s="48">
        <v>1600</v>
      </c>
      <c r="F192" s="48">
        <v>1750</v>
      </c>
      <c r="G192" s="48">
        <v>2000</v>
      </c>
      <c r="H192" s="41"/>
      <c r="I192" s="41"/>
      <c r="J192" s="41"/>
      <c r="K192" s="41"/>
      <c r="L192" s="41"/>
      <c r="M192" s="41"/>
      <c r="N192" s="41"/>
      <c r="O192" s="41"/>
      <c r="P192" s="41"/>
    </row>
    <row r="193" spans="1:16" s="42" customFormat="1" ht="15.5">
      <c r="A193" s="46" t="s">
        <v>886</v>
      </c>
      <c r="B193" s="47" t="s">
        <v>1071</v>
      </c>
      <c r="C193" s="48">
        <v>1060</v>
      </c>
      <c r="D193" s="48">
        <v>2310</v>
      </c>
      <c r="E193" s="48">
        <v>1995</v>
      </c>
      <c r="F193" s="48">
        <v>2250</v>
      </c>
      <c r="G193" s="48">
        <v>2550</v>
      </c>
      <c r="H193" s="41"/>
      <c r="I193" s="41"/>
      <c r="J193" s="41"/>
      <c r="K193" s="41"/>
      <c r="L193" s="41"/>
      <c r="M193" s="41"/>
      <c r="N193" s="41"/>
      <c r="O193" s="41"/>
      <c r="P193" s="41"/>
    </row>
    <row r="194" spans="1:16" s="42" customFormat="1" ht="15.5">
      <c r="A194" s="46" t="s">
        <v>886</v>
      </c>
      <c r="B194" s="47" t="s">
        <v>1072</v>
      </c>
      <c r="C194" s="48">
        <v>500</v>
      </c>
      <c r="D194" s="48">
        <v>3053</v>
      </c>
      <c r="E194" s="48">
        <v>2500</v>
      </c>
      <c r="F194" s="48">
        <v>2900</v>
      </c>
      <c r="G194" s="48">
        <v>3500</v>
      </c>
      <c r="H194" s="41"/>
      <c r="I194" s="41"/>
      <c r="J194" s="41"/>
      <c r="K194" s="41"/>
      <c r="L194" s="41"/>
      <c r="M194" s="41"/>
      <c r="N194" s="41"/>
      <c r="O194" s="41"/>
      <c r="P194" s="41"/>
    </row>
    <row r="195" spans="1:16" s="42" customFormat="1" ht="15.5">
      <c r="A195" s="46" t="s">
        <v>886</v>
      </c>
      <c r="B195" s="47" t="s">
        <v>1073</v>
      </c>
      <c r="C195" s="48">
        <v>240</v>
      </c>
      <c r="D195" s="48">
        <v>4332</v>
      </c>
      <c r="E195" s="48">
        <v>3465</v>
      </c>
      <c r="F195" s="48">
        <v>4125</v>
      </c>
      <c r="G195" s="48">
        <v>4963</v>
      </c>
      <c r="H195" s="41"/>
      <c r="I195" s="41"/>
      <c r="J195" s="41"/>
      <c r="K195" s="41"/>
      <c r="L195" s="41"/>
      <c r="M195" s="41"/>
      <c r="N195" s="41"/>
      <c r="O195" s="41"/>
      <c r="P195" s="41"/>
    </row>
    <row r="196" spans="1:16" s="42" customFormat="1" ht="15.5">
      <c r="A196" s="46" t="s">
        <v>887</v>
      </c>
      <c r="B196" s="47" t="s">
        <v>1066</v>
      </c>
      <c r="C196" s="48">
        <v>60</v>
      </c>
      <c r="D196" s="48">
        <v>986</v>
      </c>
      <c r="E196" s="48">
        <v>895</v>
      </c>
      <c r="F196" s="48">
        <v>1000</v>
      </c>
      <c r="G196" s="48">
        <v>1053</v>
      </c>
      <c r="H196" s="41"/>
      <c r="I196" s="41"/>
      <c r="J196" s="41"/>
      <c r="K196" s="41"/>
      <c r="L196" s="41"/>
      <c r="M196" s="41"/>
      <c r="N196" s="41"/>
      <c r="O196" s="41"/>
      <c r="P196" s="41"/>
    </row>
    <row r="197" spans="1:16" s="42" customFormat="1" ht="15.5">
      <c r="A197" s="46" t="s">
        <v>887</v>
      </c>
      <c r="B197" s="47" t="s">
        <v>1068</v>
      </c>
      <c r="C197" s="48">
        <v>120</v>
      </c>
      <c r="D197" s="48">
        <v>1695</v>
      </c>
      <c r="E197" s="48">
        <v>1452</v>
      </c>
      <c r="F197" s="48">
        <v>1647</v>
      </c>
      <c r="G197" s="48">
        <v>1903</v>
      </c>
      <c r="H197" s="41"/>
      <c r="I197" s="41"/>
      <c r="J197" s="41"/>
      <c r="K197" s="41"/>
      <c r="L197" s="41"/>
      <c r="M197" s="41"/>
      <c r="N197" s="41"/>
      <c r="O197" s="41"/>
      <c r="P197" s="41"/>
    </row>
    <row r="198" spans="1:16" s="42" customFormat="1" ht="15.5">
      <c r="A198" s="46" t="s">
        <v>887</v>
      </c>
      <c r="B198" s="47" t="s">
        <v>1070</v>
      </c>
      <c r="C198" s="48">
        <v>440</v>
      </c>
      <c r="D198" s="48">
        <v>2608</v>
      </c>
      <c r="E198" s="48">
        <v>2149</v>
      </c>
      <c r="F198" s="48">
        <v>2492</v>
      </c>
      <c r="G198" s="48">
        <v>2855</v>
      </c>
      <c r="H198" s="41"/>
      <c r="I198" s="41"/>
      <c r="J198" s="41"/>
      <c r="K198" s="41"/>
      <c r="L198" s="41"/>
      <c r="M198" s="41"/>
      <c r="N198" s="41"/>
      <c r="O198" s="41"/>
      <c r="P198" s="41"/>
    </row>
    <row r="199" spans="1:16" s="42" customFormat="1" ht="15.5">
      <c r="A199" s="46" t="s">
        <v>887</v>
      </c>
      <c r="B199" s="47" t="s">
        <v>1071</v>
      </c>
      <c r="C199" s="48">
        <v>460</v>
      </c>
      <c r="D199" s="48">
        <v>3598</v>
      </c>
      <c r="E199" s="48">
        <v>2716</v>
      </c>
      <c r="F199" s="48">
        <v>3358</v>
      </c>
      <c r="G199" s="48">
        <v>4117</v>
      </c>
      <c r="H199" s="41"/>
      <c r="I199" s="41"/>
      <c r="J199" s="41"/>
      <c r="K199" s="41"/>
      <c r="L199" s="41"/>
      <c r="M199" s="41"/>
      <c r="N199" s="41"/>
      <c r="O199" s="41"/>
      <c r="P199" s="41"/>
    </row>
    <row r="200" spans="1:16" s="42" customFormat="1" ht="15.5">
      <c r="A200" s="46" t="s">
        <v>887</v>
      </c>
      <c r="B200" s="47" t="s">
        <v>1072</v>
      </c>
      <c r="C200" s="48">
        <v>160</v>
      </c>
      <c r="D200" s="48">
        <v>5131</v>
      </c>
      <c r="E200" s="48">
        <v>3600</v>
      </c>
      <c r="F200" s="48">
        <v>4658</v>
      </c>
      <c r="G200" s="48">
        <v>5958</v>
      </c>
      <c r="H200" s="41"/>
      <c r="I200" s="41"/>
      <c r="J200" s="41"/>
      <c r="K200" s="41"/>
      <c r="L200" s="41"/>
      <c r="M200" s="41"/>
      <c r="N200" s="41"/>
      <c r="O200" s="41"/>
      <c r="P200" s="41"/>
    </row>
    <row r="201" spans="1:16" s="42" customFormat="1" ht="15.5">
      <c r="A201" s="46" t="s">
        <v>887</v>
      </c>
      <c r="B201" s="47" t="s">
        <v>1073</v>
      </c>
      <c r="C201" s="48">
        <v>40</v>
      </c>
      <c r="D201" s="48">
        <v>8904</v>
      </c>
      <c r="E201" s="48">
        <v>6586</v>
      </c>
      <c r="F201" s="48">
        <v>9750</v>
      </c>
      <c r="G201" s="48">
        <v>10942</v>
      </c>
      <c r="H201" s="41"/>
      <c r="I201" s="41"/>
      <c r="J201" s="41"/>
      <c r="K201" s="41"/>
      <c r="L201" s="41"/>
      <c r="M201" s="41"/>
      <c r="N201" s="41"/>
      <c r="O201" s="41"/>
      <c r="P201" s="4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F0C7-E289-4AA9-9A72-70F180A9D68E}">
  <dimension ref="A1:DI362"/>
  <sheetViews>
    <sheetView topLeftCell="BY27" workbookViewId="0">
      <selection activeCell="BZ6" sqref="BZ6"/>
    </sheetView>
  </sheetViews>
  <sheetFormatPr defaultRowHeight="14.5"/>
  <cols>
    <col min="1" max="1" width="24.36328125" bestFit="1" customWidth="1"/>
    <col min="2" max="2" width="11.6328125" bestFit="1" customWidth="1"/>
    <col min="3" max="3" width="30.54296875" bestFit="1" customWidth="1"/>
    <col min="4" max="4" width="10.1796875" bestFit="1" customWidth="1"/>
    <col min="5" max="5" width="11.7265625" bestFit="1" customWidth="1"/>
    <col min="6" max="9" width="14.54296875" bestFit="1" customWidth="1"/>
    <col min="10" max="13" width="16.26953125" bestFit="1" customWidth="1"/>
    <col min="14" max="14" width="12.54296875" bestFit="1" customWidth="1"/>
    <col min="15" max="18" width="15.36328125" bestFit="1" customWidth="1"/>
    <col min="19" max="22" width="17.1796875" bestFit="1" customWidth="1"/>
    <col min="23" max="23" width="12.26953125" bestFit="1" customWidth="1"/>
    <col min="24" max="27" width="15.08984375" bestFit="1" customWidth="1"/>
    <col min="28" max="31" width="16.81640625" bestFit="1" customWidth="1"/>
    <col min="32" max="32" width="13.6328125" bestFit="1" customWidth="1"/>
    <col min="33" max="36" width="16.36328125" bestFit="1" customWidth="1"/>
    <col min="37" max="40" width="18.1796875" bestFit="1" customWidth="1"/>
    <col min="41" max="41" width="11.7265625" bestFit="1" customWidth="1"/>
    <col min="42" max="45" width="14.54296875" bestFit="1" customWidth="1"/>
    <col min="46" max="49" width="16.26953125" bestFit="1" customWidth="1"/>
    <col min="50" max="50" width="12.54296875" bestFit="1" customWidth="1"/>
    <col min="51" max="54" width="15.36328125" bestFit="1" customWidth="1"/>
    <col min="55" max="58" width="17.1796875" bestFit="1" customWidth="1"/>
    <col min="59" max="59" width="12.26953125" bestFit="1" customWidth="1"/>
    <col min="60" max="63" width="15.08984375" bestFit="1" customWidth="1"/>
    <col min="64" max="67" width="16.81640625" bestFit="1" customWidth="1"/>
    <col min="68" max="68" width="13.6328125" bestFit="1" customWidth="1"/>
    <col min="69" max="72" width="16.36328125" bestFit="1" customWidth="1"/>
    <col min="73" max="76" width="18.1796875" bestFit="1" customWidth="1"/>
    <col min="77" max="77" width="30.54296875" bestFit="1" customWidth="1"/>
    <col min="78" max="78" width="12.90625" bestFit="1" customWidth="1"/>
    <col min="79" max="82" width="15.6328125" bestFit="1" customWidth="1"/>
    <col min="83" max="86" width="17.453125" bestFit="1" customWidth="1"/>
    <col min="87" max="87" width="13.7265625" bestFit="1" customWidth="1"/>
    <col min="88" max="91" width="16.453125" bestFit="1" customWidth="1"/>
    <col min="92" max="95" width="18.26953125" bestFit="1" customWidth="1"/>
    <col min="96" max="96" width="13.453125" bestFit="1" customWidth="1"/>
    <col min="97" max="100" width="16.1796875" bestFit="1" customWidth="1"/>
    <col min="101" max="104" width="18" bestFit="1" customWidth="1"/>
    <col min="105" max="105" width="14.7265625" bestFit="1" customWidth="1"/>
    <col min="106" max="109" width="17.54296875" bestFit="1" customWidth="1"/>
    <col min="110" max="113" width="19.26953125" bestFit="1" customWidth="1"/>
  </cols>
  <sheetData>
    <row r="1" spans="1:113" ht="15" thickBo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3" t="s">
        <v>31</v>
      </c>
      <c r="AG1" s="3" t="s">
        <v>32</v>
      </c>
      <c r="AH1" s="3" t="s">
        <v>33</v>
      </c>
      <c r="AI1" s="3" t="s">
        <v>34</v>
      </c>
      <c r="AJ1" s="3" t="s">
        <v>35</v>
      </c>
      <c r="AK1" s="3" t="s">
        <v>36</v>
      </c>
      <c r="AL1" s="3" t="s">
        <v>37</v>
      </c>
      <c r="AM1" s="3" t="s">
        <v>38</v>
      </c>
      <c r="AN1" s="3"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3" t="s">
        <v>67</v>
      </c>
      <c r="BQ1" s="3" t="s">
        <v>68</v>
      </c>
      <c r="BR1" s="3" t="s">
        <v>69</v>
      </c>
      <c r="BS1" s="3" t="s">
        <v>70</v>
      </c>
      <c r="BT1" s="3" t="s">
        <v>71</v>
      </c>
      <c r="BU1" s="3" t="s">
        <v>72</v>
      </c>
      <c r="BV1" s="3" t="s">
        <v>73</v>
      </c>
      <c r="BW1" s="3" t="s">
        <v>74</v>
      </c>
      <c r="BX1" s="3" t="s">
        <v>75</v>
      </c>
      <c r="BY1" s="38" t="s">
        <v>1059</v>
      </c>
      <c r="BZ1" s="2" t="s">
        <v>76</v>
      </c>
      <c r="CA1" s="2" t="s">
        <v>77</v>
      </c>
      <c r="CB1" s="2" t="s">
        <v>78</v>
      </c>
      <c r="CC1" s="2" t="s">
        <v>79</v>
      </c>
      <c r="CD1" s="2" t="s">
        <v>80</v>
      </c>
      <c r="CE1" s="2" t="s">
        <v>81</v>
      </c>
      <c r="CF1" s="2" t="s">
        <v>82</v>
      </c>
      <c r="CG1" s="2"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4" t="s">
        <v>103</v>
      </c>
      <c r="DB1" s="4" t="s">
        <v>104</v>
      </c>
      <c r="DC1" s="4" t="s">
        <v>105</v>
      </c>
      <c r="DD1" s="4" t="s">
        <v>106</v>
      </c>
      <c r="DE1" s="4" t="s">
        <v>107</v>
      </c>
      <c r="DF1" s="4" t="s">
        <v>108</v>
      </c>
      <c r="DG1" s="4" t="s">
        <v>109</v>
      </c>
      <c r="DH1" s="4" t="s">
        <v>110</v>
      </c>
      <c r="DI1" s="4" t="s">
        <v>111</v>
      </c>
    </row>
    <row r="2" spans="1:113">
      <c r="A2" s="5" t="s">
        <v>112</v>
      </c>
      <c r="B2" s="5" t="s">
        <v>113</v>
      </c>
      <c r="C2" s="5" t="s">
        <v>114</v>
      </c>
      <c r="D2" s="6">
        <v>390394</v>
      </c>
      <c r="E2" s="7">
        <v>8.8111425519630693</v>
      </c>
      <c r="F2" s="7">
        <v>2.44317279466385</v>
      </c>
      <c r="G2" s="7">
        <v>9.0765457460924104</v>
      </c>
      <c r="H2" s="7">
        <v>9.7605111758889702</v>
      </c>
      <c r="I2" s="7">
        <v>9.8734765390861501</v>
      </c>
      <c r="J2" s="7">
        <v>89.769566130626998</v>
      </c>
      <c r="K2" s="7">
        <v>99.163153122230398</v>
      </c>
      <c r="L2" s="7">
        <v>99.481805560536301</v>
      </c>
      <c r="M2" s="7">
        <v>99.603477512461794</v>
      </c>
      <c r="N2" s="7">
        <v>8.6548422960106297</v>
      </c>
      <c r="O2" s="7">
        <v>3.7139812599578899</v>
      </c>
      <c r="P2" s="7">
        <v>9.3002889388668901</v>
      </c>
      <c r="Q2" s="7">
        <v>9.6990655594092097</v>
      </c>
      <c r="R2" s="7">
        <v>9.8347771738295204</v>
      </c>
      <c r="S2" s="7">
        <v>94.816518696496402</v>
      </c>
      <c r="T2" s="7">
        <v>99.589389181186206</v>
      </c>
      <c r="U2" s="7">
        <v>99.975921761092593</v>
      </c>
      <c r="V2" s="7">
        <v>100</v>
      </c>
      <c r="W2" s="7">
        <v>6.9497287609653204</v>
      </c>
      <c r="X2" s="7">
        <v>9.1185264117788698</v>
      </c>
      <c r="Y2" s="7">
        <v>9.9127522451677006</v>
      </c>
      <c r="Z2" s="7">
        <v>9.9921592032664392</v>
      </c>
      <c r="AA2" s="7">
        <v>10</v>
      </c>
      <c r="AB2" s="7">
        <v>99.588620726753007</v>
      </c>
      <c r="AC2" s="7">
        <v>100</v>
      </c>
      <c r="AD2" s="7">
        <v>100</v>
      </c>
      <c r="AE2" s="7">
        <v>100</v>
      </c>
      <c r="AF2" s="8">
        <v>10.811946137054001</v>
      </c>
      <c r="AG2" s="8">
        <v>1.56052090964513</v>
      </c>
      <c r="AH2" s="8">
        <v>3.6915833747444902</v>
      </c>
      <c r="AI2" s="8">
        <v>6.1310470960107004</v>
      </c>
      <c r="AJ2" s="8">
        <v>8.2399422122266195</v>
      </c>
      <c r="AK2" s="8">
        <v>81.828614169275099</v>
      </c>
      <c r="AL2" s="8">
        <v>94.931018407045201</v>
      </c>
      <c r="AM2" s="8">
        <v>97.316813270695803</v>
      </c>
      <c r="AN2" s="8">
        <v>98.682100647038595</v>
      </c>
      <c r="AO2" s="6">
        <v>14.052547937453699</v>
      </c>
      <c r="AP2" s="7">
        <v>1.0739611776820299</v>
      </c>
      <c r="AQ2" s="7">
        <v>6.1496590623831304</v>
      </c>
      <c r="AR2" s="7">
        <v>9.4361491211442807</v>
      </c>
      <c r="AS2" s="7">
        <v>9.8034652171908405</v>
      </c>
      <c r="AT2" s="7">
        <v>59.584932145473502</v>
      </c>
      <c r="AU2" s="7">
        <v>96.298867298165405</v>
      </c>
      <c r="AV2" s="7">
        <v>99.261515289681697</v>
      </c>
      <c r="AW2" s="7">
        <v>99.5476364903149</v>
      </c>
      <c r="AX2" s="7">
        <v>13.0959744122387</v>
      </c>
      <c r="AY2" s="7">
        <v>1.8733382172881801</v>
      </c>
      <c r="AZ2" s="7">
        <v>6.15185684206212</v>
      </c>
      <c r="BA2" s="7">
        <v>9.0895787332797102</v>
      </c>
      <c r="BB2" s="7">
        <v>9.72489843593908</v>
      </c>
      <c r="BC2" s="7">
        <v>72.506237288482893</v>
      </c>
      <c r="BD2" s="7">
        <v>95.785795888256501</v>
      </c>
      <c r="BE2" s="7">
        <v>99.326065462071696</v>
      </c>
      <c r="BF2" s="7">
        <v>99.573507789566406</v>
      </c>
      <c r="BG2" s="7">
        <v>8.8195601118023408</v>
      </c>
      <c r="BH2" s="7">
        <v>5.8521032597837097</v>
      </c>
      <c r="BI2" s="7">
        <v>9.8506739345379302</v>
      </c>
      <c r="BJ2" s="7">
        <v>9.9641695312940293</v>
      </c>
      <c r="BK2" s="7">
        <v>9.9988678104684006</v>
      </c>
      <c r="BL2" s="7">
        <v>95.312171805919107</v>
      </c>
      <c r="BM2" s="7">
        <v>99.849639082567904</v>
      </c>
      <c r="BN2" s="7">
        <v>100</v>
      </c>
      <c r="BO2" s="7">
        <v>100</v>
      </c>
      <c r="BP2" s="8">
        <v>24.489877578292202</v>
      </c>
      <c r="BQ2" s="8">
        <v>0.72354851765139805</v>
      </c>
      <c r="BR2" s="8">
        <v>1.82518430098823</v>
      </c>
      <c r="BS2" s="8">
        <v>2.9799817620147899</v>
      </c>
      <c r="BT2" s="8">
        <v>4.4045272212175401</v>
      </c>
      <c r="BU2" s="8">
        <v>46.298354995209998</v>
      </c>
      <c r="BV2" s="8">
        <v>72.102286408090293</v>
      </c>
      <c r="BW2" s="8">
        <v>84.142686619159093</v>
      </c>
      <c r="BX2" s="8">
        <v>91.164567078387506</v>
      </c>
      <c r="BY2" s="39" t="str">
        <f>TRIM(Table1[[#This Row],[LA_Name]])</f>
        <v>County Durham</v>
      </c>
      <c r="BZ2" s="7">
        <v>34.719082610001301</v>
      </c>
      <c r="CA2" s="7">
        <v>6.5820683719524403E-2</v>
      </c>
      <c r="CB2" s="7">
        <v>0.56159162282207198</v>
      </c>
      <c r="CC2" s="7">
        <v>2.3275050333765401</v>
      </c>
      <c r="CD2" s="7">
        <v>5.4953713427972799</v>
      </c>
      <c r="CE2" s="7">
        <v>6.58206837195244</v>
      </c>
      <c r="CF2" s="7">
        <v>40.282381389058202</v>
      </c>
      <c r="CG2" s="7">
        <v>81.033007679421303</v>
      </c>
      <c r="CH2" s="7">
        <v>94.466103474950899</v>
      </c>
      <c r="CI2" s="7">
        <v>38.285461041963003</v>
      </c>
      <c r="CJ2" s="7">
        <v>0.14544537057434301</v>
      </c>
      <c r="CK2" s="7">
        <v>0.64589363566038405</v>
      </c>
      <c r="CL2" s="7">
        <v>1.61888758536248</v>
      </c>
      <c r="CM2" s="7">
        <v>3.4312668739786001</v>
      </c>
      <c r="CN2" s="7">
        <v>10.261428198179299</v>
      </c>
      <c r="CO2" s="7">
        <v>37.037198317597102</v>
      </c>
      <c r="CP2" s="7">
        <v>72.148137522605396</v>
      </c>
      <c r="CQ2" s="7">
        <v>87.035661408730704</v>
      </c>
      <c r="CR2" s="7">
        <v>18.0660149283366</v>
      </c>
      <c r="CS2" s="7">
        <v>0.55325645373648202</v>
      </c>
      <c r="CT2" s="7">
        <v>5.7968129633139904</v>
      </c>
      <c r="CU2" s="7">
        <v>9.38918118618626</v>
      </c>
      <c r="CV2" s="7">
        <v>9.8852338919143197</v>
      </c>
      <c r="CW2" s="7">
        <v>36.302043576489403</v>
      </c>
      <c r="CX2" s="7">
        <v>94.191509090815998</v>
      </c>
      <c r="CY2" s="7">
        <v>98.537375062116695</v>
      </c>
      <c r="CZ2" s="7">
        <v>99.379344969441107</v>
      </c>
      <c r="DA2" s="9">
        <v>85.330613590513707</v>
      </c>
      <c r="DB2" s="9">
        <v>3.2326316490519799E-2</v>
      </c>
      <c r="DC2" s="9">
        <v>0.144997105488302</v>
      </c>
      <c r="DD2" s="9">
        <v>0.29038099970798698</v>
      </c>
      <c r="DE2" s="9">
        <v>0.46482015604748</v>
      </c>
      <c r="DF2" s="9">
        <v>3.2326316490519802</v>
      </c>
      <c r="DG2" s="9">
        <v>10.146416184674999</v>
      </c>
      <c r="DH2" s="9">
        <v>17.826605941689699</v>
      </c>
      <c r="DI2" s="9">
        <v>27.658211960224801</v>
      </c>
    </row>
    <row r="3" spans="1:113">
      <c r="A3" s="5" t="s">
        <v>112</v>
      </c>
      <c r="B3" s="5" t="s">
        <v>115</v>
      </c>
      <c r="C3" s="5" t="s">
        <v>116</v>
      </c>
      <c r="D3" s="6">
        <v>76485</v>
      </c>
      <c r="E3" s="7">
        <v>8.4064195488240294</v>
      </c>
      <c r="F3" s="7">
        <v>3.3275413479767302</v>
      </c>
      <c r="G3" s="7">
        <v>9.2063541870955099</v>
      </c>
      <c r="H3" s="7">
        <v>9.8194417205988103</v>
      </c>
      <c r="I3" s="7">
        <v>9.8772569784925093</v>
      </c>
      <c r="J3" s="7">
        <v>90.879257370726293</v>
      </c>
      <c r="K3" s="7">
        <v>96.803294763679105</v>
      </c>
      <c r="L3" s="7">
        <v>99.139700594887898</v>
      </c>
      <c r="M3" s="7">
        <v>99.790808655291897</v>
      </c>
      <c r="N3" s="7">
        <v>8.2282599109196504</v>
      </c>
      <c r="O3" s="7">
        <v>7.6705497810028103</v>
      </c>
      <c r="P3" s="7">
        <v>9.7588154540105894</v>
      </c>
      <c r="Q3" s="7">
        <v>10</v>
      </c>
      <c r="R3" s="7">
        <v>10</v>
      </c>
      <c r="S3" s="7">
        <v>94.112571092371098</v>
      </c>
      <c r="T3" s="7">
        <v>100</v>
      </c>
      <c r="U3" s="7">
        <v>100</v>
      </c>
      <c r="V3" s="7">
        <v>100</v>
      </c>
      <c r="W3" s="7">
        <v>6.7395412088087303</v>
      </c>
      <c r="X3" s="7">
        <v>9.7600444531607504</v>
      </c>
      <c r="Y3" s="7">
        <v>10</v>
      </c>
      <c r="Z3" s="7">
        <v>10</v>
      </c>
      <c r="AA3" s="7">
        <v>10</v>
      </c>
      <c r="AB3" s="7">
        <v>99.790808655291897</v>
      </c>
      <c r="AC3" s="7">
        <v>100</v>
      </c>
      <c r="AD3" s="7">
        <v>100</v>
      </c>
      <c r="AE3" s="7">
        <v>100</v>
      </c>
      <c r="AF3" s="6">
        <v>9.6958394252598197</v>
      </c>
      <c r="AG3" s="6">
        <v>2.7200235340262799</v>
      </c>
      <c r="AH3" s="6">
        <v>7.7470092174936296</v>
      </c>
      <c r="AI3" s="6">
        <v>8.9630515787409308</v>
      </c>
      <c r="AJ3" s="6">
        <v>9.31135516767994</v>
      </c>
      <c r="AK3" s="6">
        <v>86.891547362227897</v>
      </c>
      <c r="AL3" s="6">
        <v>94.112571092371098</v>
      </c>
      <c r="AM3" s="6">
        <v>96.262012159246893</v>
      </c>
      <c r="AN3" s="6">
        <v>99.344969601882696</v>
      </c>
      <c r="AO3" s="6">
        <v>11.023618608563901</v>
      </c>
      <c r="AP3" s="7">
        <v>1.6711381316598</v>
      </c>
      <c r="AQ3" s="7">
        <v>8.5943779826109701</v>
      </c>
      <c r="AR3" s="7">
        <v>9.78740929594038</v>
      </c>
      <c r="AS3" s="7">
        <v>9.8528077400797507</v>
      </c>
      <c r="AT3" s="7">
        <v>77.475321958554005</v>
      </c>
      <c r="AU3" s="7">
        <v>99.405112113486297</v>
      </c>
      <c r="AV3" s="7">
        <v>99.614303458194399</v>
      </c>
      <c r="AW3" s="7">
        <v>100</v>
      </c>
      <c r="AX3" s="7">
        <v>9.4883208414491609</v>
      </c>
      <c r="AY3" s="7">
        <v>4.8078969732627304</v>
      </c>
      <c r="AZ3" s="7">
        <v>9.6083022814930992</v>
      </c>
      <c r="BA3" s="7">
        <v>9.9984964372099103</v>
      </c>
      <c r="BB3" s="7">
        <v>10</v>
      </c>
      <c r="BC3" s="7">
        <v>95.087925737072595</v>
      </c>
      <c r="BD3" s="7">
        <v>99.725436360070603</v>
      </c>
      <c r="BE3" s="7">
        <v>100</v>
      </c>
      <c r="BF3" s="7">
        <v>100</v>
      </c>
      <c r="BG3" s="7">
        <v>7.4576213819649997</v>
      </c>
      <c r="BH3" s="7">
        <v>9.4734261619925508</v>
      </c>
      <c r="BI3" s="7">
        <v>10</v>
      </c>
      <c r="BJ3" s="7">
        <v>10</v>
      </c>
      <c r="BK3" s="7">
        <v>10</v>
      </c>
      <c r="BL3" s="7">
        <v>99.725436360070603</v>
      </c>
      <c r="BM3" s="7">
        <v>100</v>
      </c>
      <c r="BN3" s="7">
        <v>100</v>
      </c>
      <c r="BO3" s="7">
        <v>100</v>
      </c>
      <c r="BP3" s="6">
        <v>13.2586104393512</v>
      </c>
      <c r="BQ3" s="6">
        <v>1.2122507681244701</v>
      </c>
      <c r="BR3" s="6">
        <v>4.6241616003137898</v>
      </c>
      <c r="BS3" s="6">
        <v>7.9535072236386197</v>
      </c>
      <c r="BT3" s="6">
        <v>9.0110217689743095</v>
      </c>
      <c r="BU3" s="6">
        <v>65.901810812577594</v>
      </c>
      <c r="BV3" s="6">
        <v>95.759952931947396</v>
      </c>
      <c r="BW3" s="6">
        <v>97.532849578348703</v>
      </c>
      <c r="BX3" s="6">
        <v>99.445642936523498</v>
      </c>
      <c r="BY3" s="6" t="str">
        <f>TRIM(Table1[[#This Row],[LA_Name]])</f>
        <v>Darlington</v>
      </c>
      <c r="BZ3" s="7">
        <v>20.138246995049698</v>
      </c>
      <c r="CA3" s="7">
        <v>0.26108387265476901</v>
      </c>
      <c r="CB3" s="7">
        <v>1.5736680394848701</v>
      </c>
      <c r="CC3" s="7">
        <v>3.5958292475648799</v>
      </c>
      <c r="CD3" s="7">
        <v>7.0130483101261696</v>
      </c>
      <c r="CE3" s="7">
        <v>26.1083872654769</v>
      </c>
      <c r="CF3" s="7">
        <v>93.716414983330097</v>
      </c>
      <c r="CG3" s="7">
        <v>98.0937438713473</v>
      </c>
      <c r="CH3" s="7">
        <v>98.0937438713473</v>
      </c>
      <c r="CI3" s="7">
        <v>14.6940578825467</v>
      </c>
      <c r="CJ3" s="7">
        <v>0.71529057985225897</v>
      </c>
      <c r="CK3" s="7">
        <v>1.9120611884683301</v>
      </c>
      <c r="CL3" s="7">
        <v>2.6955873700725599</v>
      </c>
      <c r="CM3" s="7">
        <v>3.2146564685886099</v>
      </c>
      <c r="CN3" s="7">
        <v>60.6027325619403</v>
      </c>
      <c r="CO3" s="7">
        <v>98.183957638752702</v>
      </c>
      <c r="CP3" s="7">
        <v>100</v>
      </c>
      <c r="CQ3" s="7">
        <v>100</v>
      </c>
      <c r="CR3" s="7">
        <v>9.8288755854898202</v>
      </c>
      <c r="CS3" s="7">
        <v>1.88567693011702</v>
      </c>
      <c r="CT3" s="7">
        <v>8.3468261750670099</v>
      </c>
      <c r="CU3" s="7">
        <v>10</v>
      </c>
      <c r="CV3" s="7">
        <v>10</v>
      </c>
      <c r="CW3" s="7">
        <v>95.697195528535005</v>
      </c>
      <c r="CX3" s="7">
        <v>100</v>
      </c>
      <c r="CY3" s="7">
        <v>100</v>
      </c>
      <c r="CZ3" s="7">
        <v>100</v>
      </c>
      <c r="DA3" s="9">
        <v>30.2541537116523</v>
      </c>
      <c r="DB3" s="9">
        <v>0.19135778257174599</v>
      </c>
      <c r="DC3" s="9">
        <v>0.66656207099431297</v>
      </c>
      <c r="DD3" s="9">
        <v>1.24649277636138</v>
      </c>
      <c r="DE3" s="9">
        <v>1.65764528992613</v>
      </c>
      <c r="DF3" s="9">
        <v>19.1357782571746</v>
      </c>
      <c r="DG3" s="9">
        <v>57.731581355821397</v>
      </c>
      <c r="DH3" s="9">
        <v>83.158789305092498</v>
      </c>
      <c r="DI3" s="9">
        <v>92.650846571223099</v>
      </c>
    </row>
    <row r="4" spans="1:113">
      <c r="A4" s="5" t="s">
        <v>112</v>
      </c>
      <c r="B4" s="5" t="s">
        <v>117</v>
      </c>
      <c r="C4" s="5" t="s">
        <v>118</v>
      </c>
      <c r="D4" s="6">
        <v>67552</v>
      </c>
      <c r="E4" s="7">
        <v>7.37189883172816</v>
      </c>
      <c r="F4" s="7">
        <v>3.90963998105163</v>
      </c>
      <c r="G4" s="7">
        <v>9.6041123874940801</v>
      </c>
      <c r="H4" s="7">
        <v>9.8341869966840392</v>
      </c>
      <c r="I4" s="7">
        <v>9.8830382520132591</v>
      </c>
      <c r="J4" s="7">
        <v>92.404369966840406</v>
      </c>
      <c r="K4" s="7">
        <v>99.159166271909001</v>
      </c>
      <c r="L4" s="7">
        <v>99.499644718143102</v>
      </c>
      <c r="M4" s="7">
        <v>100</v>
      </c>
      <c r="N4" s="7">
        <v>7.5887383001074298</v>
      </c>
      <c r="O4" s="7">
        <v>7.8351048081477996</v>
      </c>
      <c r="P4" s="7">
        <v>9.9527031027948798</v>
      </c>
      <c r="Q4" s="7">
        <v>10</v>
      </c>
      <c r="R4" s="7">
        <v>10</v>
      </c>
      <c r="S4" s="7">
        <v>98.914909995262903</v>
      </c>
      <c r="T4" s="7">
        <v>100</v>
      </c>
      <c r="U4" s="7">
        <v>100</v>
      </c>
      <c r="V4" s="7">
        <v>100</v>
      </c>
      <c r="W4" s="7">
        <v>6.6062751504226904</v>
      </c>
      <c r="X4" s="7">
        <v>9.9141106110847907</v>
      </c>
      <c r="Y4" s="7">
        <v>10</v>
      </c>
      <c r="Z4" s="7">
        <v>10</v>
      </c>
      <c r="AA4" s="7">
        <v>10</v>
      </c>
      <c r="AB4" s="7">
        <v>100</v>
      </c>
      <c r="AC4" s="7">
        <v>100</v>
      </c>
      <c r="AD4" s="7">
        <v>100</v>
      </c>
      <c r="AE4" s="7">
        <v>100</v>
      </c>
      <c r="AF4" s="6">
        <v>7.6144484060369599</v>
      </c>
      <c r="AG4" s="6">
        <v>2.9618516106110802</v>
      </c>
      <c r="AH4" s="6">
        <v>7.6910232117479902</v>
      </c>
      <c r="AI4" s="6">
        <v>9.0932614874467106</v>
      </c>
      <c r="AJ4" s="6">
        <v>9.8705441733775494</v>
      </c>
      <c r="AK4" s="6">
        <v>90.678292278540994</v>
      </c>
      <c r="AL4" s="6">
        <v>99.159166271909001</v>
      </c>
      <c r="AM4" s="6">
        <v>99.499644718143102</v>
      </c>
      <c r="AN4" s="6">
        <v>100</v>
      </c>
      <c r="AO4" s="6">
        <v>12.900208442292801</v>
      </c>
      <c r="AP4" s="7">
        <v>1.25501835622928</v>
      </c>
      <c r="AQ4" s="7">
        <v>7.1950497394599697</v>
      </c>
      <c r="AR4" s="7">
        <v>9.7455293699668406</v>
      </c>
      <c r="AS4" s="7">
        <v>9.8297311700615797</v>
      </c>
      <c r="AT4" s="7">
        <v>68.217077214590205</v>
      </c>
      <c r="AU4" s="7">
        <v>98.713583609663701</v>
      </c>
      <c r="AV4" s="7">
        <v>99.054062055897703</v>
      </c>
      <c r="AW4" s="7">
        <v>99.054062055897703</v>
      </c>
      <c r="AX4" s="7">
        <v>10.070581641053501</v>
      </c>
      <c r="AY4" s="7">
        <v>3.58523803884415</v>
      </c>
      <c r="AZ4" s="7">
        <v>9.5037008526764595</v>
      </c>
      <c r="BA4" s="7">
        <v>10</v>
      </c>
      <c r="BB4" s="7">
        <v>10</v>
      </c>
      <c r="BC4" s="7">
        <v>93.2096755092373</v>
      </c>
      <c r="BD4" s="7">
        <v>100</v>
      </c>
      <c r="BE4" s="7">
        <v>100</v>
      </c>
      <c r="BF4" s="7">
        <v>100</v>
      </c>
      <c r="BG4" s="7">
        <v>7.7908024889832097</v>
      </c>
      <c r="BH4" s="7">
        <v>9.2891698247276207</v>
      </c>
      <c r="BI4" s="7">
        <v>10</v>
      </c>
      <c r="BJ4" s="7">
        <v>10</v>
      </c>
      <c r="BK4" s="7">
        <v>10</v>
      </c>
      <c r="BL4" s="7">
        <v>100</v>
      </c>
      <c r="BM4" s="7">
        <v>100</v>
      </c>
      <c r="BN4" s="7">
        <v>100</v>
      </c>
      <c r="BO4" s="7">
        <v>100</v>
      </c>
      <c r="BP4" s="6">
        <v>15.6562710316633</v>
      </c>
      <c r="BQ4" s="6">
        <v>0.87685042633822796</v>
      </c>
      <c r="BR4" s="6">
        <v>3.21371684036002</v>
      </c>
      <c r="BS4" s="6">
        <v>5.9245026054002796</v>
      </c>
      <c r="BT4" s="6">
        <v>8.1591366650876402</v>
      </c>
      <c r="BU4" s="6">
        <v>55.777771198484103</v>
      </c>
      <c r="BV4" s="6">
        <v>91.159403126480299</v>
      </c>
      <c r="BW4" s="6">
        <v>99.054062055897703</v>
      </c>
      <c r="BX4" s="6">
        <v>99.054062055897703</v>
      </c>
      <c r="BY4" s="6" t="str">
        <f>TRIM(Table1[[#This Row],[LA_Name]])</f>
        <v>Hartlepool</v>
      </c>
      <c r="BZ4" s="7">
        <v>47.277359088299598</v>
      </c>
      <c r="CA4" s="7">
        <v>0</v>
      </c>
      <c r="CB4" s="7">
        <v>7.4742420653718597E-2</v>
      </c>
      <c r="CC4" s="7">
        <v>0.65355577925153996</v>
      </c>
      <c r="CD4" s="7">
        <v>3.4943747039317898</v>
      </c>
      <c r="CE4" s="7">
        <v>0</v>
      </c>
      <c r="CF4" s="7">
        <v>7.4742420653718602</v>
      </c>
      <c r="CG4" s="7">
        <v>44.8084438654666</v>
      </c>
      <c r="CH4" s="7">
        <v>89.827096162955897</v>
      </c>
      <c r="CI4" s="7">
        <v>55.493133564856002</v>
      </c>
      <c r="CJ4" s="7">
        <v>0</v>
      </c>
      <c r="CK4" s="7">
        <v>0</v>
      </c>
      <c r="CL4" s="7">
        <v>2.55062766461393E-2</v>
      </c>
      <c r="CM4" s="7">
        <v>1.11699135480815</v>
      </c>
      <c r="CN4" s="7">
        <v>0</v>
      </c>
      <c r="CO4" s="7">
        <v>0</v>
      </c>
      <c r="CP4" s="7">
        <v>2.5506276646139301</v>
      </c>
      <c r="CQ4" s="7">
        <v>77.035468972051206</v>
      </c>
      <c r="CR4" s="7">
        <v>23.217813852329201</v>
      </c>
      <c r="CS4" s="7">
        <v>0</v>
      </c>
      <c r="CT4" s="7">
        <v>4.6960119611558504</v>
      </c>
      <c r="CU4" s="7">
        <v>10</v>
      </c>
      <c r="CV4" s="7">
        <v>10</v>
      </c>
      <c r="CW4" s="7">
        <v>0</v>
      </c>
      <c r="CX4" s="7">
        <v>100</v>
      </c>
      <c r="CY4" s="7">
        <v>100</v>
      </c>
      <c r="CZ4" s="7">
        <v>100</v>
      </c>
      <c r="DA4" s="9">
        <v>119.956475760009</v>
      </c>
      <c r="DB4" s="9">
        <v>0</v>
      </c>
      <c r="DC4" s="9">
        <v>0</v>
      </c>
      <c r="DD4" s="9">
        <v>0</v>
      </c>
      <c r="DE4" s="9">
        <v>0</v>
      </c>
      <c r="DF4" s="9">
        <v>0</v>
      </c>
      <c r="DG4" s="9">
        <v>0</v>
      </c>
      <c r="DH4" s="9">
        <v>0</v>
      </c>
      <c r="DI4" s="9">
        <v>0</v>
      </c>
    </row>
    <row r="5" spans="1:113">
      <c r="A5" s="5" t="s">
        <v>112</v>
      </c>
      <c r="B5" s="5" t="s">
        <v>119</v>
      </c>
      <c r="C5" s="5" t="s">
        <v>120</v>
      </c>
      <c r="D5" s="6">
        <v>100818</v>
      </c>
      <c r="E5" s="7">
        <v>5.7834583181611396</v>
      </c>
      <c r="F5" s="7">
        <v>4.4930072010950397</v>
      </c>
      <c r="G5" s="7">
        <v>9.9912317244936393</v>
      </c>
      <c r="H5" s="7">
        <v>10</v>
      </c>
      <c r="I5" s="7">
        <v>10</v>
      </c>
      <c r="J5" s="7">
        <v>99.337419905175693</v>
      </c>
      <c r="K5" s="7">
        <v>100</v>
      </c>
      <c r="L5" s="7">
        <v>100</v>
      </c>
      <c r="M5" s="7">
        <v>100</v>
      </c>
      <c r="N5" s="7">
        <v>7.0454299877483999</v>
      </c>
      <c r="O5" s="7">
        <v>8.9180503481521196</v>
      </c>
      <c r="P5" s="7">
        <v>10</v>
      </c>
      <c r="Q5" s="7">
        <v>10</v>
      </c>
      <c r="R5" s="7">
        <v>10</v>
      </c>
      <c r="S5" s="7">
        <v>100</v>
      </c>
      <c r="T5" s="7">
        <v>100</v>
      </c>
      <c r="U5" s="7">
        <v>100</v>
      </c>
      <c r="V5" s="7">
        <v>100</v>
      </c>
      <c r="W5" s="7">
        <v>6.3134837013885896</v>
      </c>
      <c r="X5" s="7">
        <v>10</v>
      </c>
      <c r="Y5" s="7">
        <v>10</v>
      </c>
      <c r="Z5" s="7">
        <v>10</v>
      </c>
      <c r="AA5" s="7">
        <v>10</v>
      </c>
      <c r="AB5" s="7">
        <v>100</v>
      </c>
      <c r="AC5" s="7">
        <v>100</v>
      </c>
      <c r="AD5" s="7">
        <v>100</v>
      </c>
      <c r="AE5" s="7">
        <v>100</v>
      </c>
      <c r="AF5" s="6">
        <v>5.8380957793187003</v>
      </c>
      <c r="AG5" s="6">
        <v>3.7905036798984302</v>
      </c>
      <c r="AH5" s="6">
        <v>9.2503322819337797</v>
      </c>
      <c r="AI5" s="6">
        <v>10</v>
      </c>
      <c r="AJ5" s="6">
        <v>10</v>
      </c>
      <c r="AK5" s="6">
        <v>98.509194786645196</v>
      </c>
      <c r="AL5" s="6">
        <v>100</v>
      </c>
      <c r="AM5" s="6">
        <v>100</v>
      </c>
      <c r="AN5" s="6">
        <v>100</v>
      </c>
      <c r="AO5" s="6">
        <v>15.372878904981</v>
      </c>
      <c r="AP5" s="7">
        <v>0.72961177567497904</v>
      </c>
      <c r="AQ5" s="7">
        <v>4.8417048542918897</v>
      </c>
      <c r="AR5" s="7">
        <v>9.5946854728322304</v>
      </c>
      <c r="AS5" s="7">
        <v>10</v>
      </c>
      <c r="AT5" s="7">
        <v>48.492332718363798</v>
      </c>
      <c r="AU5" s="7">
        <v>96.689083298617305</v>
      </c>
      <c r="AV5" s="7">
        <v>100</v>
      </c>
      <c r="AW5" s="7">
        <v>100</v>
      </c>
      <c r="AX5" s="7">
        <v>11.335077282351801</v>
      </c>
      <c r="AY5" s="7">
        <v>2.1040092047055099</v>
      </c>
      <c r="AZ5" s="7">
        <v>8.8263306155646806</v>
      </c>
      <c r="BA5" s="7">
        <v>10</v>
      </c>
      <c r="BB5" s="7">
        <v>10</v>
      </c>
      <c r="BC5" s="7">
        <v>80.797079886528195</v>
      </c>
      <c r="BD5" s="7">
        <v>100</v>
      </c>
      <c r="BE5" s="7">
        <v>100</v>
      </c>
      <c r="BF5" s="7">
        <v>100</v>
      </c>
      <c r="BG5" s="7">
        <v>8.4578173617440306</v>
      </c>
      <c r="BH5" s="7">
        <v>7.7996191156341101</v>
      </c>
      <c r="BI5" s="7">
        <v>10</v>
      </c>
      <c r="BJ5" s="7">
        <v>10</v>
      </c>
      <c r="BK5" s="7">
        <v>10</v>
      </c>
      <c r="BL5" s="7">
        <v>100</v>
      </c>
      <c r="BM5" s="7">
        <v>100</v>
      </c>
      <c r="BN5" s="7">
        <v>100</v>
      </c>
      <c r="BO5" s="7">
        <v>100</v>
      </c>
      <c r="BP5" s="6">
        <v>18.732139415810899</v>
      </c>
      <c r="BQ5" s="6">
        <v>0.61633835227836298</v>
      </c>
      <c r="BR5" s="6">
        <v>2.0835565077664699</v>
      </c>
      <c r="BS5" s="6">
        <v>4.1556071336467699</v>
      </c>
      <c r="BT5" s="6">
        <v>7.1901148604415903</v>
      </c>
      <c r="BU5" s="6">
        <v>44.6378622864965</v>
      </c>
      <c r="BV5" s="6">
        <v>82.068678212224</v>
      </c>
      <c r="BW5" s="6">
        <v>97.936876351445207</v>
      </c>
      <c r="BX5" s="6">
        <v>100</v>
      </c>
      <c r="BY5" s="6" t="str">
        <f>TRIM(Table1[[#This Row],[LA_Name]])</f>
        <v>Middlesbrough</v>
      </c>
      <c r="BZ5" s="7">
        <v>18.711147248618399</v>
      </c>
      <c r="CA5" s="7">
        <v>0.60298756174492696</v>
      </c>
      <c r="CB5" s="7">
        <v>3.26600408657184</v>
      </c>
      <c r="CC5" s="7">
        <v>6.1930508440952998</v>
      </c>
      <c r="CD5" s="7">
        <v>7.8066813465849396</v>
      </c>
      <c r="CE5" s="7">
        <v>34.863814001468</v>
      </c>
      <c r="CF5" s="7">
        <v>91.365629153524196</v>
      </c>
      <c r="CG5" s="7">
        <v>100</v>
      </c>
      <c r="CH5" s="7">
        <v>100</v>
      </c>
      <c r="CI5" s="7">
        <v>15.6523024616288</v>
      </c>
      <c r="CJ5" s="7">
        <v>1.4006526612311301</v>
      </c>
      <c r="CK5" s="7">
        <v>4.6465115356384796</v>
      </c>
      <c r="CL5" s="7">
        <v>7.3357237794838204</v>
      </c>
      <c r="CM5" s="7">
        <v>7.9950108115614302</v>
      </c>
      <c r="CN5" s="7">
        <v>51.227955325437897</v>
      </c>
      <c r="CO5" s="7">
        <v>99.616139975004501</v>
      </c>
      <c r="CP5" s="7">
        <v>100</v>
      </c>
      <c r="CQ5" s="7">
        <v>100</v>
      </c>
      <c r="CR5" s="7">
        <v>10.6380152303714</v>
      </c>
      <c r="CS5" s="7">
        <v>4.0780416195520601</v>
      </c>
      <c r="CT5" s="7">
        <v>9.1790057331032209</v>
      </c>
      <c r="CU5" s="7">
        <v>10</v>
      </c>
      <c r="CV5" s="7">
        <v>10</v>
      </c>
      <c r="CW5" s="7">
        <v>86.0649883949295</v>
      </c>
      <c r="CX5" s="7">
        <v>100</v>
      </c>
      <c r="CY5" s="7">
        <v>100</v>
      </c>
      <c r="CZ5" s="7">
        <v>100</v>
      </c>
      <c r="DA5" s="9">
        <v>31.7754477601685</v>
      </c>
      <c r="DB5" s="9">
        <v>0.42370410045825202</v>
      </c>
      <c r="DC5" s="9">
        <v>1.2934099069610601</v>
      </c>
      <c r="DD5" s="9">
        <v>2.2426650002975701</v>
      </c>
      <c r="DE5" s="9">
        <v>3.2209922831240498</v>
      </c>
      <c r="DF5" s="9">
        <v>25.087781943700499</v>
      </c>
      <c r="DG5" s="9">
        <v>51.115872165684699</v>
      </c>
      <c r="DH5" s="9">
        <v>71.8324108790097</v>
      </c>
      <c r="DI5" s="9">
        <v>88.273919339800401</v>
      </c>
    </row>
    <row r="6" spans="1:113">
      <c r="A6" s="5" t="s">
        <v>112</v>
      </c>
      <c r="B6" s="5" t="s">
        <v>121</v>
      </c>
      <c r="C6" s="5" t="s">
        <v>122</v>
      </c>
      <c r="D6" s="6">
        <v>235039</v>
      </c>
      <c r="E6" s="7">
        <v>14.5007520954917</v>
      </c>
      <c r="F6" s="7">
        <v>1.5535889788503201</v>
      </c>
      <c r="G6" s="7">
        <v>6.7631159084237096</v>
      </c>
      <c r="H6" s="7">
        <v>8.4173605231472202</v>
      </c>
      <c r="I6" s="7">
        <v>9.01606116431741</v>
      </c>
      <c r="J6" s="7">
        <v>72.748777862397304</v>
      </c>
      <c r="K6" s="7">
        <v>92.183850339730895</v>
      </c>
      <c r="L6" s="7">
        <v>95.961521279447197</v>
      </c>
      <c r="M6" s="7">
        <v>96.7252243244738</v>
      </c>
      <c r="N6" s="7">
        <v>12.0828831995152</v>
      </c>
      <c r="O6" s="7">
        <v>2.8248801262769199</v>
      </c>
      <c r="P6" s="7">
        <v>6.7933789711494699</v>
      </c>
      <c r="Q6" s="7">
        <v>8.0074668459277003</v>
      </c>
      <c r="R6" s="7">
        <v>8.8469232765626096</v>
      </c>
      <c r="S6" s="7">
        <v>84.018822408196101</v>
      </c>
      <c r="T6" s="7">
        <v>93.749973408668396</v>
      </c>
      <c r="U6" s="7">
        <v>97.033683771629399</v>
      </c>
      <c r="V6" s="7">
        <v>98.846999859597801</v>
      </c>
      <c r="W6" s="7">
        <v>8.4289545183420902</v>
      </c>
      <c r="X6" s="7">
        <v>6.6760792889690599</v>
      </c>
      <c r="Y6" s="7">
        <v>9.2996821804040994</v>
      </c>
      <c r="Z6" s="7">
        <v>9.8369121720225206</v>
      </c>
      <c r="AA6" s="7">
        <v>9.9796501857138598</v>
      </c>
      <c r="AB6" s="7">
        <v>93.624036861967596</v>
      </c>
      <c r="AC6" s="7">
        <v>99.255442713762406</v>
      </c>
      <c r="AD6" s="7">
        <v>99.821306251303</v>
      </c>
      <c r="AE6" s="7">
        <v>99.934053497504706</v>
      </c>
      <c r="AF6" s="6">
        <v>19.8869272619649</v>
      </c>
      <c r="AG6" s="6">
        <v>1.2054850471623899</v>
      </c>
      <c r="AH6" s="6">
        <v>2.8496164466322602</v>
      </c>
      <c r="AI6" s="6">
        <v>4.4220533613570501</v>
      </c>
      <c r="AJ6" s="6">
        <v>5.7926897238330701</v>
      </c>
      <c r="AK6" s="6">
        <v>66.793170495109294</v>
      </c>
      <c r="AL6" s="6">
        <v>84.035840860453007</v>
      </c>
      <c r="AM6" s="6">
        <v>88.992890541569693</v>
      </c>
      <c r="AN6" s="6">
        <v>91.534596386131696</v>
      </c>
      <c r="AO6" s="6">
        <v>18.210476612241902</v>
      </c>
      <c r="AP6" s="7">
        <v>1.10498683197257</v>
      </c>
      <c r="AQ6" s="7">
        <v>5.5710754385442396</v>
      </c>
      <c r="AR6" s="7">
        <v>7.8665242789494503</v>
      </c>
      <c r="AS6" s="7">
        <v>8.8368611166657391</v>
      </c>
      <c r="AT6" s="7">
        <v>60.632916239432603</v>
      </c>
      <c r="AU6" s="7">
        <v>88.401924786950204</v>
      </c>
      <c r="AV6" s="7">
        <v>93.986104433732294</v>
      </c>
      <c r="AW6" s="7">
        <v>95.553929347895505</v>
      </c>
      <c r="AX6" s="7">
        <v>16.5457819622352</v>
      </c>
      <c r="AY6" s="7">
        <v>2.1891047868651601</v>
      </c>
      <c r="AZ6" s="7">
        <v>5.8982679470215604</v>
      </c>
      <c r="BA6" s="7">
        <v>7.3680878492505499</v>
      </c>
      <c r="BB6" s="7">
        <v>7.9478256799935298</v>
      </c>
      <c r="BC6" s="7">
        <v>72.358629844408796</v>
      </c>
      <c r="BD6" s="7">
        <v>86.520960351260896</v>
      </c>
      <c r="BE6" s="7">
        <v>92.224694625147293</v>
      </c>
      <c r="BF6" s="7">
        <v>95.299503486655397</v>
      </c>
      <c r="BG6" s="7">
        <v>9.8422119018623597</v>
      </c>
      <c r="BH6" s="7">
        <v>5.6723990486685203</v>
      </c>
      <c r="BI6" s="7">
        <v>8.7285982326337308</v>
      </c>
      <c r="BJ6" s="7">
        <v>9.5763171218393506</v>
      </c>
      <c r="BK6" s="7">
        <v>9.9585685779806798</v>
      </c>
      <c r="BL6" s="7">
        <v>87.315296610349804</v>
      </c>
      <c r="BM6" s="7">
        <v>98.193916754240803</v>
      </c>
      <c r="BN6" s="7">
        <v>99.785142040257099</v>
      </c>
      <c r="BO6" s="7">
        <v>100</v>
      </c>
      <c r="BP6" s="6">
        <v>30.2203582986016</v>
      </c>
      <c r="BQ6" s="6">
        <v>0.85374342130455005</v>
      </c>
      <c r="BR6" s="6">
        <v>2.18348869762039</v>
      </c>
      <c r="BS6" s="6">
        <v>3.36909619254677</v>
      </c>
      <c r="BT6" s="6">
        <v>4.5036610945417603</v>
      </c>
      <c r="BU6" s="6">
        <v>53.344338599126097</v>
      </c>
      <c r="BV6" s="6">
        <v>72.3003416454291</v>
      </c>
      <c r="BW6" s="6">
        <v>78.535902552342407</v>
      </c>
      <c r="BX6" s="6">
        <v>83.431685805334396</v>
      </c>
      <c r="BY6" s="6" t="str">
        <f>TRIM(Table1[[#This Row],[LA_Name]])</f>
        <v>Northumberland</v>
      </c>
      <c r="BZ6" s="7">
        <v>54.739685935598501</v>
      </c>
      <c r="CA6" s="7">
        <v>7.7944511336416498E-3</v>
      </c>
      <c r="CB6" s="7">
        <v>0.13556473606507899</v>
      </c>
      <c r="CC6" s="7">
        <v>1.35873195512234</v>
      </c>
      <c r="CD6" s="7">
        <v>4.14595450116789</v>
      </c>
      <c r="CE6" s="7">
        <v>0.779445113364165</v>
      </c>
      <c r="CF6" s="7">
        <v>11.389173711596801</v>
      </c>
      <c r="CG6" s="7">
        <v>41.772216525768101</v>
      </c>
      <c r="CH6" s="7">
        <v>68.913669646314005</v>
      </c>
      <c r="CI6" s="7">
        <v>68.552920228512207</v>
      </c>
      <c r="CJ6" s="7">
        <v>1.97243861657002E-2</v>
      </c>
      <c r="CK6" s="7">
        <v>0.111130493237293</v>
      </c>
      <c r="CL6" s="7">
        <v>0.62732142325316198</v>
      </c>
      <c r="CM6" s="7">
        <v>1.9169244253081399</v>
      </c>
      <c r="CN6" s="7">
        <v>1.9724386165700201</v>
      </c>
      <c r="CO6" s="7">
        <v>11.1130493237293</v>
      </c>
      <c r="CP6" s="7">
        <v>35.319670352579799</v>
      </c>
      <c r="CQ6" s="7">
        <v>58.4524270440225</v>
      </c>
      <c r="CR6" s="7">
        <v>30.849431808110499</v>
      </c>
      <c r="CS6" s="7">
        <v>9.9936606265343203E-2</v>
      </c>
      <c r="CT6" s="7">
        <v>3.4028054918545401</v>
      </c>
      <c r="CU6" s="7">
        <v>7.5179268121460696</v>
      </c>
      <c r="CV6" s="7">
        <v>8.6511302379605102</v>
      </c>
      <c r="CW6" s="7">
        <v>9.9936606265343197</v>
      </c>
      <c r="CX6" s="7">
        <v>65.475516829122</v>
      </c>
      <c r="CY6" s="7">
        <v>81.640919166606395</v>
      </c>
      <c r="CZ6" s="7">
        <v>89.438348529392997</v>
      </c>
      <c r="DA6" s="9">
        <v>106.747890020678</v>
      </c>
      <c r="DB6" s="9">
        <v>7.7944511336416498E-3</v>
      </c>
      <c r="DC6" s="9">
        <v>2.6974246827122302E-2</v>
      </c>
      <c r="DD6" s="9">
        <v>8.14503125013296E-2</v>
      </c>
      <c r="DE6" s="9">
        <v>9.2967550066159199E-2</v>
      </c>
      <c r="DF6" s="9">
        <v>0.779445113364165</v>
      </c>
      <c r="DG6" s="9">
        <v>2.6974246827122301</v>
      </c>
      <c r="DH6" s="9">
        <v>8.1450312501329591</v>
      </c>
      <c r="DI6" s="9">
        <v>9.2967550066159195</v>
      </c>
    </row>
    <row r="7" spans="1:113">
      <c r="A7" s="5" t="s">
        <v>112</v>
      </c>
      <c r="B7" s="5" t="s">
        <v>123</v>
      </c>
      <c r="C7" s="5" t="s">
        <v>124</v>
      </c>
      <c r="D7" s="6">
        <v>98184</v>
      </c>
      <c r="E7" s="7">
        <v>7.2901032871148104</v>
      </c>
      <c r="F7" s="7">
        <v>2.7770206958363901</v>
      </c>
      <c r="G7" s="7">
        <v>9.7665200032591901</v>
      </c>
      <c r="H7" s="7">
        <v>9.9934918112930795</v>
      </c>
      <c r="I7" s="7">
        <v>10</v>
      </c>
      <c r="J7" s="7">
        <v>95.858795730465204</v>
      </c>
      <c r="K7" s="7">
        <v>100</v>
      </c>
      <c r="L7" s="7">
        <v>100</v>
      </c>
      <c r="M7" s="7">
        <v>100</v>
      </c>
      <c r="N7" s="7">
        <v>7.7466357859074799</v>
      </c>
      <c r="O7" s="7">
        <v>6.0698077079768602</v>
      </c>
      <c r="P7" s="7">
        <v>9.5988042858306795</v>
      </c>
      <c r="Q7" s="7">
        <v>10</v>
      </c>
      <c r="R7" s="7">
        <v>10</v>
      </c>
      <c r="S7" s="7">
        <v>98.930579320459501</v>
      </c>
      <c r="T7" s="7">
        <v>100</v>
      </c>
      <c r="U7" s="7">
        <v>100</v>
      </c>
      <c r="V7" s="7">
        <v>100</v>
      </c>
      <c r="W7" s="7">
        <v>6.5956279070125001</v>
      </c>
      <c r="X7" s="7">
        <v>9.6552696977104198</v>
      </c>
      <c r="Y7" s="7">
        <v>10</v>
      </c>
      <c r="Z7" s="7">
        <v>10</v>
      </c>
      <c r="AA7" s="7">
        <v>10</v>
      </c>
      <c r="AB7" s="7">
        <v>100</v>
      </c>
      <c r="AC7" s="7">
        <v>100</v>
      </c>
      <c r="AD7" s="7">
        <v>100</v>
      </c>
      <c r="AE7" s="7">
        <v>100</v>
      </c>
      <c r="AF7" s="6">
        <v>7.9586017172849104</v>
      </c>
      <c r="AG7" s="6">
        <v>2.16768516255194</v>
      </c>
      <c r="AH7" s="6">
        <v>6.1061578261223799</v>
      </c>
      <c r="AI7" s="6">
        <v>8.0871628778619709</v>
      </c>
      <c r="AJ7" s="6">
        <v>9.0740242809419094</v>
      </c>
      <c r="AK7" s="6">
        <v>91.516947771530994</v>
      </c>
      <c r="AL7" s="6">
        <v>98.535402916972203</v>
      </c>
      <c r="AM7" s="6">
        <v>99.5549172981341</v>
      </c>
      <c r="AN7" s="6">
        <v>100</v>
      </c>
      <c r="AO7" s="6">
        <v>13.259368531347</v>
      </c>
      <c r="AP7" s="7">
        <v>0.97530147478204199</v>
      </c>
      <c r="AQ7" s="7">
        <v>5.3767721828403801</v>
      </c>
      <c r="AR7" s="7">
        <v>9.3794304571009501</v>
      </c>
      <c r="AS7" s="7">
        <v>9.9937668051821102</v>
      </c>
      <c r="AT7" s="7">
        <v>60.547543387924698</v>
      </c>
      <c r="AU7" s="7">
        <v>98.926505336918396</v>
      </c>
      <c r="AV7" s="7">
        <v>100</v>
      </c>
      <c r="AW7" s="7">
        <v>100</v>
      </c>
      <c r="AX7" s="7">
        <v>11.103286986633499</v>
      </c>
      <c r="AY7" s="7">
        <v>2.08142874602787</v>
      </c>
      <c r="AZ7" s="7">
        <v>6.73881691517966</v>
      </c>
      <c r="BA7" s="7">
        <v>9.3465024851299603</v>
      </c>
      <c r="BB7" s="7">
        <v>9.9219221054346907</v>
      </c>
      <c r="BC7" s="7">
        <v>80.092479426383093</v>
      </c>
      <c r="BD7" s="7">
        <v>99.783060376436097</v>
      </c>
      <c r="BE7" s="7">
        <v>100</v>
      </c>
      <c r="BF7" s="7">
        <v>100</v>
      </c>
      <c r="BG7" s="7">
        <v>8.0660745186909892</v>
      </c>
      <c r="BH7" s="7">
        <v>6.1466226676444196</v>
      </c>
      <c r="BI7" s="7">
        <v>9.9749144463456396</v>
      </c>
      <c r="BJ7" s="7">
        <v>10</v>
      </c>
      <c r="BK7" s="7">
        <v>10</v>
      </c>
      <c r="BL7" s="7">
        <v>99.783060376436097</v>
      </c>
      <c r="BM7" s="7">
        <v>100</v>
      </c>
      <c r="BN7" s="7">
        <v>100</v>
      </c>
      <c r="BO7" s="7">
        <v>100</v>
      </c>
      <c r="BP7" s="6">
        <v>18.790567497158602</v>
      </c>
      <c r="BQ7" s="6">
        <v>0.74481585594394195</v>
      </c>
      <c r="BR7" s="6">
        <v>2.07371873217632</v>
      </c>
      <c r="BS7" s="6">
        <v>3.73797156359488</v>
      </c>
      <c r="BT7" s="6">
        <v>5.1137456204676903</v>
      </c>
      <c r="BU7" s="6">
        <v>48.388739509492403</v>
      </c>
      <c r="BV7" s="6">
        <v>78.200114071539105</v>
      </c>
      <c r="BW7" s="6">
        <v>94.824003911024207</v>
      </c>
      <c r="BX7" s="6">
        <v>99.783060376436097</v>
      </c>
      <c r="BY7" s="6" t="str">
        <f>TRIM(Table1[[#This Row],[LA_Name]])</f>
        <v>Redcar and Cleveland</v>
      </c>
      <c r="BZ7" s="7">
        <v>42.805241138983902</v>
      </c>
      <c r="CA7" s="7">
        <v>2.0268068117004802E-3</v>
      </c>
      <c r="CB7" s="7">
        <v>0.27006436893995001</v>
      </c>
      <c r="CC7" s="7">
        <v>2.0797584127760098</v>
      </c>
      <c r="CD7" s="7">
        <v>4.7195978978244897</v>
      </c>
      <c r="CE7" s="7">
        <v>0.202680681170048</v>
      </c>
      <c r="CF7" s="7">
        <v>17.830807463537798</v>
      </c>
      <c r="CG7" s="7">
        <v>64.048113745620498</v>
      </c>
      <c r="CH7" s="7">
        <v>88.044895298623004</v>
      </c>
      <c r="CI7" s="7">
        <v>55.640180273471003</v>
      </c>
      <c r="CJ7" s="7">
        <v>0</v>
      </c>
      <c r="CK7" s="7">
        <v>0.53619734376273098</v>
      </c>
      <c r="CL7" s="7">
        <v>1.1854171759146099</v>
      </c>
      <c r="CM7" s="7">
        <v>3.29650452212173</v>
      </c>
      <c r="CN7" s="7">
        <v>0</v>
      </c>
      <c r="CO7" s="7">
        <v>19.653915098182999</v>
      </c>
      <c r="CP7" s="7">
        <v>28.3019636600668</v>
      </c>
      <c r="CQ7" s="7">
        <v>64.539028762323795</v>
      </c>
      <c r="CR7" s="7">
        <v>22.662878655157598</v>
      </c>
      <c r="CS7" s="7">
        <v>0.239040984274424</v>
      </c>
      <c r="CT7" s="7">
        <v>5.4741913142670899</v>
      </c>
      <c r="CU7" s="7">
        <v>9.3740629837855494</v>
      </c>
      <c r="CV7" s="7">
        <v>9.9782347429316403</v>
      </c>
      <c r="CW7" s="7">
        <v>11.170862869714</v>
      </c>
      <c r="CX7" s="7">
        <v>87.564165240772397</v>
      </c>
      <c r="CY7" s="7">
        <v>100</v>
      </c>
      <c r="CZ7" s="7">
        <v>100</v>
      </c>
      <c r="DA7" s="9">
        <v>106.303028131982</v>
      </c>
      <c r="DB7" s="9">
        <v>0</v>
      </c>
      <c r="DC7" s="9">
        <v>0</v>
      </c>
      <c r="DD7" s="9">
        <v>3.1573372443575299E-3</v>
      </c>
      <c r="DE7" s="9">
        <v>8.92202395502322E-2</v>
      </c>
      <c r="DF7" s="9">
        <v>0</v>
      </c>
      <c r="DG7" s="9">
        <v>0</v>
      </c>
      <c r="DH7" s="9">
        <v>0.31573372443575298</v>
      </c>
      <c r="DI7" s="9">
        <v>6.2118064043021297</v>
      </c>
    </row>
    <row r="8" spans="1:113">
      <c r="A8" s="5" t="s">
        <v>112</v>
      </c>
      <c r="B8" s="5" t="s">
        <v>125</v>
      </c>
      <c r="C8" s="5" t="s">
        <v>126</v>
      </c>
      <c r="D8" s="6">
        <v>141707</v>
      </c>
      <c r="E8" s="7">
        <v>8.9225628194298103</v>
      </c>
      <c r="F8" s="7">
        <v>2.5233263000416399</v>
      </c>
      <c r="G8" s="7">
        <v>9.3334556514498193</v>
      </c>
      <c r="H8" s="7">
        <v>9.6631994185184897</v>
      </c>
      <c r="I8" s="7">
        <v>9.7631097969754492</v>
      </c>
      <c r="J8" s="7">
        <v>89.736569117968799</v>
      </c>
      <c r="K8" s="7">
        <v>98.256261158587805</v>
      </c>
      <c r="L8" s="7">
        <v>98.922424439159698</v>
      </c>
      <c r="M8" s="7">
        <v>99.794646700586398</v>
      </c>
      <c r="N8" s="7">
        <v>8.1667143357157901</v>
      </c>
      <c r="O8" s="7">
        <v>7.0156449575532598</v>
      </c>
      <c r="P8" s="7">
        <v>9.9002660419033592</v>
      </c>
      <c r="Q8" s="7">
        <v>10</v>
      </c>
      <c r="R8" s="7">
        <v>10</v>
      </c>
      <c r="S8" s="7">
        <v>97.562576301805805</v>
      </c>
      <c r="T8" s="7">
        <v>100</v>
      </c>
      <c r="U8" s="7">
        <v>100</v>
      </c>
      <c r="V8" s="7">
        <v>100</v>
      </c>
      <c r="W8" s="7">
        <v>6.8195792030694102</v>
      </c>
      <c r="X8" s="7">
        <v>9.8239536508429399</v>
      </c>
      <c r="Y8" s="7">
        <v>10</v>
      </c>
      <c r="Z8" s="7">
        <v>10</v>
      </c>
      <c r="AA8" s="7">
        <v>10</v>
      </c>
      <c r="AB8" s="7">
        <v>100</v>
      </c>
      <c r="AC8" s="7">
        <v>100</v>
      </c>
      <c r="AD8" s="7">
        <v>100</v>
      </c>
      <c r="AE8" s="7">
        <v>100</v>
      </c>
      <c r="AF8" s="6">
        <v>9.3835224052946007</v>
      </c>
      <c r="AG8" s="6">
        <v>2.10967700960432</v>
      </c>
      <c r="AH8" s="6">
        <v>6.9048600280861203</v>
      </c>
      <c r="AI8" s="6">
        <v>9.1660680135773092</v>
      </c>
      <c r="AJ8" s="6">
        <v>9.5806982012180093</v>
      </c>
      <c r="AK8" s="6">
        <v>86.755770709986095</v>
      </c>
      <c r="AL8" s="6">
        <v>96.763039228831303</v>
      </c>
      <c r="AM8" s="6">
        <v>98.548413275279302</v>
      </c>
      <c r="AN8" s="6">
        <v>99.794646700586398</v>
      </c>
      <c r="AO8" s="6">
        <v>13.181988331009901</v>
      </c>
      <c r="AP8" s="7">
        <v>1.1001503101469901</v>
      </c>
      <c r="AQ8" s="7">
        <v>6.7024141362106304</v>
      </c>
      <c r="AR8" s="7">
        <v>9.5726393191585508</v>
      </c>
      <c r="AS8" s="7">
        <v>9.6692259380270595</v>
      </c>
      <c r="AT8" s="7">
        <v>64.487287148835307</v>
      </c>
      <c r="AU8" s="7">
        <v>97.173040146217204</v>
      </c>
      <c r="AV8" s="7">
        <v>98.090426019886095</v>
      </c>
      <c r="AW8" s="7">
        <v>99.404404863556493</v>
      </c>
      <c r="AX8" s="7">
        <v>10.050299020191</v>
      </c>
      <c r="AY8" s="7">
        <v>3.00130551066637</v>
      </c>
      <c r="AZ8" s="7">
        <v>9.0932346320224102</v>
      </c>
      <c r="BA8" s="7">
        <v>9.9985392394165409</v>
      </c>
      <c r="BB8" s="7">
        <v>10</v>
      </c>
      <c r="BC8" s="7">
        <v>93.435751233178294</v>
      </c>
      <c r="BD8" s="7">
        <v>100</v>
      </c>
      <c r="BE8" s="7">
        <v>100</v>
      </c>
      <c r="BF8" s="7">
        <v>100</v>
      </c>
      <c r="BG8" s="7">
        <v>7.8180485685649304</v>
      </c>
      <c r="BH8" s="7">
        <v>8.8931033752743307</v>
      </c>
      <c r="BI8" s="7">
        <v>10</v>
      </c>
      <c r="BJ8" s="7">
        <v>10</v>
      </c>
      <c r="BK8" s="7">
        <v>10</v>
      </c>
      <c r="BL8" s="7">
        <v>100</v>
      </c>
      <c r="BM8" s="7">
        <v>100</v>
      </c>
      <c r="BN8" s="7">
        <v>100</v>
      </c>
      <c r="BO8" s="7">
        <v>100</v>
      </c>
      <c r="BP8" s="6">
        <v>15.0685855335031</v>
      </c>
      <c r="BQ8" s="6">
        <v>0.909665718701264</v>
      </c>
      <c r="BR8" s="6">
        <v>2.8680940249952398</v>
      </c>
      <c r="BS8" s="6">
        <v>5.5861037210582403</v>
      </c>
      <c r="BT8" s="6">
        <v>7.5877267883731898</v>
      </c>
      <c r="BU8" s="6">
        <v>56.985187746547503</v>
      </c>
      <c r="BV8" s="6">
        <v>93.598763646114904</v>
      </c>
      <c r="BW8" s="6">
        <v>97.827206842287296</v>
      </c>
      <c r="BX8" s="6">
        <v>99.404404863556493</v>
      </c>
      <c r="BY8" s="6" t="str">
        <f>TRIM(Table1[[#This Row],[LA_Name]])</f>
        <v>Stockton-on-Tees</v>
      </c>
      <c r="BZ8" s="7">
        <v>28.599939744445301</v>
      </c>
      <c r="CA8" s="7">
        <v>0.15146746455714999</v>
      </c>
      <c r="CB8" s="7">
        <v>1.5988624415166499</v>
      </c>
      <c r="CC8" s="7">
        <v>4.8827439717162902</v>
      </c>
      <c r="CD8" s="7">
        <v>7.8487865807617103</v>
      </c>
      <c r="CE8" s="7">
        <v>14.1947821914231</v>
      </c>
      <c r="CF8" s="7">
        <v>60.069015644957602</v>
      </c>
      <c r="CG8" s="7">
        <v>95.536564883880104</v>
      </c>
      <c r="CH8" s="7">
        <v>96.648013153902099</v>
      </c>
      <c r="CI8" s="7">
        <v>19.379367613358799</v>
      </c>
      <c r="CJ8" s="7">
        <v>0.48354703719646902</v>
      </c>
      <c r="CK8" s="7">
        <v>3.1726590782389001</v>
      </c>
      <c r="CL8" s="7">
        <v>6.8466624796234496</v>
      </c>
      <c r="CM8" s="7">
        <v>8.0946883357914601</v>
      </c>
      <c r="CN8" s="7">
        <v>29.6887239162497</v>
      </c>
      <c r="CO8" s="7">
        <v>90.328635847205803</v>
      </c>
      <c r="CP8" s="7">
        <v>99.744543318255296</v>
      </c>
      <c r="CQ8" s="7">
        <v>100</v>
      </c>
      <c r="CR8" s="7">
        <v>11.648845070230699</v>
      </c>
      <c r="CS8" s="7">
        <v>2.7167959239839901</v>
      </c>
      <c r="CT8" s="7">
        <v>9.9365521816141804</v>
      </c>
      <c r="CU8" s="7">
        <v>10</v>
      </c>
      <c r="CV8" s="7">
        <v>10</v>
      </c>
      <c r="CW8" s="7">
        <v>89.213659169977504</v>
      </c>
      <c r="CX8" s="7">
        <v>100</v>
      </c>
      <c r="CY8" s="7">
        <v>100</v>
      </c>
      <c r="CZ8" s="7">
        <v>100</v>
      </c>
      <c r="DA8" s="9">
        <v>45.657234215110201</v>
      </c>
      <c r="DB8" s="9">
        <v>0.121419548787286</v>
      </c>
      <c r="DC8" s="9">
        <v>0.46033011777823302</v>
      </c>
      <c r="DD8" s="9">
        <v>0.97300062805648302</v>
      </c>
      <c r="DE8" s="9">
        <v>1.7991348345529901</v>
      </c>
      <c r="DF8" s="9">
        <v>11.8695618423931</v>
      </c>
      <c r="DG8" s="9">
        <v>28.628084710000198</v>
      </c>
      <c r="DH8" s="9">
        <v>50.088563020881097</v>
      </c>
      <c r="DI8" s="9">
        <v>75.963078746991997</v>
      </c>
    </row>
    <row r="9" spans="1:113">
      <c r="A9" s="5" t="s">
        <v>112</v>
      </c>
      <c r="B9" s="5" t="s">
        <v>127</v>
      </c>
      <c r="C9" s="5" t="s">
        <v>128</v>
      </c>
      <c r="D9" s="6">
        <v>844590</v>
      </c>
      <c r="E9" s="7">
        <v>7.03072090685641</v>
      </c>
      <c r="F9" s="7">
        <v>4.2364306941829799</v>
      </c>
      <c r="G9" s="7">
        <v>9.9625652683550605</v>
      </c>
      <c r="H9" s="7">
        <v>10</v>
      </c>
      <c r="I9" s="7">
        <v>10</v>
      </c>
      <c r="J9" s="7">
        <v>96.70633088244</v>
      </c>
      <c r="K9" s="7">
        <v>99.973004653145296</v>
      </c>
      <c r="L9" s="7">
        <v>100</v>
      </c>
      <c r="M9" s="7">
        <v>100</v>
      </c>
      <c r="N9" s="7">
        <v>7.5859668984208399</v>
      </c>
      <c r="O9" s="7">
        <v>8.0916326264814895</v>
      </c>
      <c r="P9" s="7">
        <v>9.9894753667459995</v>
      </c>
      <c r="Q9" s="7">
        <v>10</v>
      </c>
      <c r="R9" s="7">
        <v>10</v>
      </c>
      <c r="S9" s="7">
        <v>99.638996436140602</v>
      </c>
      <c r="T9" s="7">
        <v>100</v>
      </c>
      <c r="U9" s="7">
        <v>100</v>
      </c>
      <c r="V9" s="7">
        <v>100</v>
      </c>
      <c r="W9" s="7">
        <v>6.5550870273519699</v>
      </c>
      <c r="X9" s="7">
        <v>9.9648077765543004</v>
      </c>
      <c r="Y9" s="7">
        <v>10</v>
      </c>
      <c r="Z9" s="7">
        <v>10</v>
      </c>
      <c r="AA9" s="7">
        <v>10</v>
      </c>
      <c r="AB9" s="7">
        <v>100</v>
      </c>
      <c r="AC9" s="7">
        <v>100</v>
      </c>
      <c r="AD9" s="7">
        <v>100</v>
      </c>
      <c r="AE9" s="7">
        <v>100</v>
      </c>
      <c r="AF9" s="6">
        <v>7.3792070390208098</v>
      </c>
      <c r="AG9" s="6">
        <v>3.0076025053576299</v>
      </c>
      <c r="AH9" s="6">
        <v>8.1269172024295795</v>
      </c>
      <c r="AI9" s="6">
        <v>9.6570300382434109</v>
      </c>
      <c r="AJ9" s="6">
        <v>9.9481097337169508</v>
      </c>
      <c r="AK9" s="6">
        <v>92.730318852934602</v>
      </c>
      <c r="AL9" s="6">
        <v>99.691566322120806</v>
      </c>
      <c r="AM9" s="6">
        <v>100</v>
      </c>
      <c r="AN9" s="6">
        <v>100</v>
      </c>
      <c r="AO9" s="6">
        <v>10.1113330280923</v>
      </c>
      <c r="AP9" s="7">
        <v>2.1430173220142299</v>
      </c>
      <c r="AQ9" s="7">
        <v>9.4039510294935997</v>
      </c>
      <c r="AR9" s="7">
        <v>9.9673593104346505</v>
      </c>
      <c r="AS9" s="7">
        <v>9.9997418865958601</v>
      </c>
      <c r="AT9" s="7">
        <v>82.019678187049294</v>
      </c>
      <c r="AU9" s="7">
        <v>99.460329864194506</v>
      </c>
      <c r="AV9" s="7">
        <v>100</v>
      </c>
      <c r="AW9" s="7">
        <v>100</v>
      </c>
      <c r="AX9" s="7">
        <v>9.1152216977072307</v>
      </c>
      <c r="AY9" s="7">
        <v>5.1629808546158502</v>
      </c>
      <c r="AZ9" s="7">
        <v>9.7935661089996309</v>
      </c>
      <c r="BA9" s="7">
        <v>10</v>
      </c>
      <c r="BB9" s="7">
        <v>10</v>
      </c>
      <c r="BC9" s="7">
        <v>95.671746054298495</v>
      </c>
      <c r="BD9" s="7">
        <v>99.822162232562505</v>
      </c>
      <c r="BE9" s="7">
        <v>100</v>
      </c>
      <c r="BF9" s="7">
        <v>100</v>
      </c>
      <c r="BG9" s="7">
        <v>7.3028062951557899</v>
      </c>
      <c r="BH9" s="7">
        <v>9.6415704661433406</v>
      </c>
      <c r="BI9" s="7">
        <v>10</v>
      </c>
      <c r="BJ9" s="7">
        <v>10</v>
      </c>
      <c r="BK9" s="7">
        <v>10</v>
      </c>
      <c r="BL9" s="7">
        <v>99.714891249008403</v>
      </c>
      <c r="BM9" s="7">
        <v>100</v>
      </c>
      <c r="BN9" s="7">
        <v>100</v>
      </c>
      <c r="BO9" s="7">
        <v>100</v>
      </c>
      <c r="BP9" s="6">
        <v>12.0412546526415</v>
      </c>
      <c r="BQ9" s="6">
        <v>1.504193750814</v>
      </c>
      <c r="BR9" s="6">
        <v>5.0554043973999203</v>
      </c>
      <c r="BS9" s="6">
        <v>7.8697841556258101</v>
      </c>
      <c r="BT9" s="6">
        <v>9.3115748469671704</v>
      </c>
      <c r="BU9" s="6">
        <v>72.677156963733907</v>
      </c>
      <c r="BV9" s="6">
        <v>95.935661089996302</v>
      </c>
      <c r="BW9" s="6">
        <v>99.215122130264405</v>
      </c>
      <c r="BX9" s="6">
        <v>99.522371801702604</v>
      </c>
      <c r="BY9" s="6" t="str">
        <f>TRIM(Table1[[#This Row],[LA_Name]])</f>
        <v>Tyne and Wear (Met County)</v>
      </c>
      <c r="BZ9" s="7">
        <v>22.4340232310823</v>
      </c>
      <c r="CA9" s="7">
        <v>0.30771498596952401</v>
      </c>
      <c r="CB9" s="7">
        <v>2.9614523023005201</v>
      </c>
      <c r="CC9" s="7">
        <v>7.3499887519388096</v>
      </c>
      <c r="CD9" s="7">
        <v>9.7766111367645792</v>
      </c>
      <c r="CE9" s="7">
        <v>21.5871606341539</v>
      </c>
      <c r="CF9" s="7">
        <v>78.611042044068697</v>
      </c>
      <c r="CG9" s="7">
        <v>99.329260351176302</v>
      </c>
      <c r="CH9" s="7">
        <v>100</v>
      </c>
      <c r="CI9" s="7">
        <v>18.9828150791488</v>
      </c>
      <c r="CJ9" s="7">
        <v>0.85149244011887404</v>
      </c>
      <c r="CK9" s="7">
        <v>4.4786926200878501</v>
      </c>
      <c r="CL9" s="7">
        <v>7.3976604032725897</v>
      </c>
      <c r="CM9" s="7">
        <v>9.1974070258942202</v>
      </c>
      <c r="CN9" s="7">
        <v>39.684343882830703</v>
      </c>
      <c r="CO9" s="7">
        <v>85.949869167288298</v>
      </c>
      <c r="CP9" s="7">
        <v>99.239749464237093</v>
      </c>
      <c r="CQ9" s="7">
        <v>100</v>
      </c>
      <c r="CR9" s="7">
        <v>11.640259844935599</v>
      </c>
      <c r="CS9" s="7">
        <v>3.3175327673782502</v>
      </c>
      <c r="CT9" s="7">
        <v>9.6112125409962204</v>
      </c>
      <c r="CU9" s="7">
        <v>10</v>
      </c>
      <c r="CV9" s="7">
        <v>10</v>
      </c>
      <c r="CW9" s="7">
        <v>81.190400075776395</v>
      </c>
      <c r="CX9" s="7">
        <v>100</v>
      </c>
      <c r="CY9" s="7">
        <v>100</v>
      </c>
      <c r="CZ9" s="7">
        <v>100</v>
      </c>
      <c r="DA9" s="9">
        <v>42.963319929920303</v>
      </c>
      <c r="DB9" s="9">
        <v>0.20874862359251201</v>
      </c>
      <c r="DC9" s="9">
        <v>0.81103849204939704</v>
      </c>
      <c r="DD9" s="9">
        <v>1.7903467954865699</v>
      </c>
      <c r="DE9" s="9">
        <v>3.0121644821747799</v>
      </c>
      <c r="DF9" s="9">
        <v>16.114682863874801</v>
      </c>
      <c r="DG9" s="9">
        <v>39.314460270663901</v>
      </c>
      <c r="DH9" s="9">
        <v>60.527711670751501</v>
      </c>
      <c r="DI9" s="9">
        <v>77.292650872020701</v>
      </c>
    </row>
    <row r="10" spans="1:113">
      <c r="A10" s="5" t="s">
        <v>112</v>
      </c>
      <c r="B10" s="5" t="s">
        <v>129</v>
      </c>
      <c r="C10" s="5" t="s">
        <v>130</v>
      </c>
      <c r="D10" s="6">
        <v>148295</v>
      </c>
      <c r="E10" s="7">
        <v>7.17192906652103</v>
      </c>
      <c r="F10" s="7">
        <v>4.0764826865369699</v>
      </c>
      <c r="G10" s="7">
        <v>9.9221281904312306</v>
      </c>
      <c r="H10" s="7">
        <v>10</v>
      </c>
      <c r="I10" s="7">
        <v>10</v>
      </c>
      <c r="J10" s="7">
        <v>94.452274183215906</v>
      </c>
      <c r="K10" s="7">
        <v>99.846252402306206</v>
      </c>
      <c r="L10" s="7">
        <v>100</v>
      </c>
      <c r="M10" s="7">
        <v>100</v>
      </c>
      <c r="N10" s="7">
        <v>7.7532036803658499</v>
      </c>
      <c r="O10" s="7">
        <v>6.9568495229104199</v>
      </c>
      <c r="P10" s="7">
        <v>9.9588725176169106</v>
      </c>
      <c r="Q10" s="7">
        <v>10</v>
      </c>
      <c r="R10" s="7">
        <v>10</v>
      </c>
      <c r="S10" s="7">
        <v>98.329006372433298</v>
      </c>
      <c r="T10" s="7">
        <v>100</v>
      </c>
      <c r="U10" s="7">
        <v>100</v>
      </c>
      <c r="V10" s="7">
        <v>100</v>
      </c>
      <c r="W10" s="7">
        <v>6.6204322458957403</v>
      </c>
      <c r="X10" s="7">
        <v>9.9203412117738292</v>
      </c>
      <c r="Y10" s="7">
        <v>10</v>
      </c>
      <c r="Z10" s="7">
        <v>10</v>
      </c>
      <c r="AA10" s="7">
        <v>10</v>
      </c>
      <c r="AB10" s="7">
        <v>100</v>
      </c>
      <c r="AC10" s="7">
        <v>100</v>
      </c>
      <c r="AD10" s="7">
        <v>100</v>
      </c>
      <c r="AE10" s="7">
        <v>100</v>
      </c>
      <c r="AF10" s="6">
        <v>7.8989281535362101</v>
      </c>
      <c r="AG10" s="6">
        <v>2.8710340874607998</v>
      </c>
      <c r="AH10" s="6">
        <v>6.9656428065679901</v>
      </c>
      <c r="AI10" s="6">
        <v>8.9422772177079501</v>
      </c>
      <c r="AJ10" s="6">
        <v>9.8077413264102002</v>
      </c>
      <c r="AK10" s="6">
        <v>90.241073535857595</v>
      </c>
      <c r="AL10" s="6">
        <v>98.480056643851796</v>
      </c>
      <c r="AM10" s="6">
        <v>100</v>
      </c>
      <c r="AN10" s="6">
        <v>100</v>
      </c>
      <c r="AO10" s="6">
        <v>13.0940456539661</v>
      </c>
      <c r="AP10" s="7">
        <v>1.25262483563168</v>
      </c>
      <c r="AQ10" s="7">
        <v>8.1025860615664698</v>
      </c>
      <c r="AR10" s="7">
        <v>9.8141002731042892</v>
      </c>
      <c r="AS10" s="7">
        <v>9.9985299571799509</v>
      </c>
      <c r="AT10" s="7">
        <v>66.396034930375293</v>
      </c>
      <c r="AU10" s="7">
        <v>96.926396709261894</v>
      </c>
      <c r="AV10" s="7">
        <v>100</v>
      </c>
      <c r="AW10" s="7">
        <v>100</v>
      </c>
      <c r="AX10" s="7">
        <v>10.895581724147</v>
      </c>
      <c r="AY10" s="7">
        <v>3.0657608145925401</v>
      </c>
      <c r="AZ10" s="7">
        <v>9.3549748811490598</v>
      </c>
      <c r="BA10" s="7">
        <v>10</v>
      </c>
      <c r="BB10" s="7">
        <v>10</v>
      </c>
      <c r="BC10" s="7">
        <v>85.164031154118504</v>
      </c>
      <c r="BD10" s="7">
        <v>98.987153983613695</v>
      </c>
      <c r="BE10" s="7">
        <v>100</v>
      </c>
      <c r="BF10" s="7">
        <v>100</v>
      </c>
      <c r="BG10" s="7">
        <v>8.0701651976721802</v>
      </c>
      <c r="BH10" s="7">
        <v>8.8485855895343697</v>
      </c>
      <c r="BI10" s="7">
        <v>10</v>
      </c>
      <c r="BJ10" s="7">
        <v>10</v>
      </c>
      <c r="BK10" s="7">
        <v>10</v>
      </c>
      <c r="BL10" s="7">
        <v>98.376209582251605</v>
      </c>
      <c r="BM10" s="7">
        <v>100</v>
      </c>
      <c r="BN10" s="7">
        <v>100</v>
      </c>
      <c r="BO10" s="7">
        <v>100</v>
      </c>
      <c r="BP10" s="6">
        <v>17.6433328307591</v>
      </c>
      <c r="BQ10" s="6">
        <v>0.86656326915944604</v>
      </c>
      <c r="BR10" s="6">
        <v>2.8987693448868801</v>
      </c>
      <c r="BS10" s="6">
        <v>5.9007181631208097</v>
      </c>
      <c r="BT10" s="6">
        <v>8.2463400654101608</v>
      </c>
      <c r="BU10" s="6">
        <v>56.413904716949297</v>
      </c>
      <c r="BV10" s="6">
        <v>84.754037560268401</v>
      </c>
      <c r="BW10" s="6">
        <v>95.705856569675305</v>
      </c>
      <c r="BX10" s="6">
        <v>97.279746451330098</v>
      </c>
      <c r="BY10" s="6" t="str">
        <f>TRIM(Table1[[#This Row],[LA_Name]])</f>
        <v>Gateshead</v>
      </c>
      <c r="BZ10" s="7">
        <v>19.958643507691701</v>
      </c>
      <c r="CA10" s="7">
        <v>0.38848241680434298</v>
      </c>
      <c r="CB10" s="7">
        <v>4.0805691358440903</v>
      </c>
      <c r="CC10" s="7">
        <v>8.5801139620351297</v>
      </c>
      <c r="CD10" s="7">
        <v>9.69062341953539</v>
      </c>
      <c r="CE10" s="7">
        <v>29.269361745170102</v>
      </c>
      <c r="CF10" s="7">
        <v>86.005596952021307</v>
      </c>
      <c r="CG10" s="7">
        <v>98.411274823830894</v>
      </c>
      <c r="CH10" s="7">
        <v>100</v>
      </c>
      <c r="CI10" s="7">
        <v>16.7077157448193</v>
      </c>
      <c r="CJ10" s="7">
        <v>1.0488822954246599</v>
      </c>
      <c r="CK10" s="7">
        <v>5.9963181496341704</v>
      </c>
      <c r="CL10" s="7">
        <v>8.9395461748541791</v>
      </c>
      <c r="CM10" s="7">
        <v>9.7748204592198</v>
      </c>
      <c r="CN10" s="7">
        <v>55.940523955628997</v>
      </c>
      <c r="CO10" s="7">
        <v>90.827742000741793</v>
      </c>
      <c r="CP10" s="7">
        <v>98.256178562999395</v>
      </c>
      <c r="CQ10" s="7">
        <v>100</v>
      </c>
      <c r="CR10" s="7">
        <v>10.536223864448401</v>
      </c>
      <c r="CS10" s="7">
        <v>4.5508884318419396</v>
      </c>
      <c r="CT10" s="7">
        <v>9.8871506119558994</v>
      </c>
      <c r="CU10" s="7">
        <v>10</v>
      </c>
      <c r="CV10" s="7">
        <v>10</v>
      </c>
      <c r="CW10" s="7">
        <v>88.963215212920204</v>
      </c>
      <c r="CX10" s="7">
        <v>100</v>
      </c>
      <c r="CY10" s="7">
        <v>100</v>
      </c>
      <c r="CZ10" s="7">
        <v>100</v>
      </c>
      <c r="DA10" s="9">
        <v>35.812841042368397</v>
      </c>
      <c r="DB10" s="9">
        <v>0.218921743821437</v>
      </c>
      <c r="DC10" s="9">
        <v>0.99403216561583296</v>
      </c>
      <c r="DD10" s="9">
        <v>2.2920260291985599</v>
      </c>
      <c r="DE10" s="9">
        <v>3.8852759701945399</v>
      </c>
      <c r="DF10" s="9">
        <v>20.546882902323102</v>
      </c>
      <c r="DG10" s="9">
        <v>57.347853939782198</v>
      </c>
      <c r="DH10" s="9">
        <v>72.073906739943993</v>
      </c>
      <c r="DI10" s="9">
        <v>83.855827910583599</v>
      </c>
    </row>
    <row r="11" spans="1:113">
      <c r="A11" s="5" t="s">
        <v>112</v>
      </c>
      <c r="B11" s="5" t="s">
        <v>131</v>
      </c>
      <c r="C11" s="5" t="s">
        <v>132</v>
      </c>
      <c r="D11" s="6">
        <v>229948</v>
      </c>
      <c r="E11" s="7">
        <v>7.0137092330908697</v>
      </c>
      <c r="F11" s="7">
        <v>4.5517682258597603</v>
      </c>
      <c r="G11" s="7">
        <v>9.9333501487292803</v>
      </c>
      <c r="H11" s="7">
        <v>10</v>
      </c>
      <c r="I11" s="7">
        <v>10</v>
      </c>
      <c r="J11" s="7">
        <v>96.458329709325596</v>
      </c>
      <c r="K11" s="7">
        <v>100</v>
      </c>
      <c r="L11" s="7">
        <v>100</v>
      </c>
      <c r="M11" s="7">
        <v>100</v>
      </c>
      <c r="N11" s="7">
        <v>7.52540878493138</v>
      </c>
      <c r="O11" s="7">
        <v>8.9500017395237208</v>
      </c>
      <c r="P11" s="7">
        <v>9.9878668220641202</v>
      </c>
      <c r="Q11" s="7">
        <v>10</v>
      </c>
      <c r="R11" s="7">
        <v>10</v>
      </c>
      <c r="S11" s="7">
        <v>99.814305843060197</v>
      </c>
      <c r="T11" s="7">
        <v>100</v>
      </c>
      <c r="U11" s="7">
        <v>100</v>
      </c>
      <c r="V11" s="7">
        <v>100</v>
      </c>
      <c r="W11" s="7">
        <v>6.4976396977539599</v>
      </c>
      <c r="X11" s="7">
        <v>9.9306799798215195</v>
      </c>
      <c r="Y11" s="7">
        <v>10</v>
      </c>
      <c r="Z11" s="7">
        <v>10</v>
      </c>
      <c r="AA11" s="7">
        <v>10</v>
      </c>
      <c r="AB11" s="7">
        <v>100</v>
      </c>
      <c r="AC11" s="7">
        <v>100</v>
      </c>
      <c r="AD11" s="7">
        <v>100</v>
      </c>
      <c r="AE11" s="7">
        <v>100</v>
      </c>
      <c r="AF11" s="6">
        <v>7.3258913844872602</v>
      </c>
      <c r="AG11" s="6">
        <v>3.3634734809609101</v>
      </c>
      <c r="AH11" s="6">
        <v>8.8760763303007604</v>
      </c>
      <c r="AI11" s="6">
        <v>9.7608111399098902</v>
      </c>
      <c r="AJ11" s="6">
        <v>9.9489014907718296</v>
      </c>
      <c r="AK11" s="6">
        <v>92.314784212082699</v>
      </c>
      <c r="AL11" s="6">
        <v>99.909979647572499</v>
      </c>
      <c r="AM11" s="6">
        <v>100</v>
      </c>
      <c r="AN11" s="6">
        <v>100</v>
      </c>
      <c r="AO11" s="6">
        <v>7.6280148133291004</v>
      </c>
      <c r="AP11" s="7">
        <v>3.2635117504827198</v>
      </c>
      <c r="AQ11" s="7">
        <v>9.9289056656287507</v>
      </c>
      <c r="AR11" s="7">
        <v>10</v>
      </c>
      <c r="AS11" s="7">
        <v>10</v>
      </c>
      <c r="AT11" s="7">
        <v>95.345469410475403</v>
      </c>
      <c r="AU11" s="7">
        <v>100</v>
      </c>
      <c r="AV11" s="7">
        <v>100</v>
      </c>
      <c r="AW11" s="7">
        <v>100</v>
      </c>
      <c r="AX11" s="7">
        <v>7.7892522017527401</v>
      </c>
      <c r="AY11" s="7">
        <v>8.2211108598465703</v>
      </c>
      <c r="AZ11" s="7">
        <v>9.9942073860177096</v>
      </c>
      <c r="BA11" s="7">
        <v>10</v>
      </c>
      <c r="BB11" s="7">
        <v>10</v>
      </c>
      <c r="BC11" s="7">
        <v>99.326369440047301</v>
      </c>
      <c r="BD11" s="7">
        <v>100</v>
      </c>
      <c r="BE11" s="7">
        <v>100</v>
      </c>
      <c r="BF11" s="7">
        <v>100</v>
      </c>
      <c r="BG11" s="7">
        <v>6.65650915450074</v>
      </c>
      <c r="BH11" s="7">
        <v>9.9468792944491806</v>
      </c>
      <c r="BI11" s="7">
        <v>10</v>
      </c>
      <c r="BJ11" s="7">
        <v>10</v>
      </c>
      <c r="BK11" s="7">
        <v>10</v>
      </c>
      <c r="BL11" s="7">
        <v>100</v>
      </c>
      <c r="BM11" s="7">
        <v>100</v>
      </c>
      <c r="BN11" s="7">
        <v>100</v>
      </c>
      <c r="BO11" s="7">
        <v>100</v>
      </c>
      <c r="BP11" s="6">
        <v>8.2101371165901007</v>
      </c>
      <c r="BQ11" s="6">
        <v>2.3860438012072298</v>
      </c>
      <c r="BR11" s="6">
        <v>8.1572877346182597</v>
      </c>
      <c r="BS11" s="6">
        <v>9.6896428757806099</v>
      </c>
      <c r="BT11" s="6">
        <v>9.9100970654234892</v>
      </c>
      <c r="BU11" s="6">
        <v>91.346304381860307</v>
      </c>
      <c r="BV11" s="6">
        <v>99.326369440047301</v>
      </c>
      <c r="BW11" s="6">
        <v>99.886496077374005</v>
      </c>
      <c r="BX11" s="6">
        <v>100</v>
      </c>
      <c r="BY11" s="6" t="str">
        <f>TRIM(Table1[[#This Row],[LA_Name]])</f>
        <v>Newcastle upon Tyne</v>
      </c>
      <c r="BZ11" s="7">
        <v>18.678760408178402</v>
      </c>
      <c r="CA11" s="7">
        <v>0.63389114060570195</v>
      </c>
      <c r="CB11" s="7">
        <v>5.0779437090124704</v>
      </c>
      <c r="CC11" s="7">
        <v>9.4748986727434001</v>
      </c>
      <c r="CD11" s="7">
        <v>9.9981517560491895</v>
      </c>
      <c r="CE11" s="7">
        <v>36.9057352096996</v>
      </c>
      <c r="CF11" s="7">
        <v>87.582844817089097</v>
      </c>
      <c r="CG11" s="7">
        <v>100</v>
      </c>
      <c r="CH11" s="7">
        <v>100</v>
      </c>
      <c r="CI11" s="7">
        <v>15.1633291757928</v>
      </c>
      <c r="CJ11" s="7">
        <v>1.7487431941134499</v>
      </c>
      <c r="CK11" s="7">
        <v>8.1417494390036005</v>
      </c>
      <c r="CL11" s="7">
        <v>9.9017864908588002</v>
      </c>
      <c r="CM11" s="7">
        <v>10</v>
      </c>
      <c r="CN11" s="7">
        <v>59.157287734618301</v>
      </c>
      <c r="CO11" s="7">
        <v>96.071720562909903</v>
      </c>
      <c r="CP11" s="7">
        <v>100</v>
      </c>
      <c r="CQ11" s="7">
        <v>100</v>
      </c>
      <c r="CR11" s="7">
        <v>10.306792516565499</v>
      </c>
      <c r="CS11" s="7">
        <v>6.0189216692469598</v>
      </c>
      <c r="CT11" s="7">
        <v>10</v>
      </c>
      <c r="CU11" s="7">
        <v>10</v>
      </c>
      <c r="CV11" s="7">
        <v>10</v>
      </c>
      <c r="CW11" s="7">
        <v>91.004053090263895</v>
      </c>
      <c r="CX11" s="7">
        <v>100</v>
      </c>
      <c r="CY11" s="7">
        <v>100</v>
      </c>
      <c r="CZ11" s="7">
        <v>100</v>
      </c>
      <c r="DA11" s="9">
        <v>32.054678863275903</v>
      </c>
      <c r="DB11" s="9">
        <v>0.44418738149494702</v>
      </c>
      <c r="DC11" s="9">
        <v>1.64340198653609</v>
      </c>
      <c r="DD11" s="9">
        <v>3.4003296397446401</v>
      </c>
      <c r="DE11" s="9">
        <v>5.7826421625758897</v>
      </c>
      <c r="DF11" s="9">
        <v>27.8023727103519</v>
      </c>
      <c r="DG11" s="9">
        <v>57.226416407187699</v>
      </c>
      <c r="DH11" s="9">
        <v>72.362012281037494</v>
      </c>
      <c r="DI11" s="9">
        <v>88.088176457285996</v>
      </c>
    </row>
    <row r="12" spans="1:113">
      <c r="A12" s="5" t="s">
        <v>112</v>
      </c>
      <c r="B12" s="5" t="s">
        <v>133</v>
      </c>
      <c r="C12" s="5" t="s">
        <v>134</v>
      </c>
      <c r="D12" s="6">
        <v>151665</v>
      </c>
      <c r="E12" s="7">
        <v>6.98813720140478</v>
      </c>
      <c r="F12" s="7">
        <v>4.1566808426466197</v>
      </c>
      <c r="G12" s="7">
        <v>9.9875712919922197</v>
      </c>
      <c r="H12" s="7">
        <v>10</v>
      </c>
      <c r="I12" s="7">
        <v>10</v>
      </c>
      <c r="J12" s="7">
        <v>97.408103385751502</v>
      </c>
      <c r="K12" s="7">
        <v>100</v>
      </c>
      <c r="L12" s="7">
        <v>100</v>
      </c>
      <c r="M12" s="7">
        <v>100</v>
      </c>
      <c r="N12" s="7">
        <v>7.6042152288771003</v>
      </c>
      <c r="O12" s="7">
        <v>8.1289948241189496</v>
      </c>
      <c r="P12" s="7">
        <v>10</v>
      </c>
      <c r="Q12" s="7">
        <v>10</v>
      </c>
      <c r="R12" s="7">
        <v>10</v>
      </c>
      <c r="S12" s="7">
        <v>100</v>
      </c>
      <c r="T12" s="7">
        <v>100</v>
      </c>
      <c r="U12" s="7">
        <v>100</v>
      </c>
      <c r="V12" s="7">
        <v>100</v>
      </c>
      <c r="W12" s="7">
        <v>6.5593635946770599</v>
      </c>
      <c r="X12" s="7">
        <v>9.9870108462730407</v>
      </c>
      <c r="Y12" s="7">
        <v>10</v>
      </c>
      <c r="Z12" s="7">
        <v>10</v>
      </c>
      <c r="AA12" s="7">
        <v>10</v>
      </c>
      <c r="AB12" s="7">
        <v>100</v>
      </c>
      <c r="AC12" s="7">
        <v>100</v>
      </c>
      <c r="AD12" s="7">
        <v>100</v>
      </c>
      <c r="AE12" s="7">
        <v>100</v>
      </c>
      <c r="AF12" s="6">
        <v>7.2639156008891304</v>
      </c>
      <c r="AG12" s="6">
        <v>3.02304420927703</v>
      </c>
      <c r="AH12" s="6">
        <v>8.2033033330036602</v>
      </c>
      <c r="AI12" s="6">
        <v>9.7042494972472202</v>
      </c>
      <c r="AJ12" s="6">
        <v>9.9764942471895299</v>
      </c>
      <c r="AK12" s="6">
        <v>93.7296014241915</v>
      </c>
      <c r="AL12" s="6">
        <v>100</v>
      </c>
      <c r="AM12" s="6">
        <v>100</v>
      </c>
      <c r="AN12" s="6">
        <v>100</v>
      </c>
      <c r="AO12" s="6">
        <v>9.7821463924302297</v>
      </c>
      <c r="AP12" s="7">
        <v>1.94659281970132</v>
      </c>
      <c r="AQ12" s="7">
        <v>9.8264991922988205</v>
      </c>
      <c r="AR12" s="7">
        <v>10</v>
      </c>
      <c r="AS12" s="7">
        <v>10</v>
      </c>
      <c r="AT12" s="7">
        <v>87.968219430982799</v>
      </c>
      <c r="AU12" s="7">
        <v>100</v>
      </c>
      <c r="AV12" s="7">
        <v>100</v>
      </c>
      <c r="AW12" s="7">
        <v>100</v>
      </c>
      <c r="AX12" s="7">
        <v>8.8003262944310006</v>
      </c>
      <c r="AY12" s="7">
        <v>4.2692579039330099</v>
      </c>
      <c r="AZ12" s="7">
        <v>9.98750535720173</v>
      </c>
      <c r="BA12" s="7">
        <v>10</v>
      </c>
      <c r="BB12" s="7">
        <v>10</v>
      </c>
      <c r="BC12" s="7">
        <v>99.245705996769203</v>
      </c>
      <c r="BD12" s="7">
        <v>100</v>
      </c>
      <c r="BE12" s="7">
        <v>100</v>
      </c>
      <c r="BF12" s="7">
        <v>100</v>
      </c>
      <c r="BG12" s="7">
        <v>7.1654349457784097</v>
      </c>
      <c r="BH12" s="7">
        <v>9.8846932383872392</v>
      </c>
      <c r="BI12" s="7">
        <v>10</v>
      </c>
      <c r="BJ12" s="7">
        <v>10</v>
      </c>
      <c r="BK12" s="7">
        <v>10</v>
      </c>
      <c r="BL12" s="7">
        <v>100</v>
      </c>
      <c r="BM12" s="7">
        <v>100</v>
      </c>
      <c r="BN12" s="7">
        <v>100</v>
      </c>
      <c r="BO12" s="7">
        <v>100</v>
      </c>
      <c r="BP12" s="6">
        <v>11.1196036169381</v>
      </c>
      <c r="BQ12" s="6">
        <v>1.2443807074802999</v>
      </c>
      <c r="BR12" s="6">
        <v>4.1124583786634998</v>
      </c>
      <c r="BS12" s="6">
        <v>8.1676589852635804</v>
      </c>
      <c r="BT12" s="6">
        <v>9.7584940493851597</v>
      </c>
      <c r="BU12" s="6">
        <v>74.963900702205507</v>
      </c>
      <c r="BV12" s="6">
        <v>99.693403224211295</v>
      </c>
      <c r="BW12" s="6">
        <v>100</v>
      </c>
      <c r="BX12" s="6">
        <v>100</v>
      </c>
      <c r="BY12" s="6" t="str">
        <f>TRIM(Table1[[#This Row],[LA_Name]])</f>
        <v>North Tyneside</v>
      </c>
      <c r="BZ12" s="7">
        <v>23.5424904888777</v>
      </c>
      <c r="CA12" s="7">
        <v>0.10394619721095801</v>
      </c>
      <c r="CB12" s="7">
        <v>1.81152540137804</v>
      </c>
      <c r="CC12" s="7">
        <v>7.1737183925098096</v>
      </c>
      <c r="CD12" s="7">
        <v>9.9487488873504102</v>
      </c>
      <c r="CE12" s="7">
        <v>9.2671348036791592</v>
      </c>
      <c r="CF12" s="7">
        <v>87.126891504302193</v>
      </c>
      <c r="CG12" s="7">
        <v>100</v>
      </c>
      <c r="CH12" s="7">
        <v>100</v>
      </c>
      <c r="CI12" s="7">
        <v>19.1691466254894</v>
      </c>
      <c r="CJ12" s="7">
        <v>0.20879570105166001</v>
      </c>
      <c r="CK12" s="7">
        <v>2.5169551313750702</v>
      </c>
      <c r="CL12" s="7">
        <v>6.1095506544028</v>
      </c>
      <c r="CM12" s="7">
        <v>9.4766360069890894</v>
      </c>
      <c r="CN12" s="7">
        <v>15.335113572676599</v>
      </c>
      <c r="CO12" s="7">
        <v>100</v>
      </c>
      <c r="CP12" s="7">
        <v>100</v>
      </c>
      <c r="CQ12" s="7">
        <v>100</v>
      </c>
      <c r="CR12" s="7">
        <v>11.977848897112199</v>
      </c>
      <c r="CS12" s="7">
        <v>1.48460092968055</v>
      </c>
      <c r="CT12" s="7">
        <v>9.8648204925328908</v>
      </c>
      <c r="CU12" s="7">
        <v>10</v>
      </c>
      <c r="CV12" s="7">
        <v>10</v>
      </c>
      <c r="CW12" s="7">
        <v>93.2060791876834</v>
      </c>
      <c r="CX12" s="7">
        <v>100</v>
      </c>
      <c r="CY12" s="7">
        <v>100</v>
      </c>
      <c r="CZ12" s="7">
        <v>100</v>
      </c>
      <c r="DA12" s="9">
        <v>41.256240614790499</v>
      </c>
      <c r="DB12" s="9">
        <v>6.7616127649754401E-2</v>
      </c>
      <c r="DC12" s="9">
        <v>0.263290805393466</v>
      </c>
      <c r="DD12" s="9">
        <v>0.74460818250750005</v>
      </c>
      <c r="DE12" s="9">
        <v>1.4068044703788001</v>
      </c>
      <c r="DF12" s="9">
        <v>6.7616127649754398</v>
      </c>
      <c r="DG12" s="9">
        <v>17.338871855734698</v>
      </c>
      <c r="DH12" s="9">
        <v>55.518412290244903</v>
      </c>
      <c r="DI12" s="9">
        <v>93.503445092803204</v>
      </c>
    </row>
    <row r="13" spans="1:113">
      <c r="A13" s="5" t="s">
        <v>112</v>
      </c>
      <c r="B13" s="5" t="s">
        <v>135</v>
      </c>
      <c r="C13" s="5" t="s">
        <v>136</v>
      </c>
      <c r="D13" s="6">
        <v>110236</v>
      </c>
      <c r="E13" s="7">
        <v>7.0820344614081403</v>
      </c>
      <c r="F13" s="7">
        <v>3.8603904350665799</v>
      </c>
      <c r="G13" s="7">
        <v>10</v>
      </c>
      <c r="H13" s="7">
        <v>10</v>
      </c>
      <c r="I13" s="7">
        <v>10</v>
      </c>
      <c r="J13" s="7">
        <v>97.748466925505298</v>
      </c>
      <c r="K13" s="7">
        <v>100</v>
      </c>
      <c r="L13" s="7">
        <v>100</v>
      </c>
      <c r="M13" s="7">
        <v>100</v>
      </c>
      <c r="N13" s="7">
        <v>7.5409985890759303</v>
      </c>
      <c r="O13" s="7">
        <v>7.8608167930621597</v>
      </c>
      <c r="P13" s="7">
        <v>10</v>
      </c>
      <c r="Q13" s="7">
        <v>10</v>
      </c>
      <c r="R13" s="7">
        <v>10</v>
      </c>
      <c r="S13" s="7">
        <v>100</v>
      </c>
      <c r="T13" s="7">
        <v>100</v>
      </c>
      <c r="U13" s="7">
        <v>100</v>
      </c>
      <c r="V13" s="7">
        <v>100</v>
      </c>
      <c r="W13" s="7">
        <v>6.5551243610048804</v>
      </c>
      <c r="X13" s="7">
        <v>10</v>
      </c>
      <c r="Y13" s="7">
        <v>10</v>
      </c>
      <c r="Z13" s="7">
        <v>10</v>
      </c>
      <c r="AA13" s="7">
        <v>10</v>
      </c>
      <c r="AB13" s="7">
        <v>100</v>
      </c>
      <c r="AC13" s="7">
        <v>100</v>
      </c>
      <c r="AD13" s="7">
        <v>100</v>
      </c>
      <c r="AE13" s="7">
        <v>100</v>
      </c>
      <c r="AF13" s="6">
        <v>7.2855050205160303</v>
      </c>
      <c r="AG13" s="6">
        <v>2.6608367502449299</v>
      </c>
      <c r="AH13" s="6">
        <v>7.9833266809390802</v>
      </c>
      <c r="AI13" s="6">
        <v>9.8610980079103001</v>
      </c>
      <c r="AJ13" s="6">
        <v>10</v>
      </c>
      <c r="AK13" s="6">
        <v>94.178852643419603</v>
      </c>
      <c r="AL13" s="6">
        <v>100</v>
      </c>
      <c r="AM13" s="6">
        <v>100</v>
      </c>
      <c r="AN13" s="6">
        <v>100</v>
      </c>
      <c r="AO13" s="6">
        <v>9.8961932578637501</v>
      </c>
      <c r="AP13" s="7">
        <v>2.20393519358467</v>
      </c>
      <c r="AQ13" s="7">
        <v>9.8003102434776306</v>
      </c>
      <c r="AR13" s="7">
        <v>10</v>
      </c>
      <c r="AS13" s="7">
        <v>10</v>
      </c>
      <c r="AT13" s="7">
        <v>83.555281396277095</v>
      </c>
      <c r="AU13" s="7">
        <v>100</v>
      </c>
      <c r="AV13" s="7">
        <v>100</v>
      </c>
      <c r="AW13" s="7">
        <v>100</v>
      </c>
      <c r="AX13" s="7">
        <v>9.0617907946175293</v>
      </c>
      <c r="AY13" s="7">
        <v>4.7420080554446802</v>
      </c>
      <c r="AZ13" s="7">
        <v>9.9930059145832608</v>
      </c>
      <c r="BA13" s="7">
        <v>10</v>
      </c>
      <c r="BB13" s="7">
        <v>10</v>
      </c>
      <c r="BC13" s="7">
        <v>97.362023295475197</v>
      </c>
      <c r="BD13" s="7">
        <v>100</v>
      </c>
      <c r="BE13" s="7">
        <v>100</v>
      </c>
      <c r="BF13" s="7">
        <v>100</v>
      </c>
      <c r="BG13" s="7">
        <v>7.2857806946059096</v>
      </c>
      <c r="BH13" s="7">
        <v>9.8588392176784403</v>
      </c>
      <c r="BI13" s="7">
        <v>10</v>
      </c>
      <c r="BJ13" s="7">
        <v>10</v>
      </c>
      <c r="BK13" s="7">
        <v>10</v>
      </c>
      <c r="BL13" s="7">
        <v>100</v>
      </c>
      <c r="BM13" s="7">
        <v>100</v>
      </c>
      <c r="BN13" s="7">
        <v>100</v>
      </c>
      <c r="BO13" s="7">
        <v>100</v>
      </c>
      <c r="BP13" s="6">
        <v>11.896263023661099</v>
      </c>
      <c r="BQ13" s="6">
        <v>1.5171359628433501</v>
      </c>
      <c r="BR13" s="6">
        <v>4.66766754962081</v>
      </c>
      <c r="BS13" s="6">
        <v>8.1690373380746806</v>
      </c>
      <c r="BT13" s="6">
        <v>9.6371149170869792</v>
      </c>
      <c r="BU13" s="6">
        <v>72.137958561631393</v>
      </c>
      <c r="BV13" s="6">
        <v>97.334808955332207</v>
      </c>
      <c r="BW13" s="6">
        <v>100</v>
      </c>
      <c r="BX13" s="6">
        <v>100</v>
      </c>
      <c r="BY13" s="6" t="str">
        <f>TRIM(Table1[[#This Row],[LA_Name]])</f>
        <v>South Tyneside</v>
      </c>
      <c r="BZ13" s="7">
        <v>34.698910341194001</v>
      </c>
      <c r="CA13" s="7">
        <v>0</v>
      </c>
      <c r="CB13" s="7">
        <v>0.34535904786095301</v>
      </c>
      <c r="CC13" s="7">
        <v>5.4274465691788496</v>
      </c>
      <c r="CD13" s="7">
        <v>9.7419354838709697</v>
      </c>
      <c r="CE13" s="7">
        <v>0</v>
      </c>
      <c r="CF13" s="7">
        <v>21.054827823941402</v>
      </c>
      <c r="CG13" s="7">
        <v>97.086251315359803</v>
      </c>
      <c r="CH13" s="7">
        <v>100</v>
      </c>
      <c r="CI13" s="7">
        <v>34.739946599942499</v>
      </c>
      <c r="CJ13" s="7">
        <v>0</v>
      </c>
      <c r="CK13" s="7">
        <v>0.30148046010377699</v>
      </c>
      <c r="CL13" s="7">
        <v>5.0683170652055596</v>
      </c>
      <c r="CM13" s="7">
        <v>9.0389618636380096</v>
      </c>
      <c r="CN13" s="7">
        <v>0</v>
      </c>
      <c r="CO13" s="7">
        <v>19.393845930548999</v>
      </c>
      <c r="CP13" s="7">
        <v>96.521100185057506</v>
      </c>
      <c r="CQ13" s="7">
        <v>100</v>
      </c>
      <c r="CR13" s="7">
        <v>17.545146105099899</v>
      </c>
      <c r="CS13" s="7">
        <v>0.13286040857796</v>
      </c>
      <c r="CT13" s="7">
        <v>8.6377227040168396</v>
      </c>
      <c r="CU13" s="7">
        <v>10</v>
      </c>
      <c r="CV13" s="7">
        <v>10</v>
      </c>
      <c r="CW13" s="7">
        <v>12.4723320875213</v>
      </c>
      <c r="CX13" s="7">
        <v>100</v>
      </c>
      <c r="CY13" s="7">
        <v>100</v>
      </c>
      <c r="CZ13" s="7">
        <v>100</v>
      </c>
      <c r="DA13" s="9">
        <v>92.447035485451806</v>
      </c>
      <c r="DB13" s="9">
        <v>0</v>
      </c>
      <c r="DC13" s="9">
        <v>0</v>
      </c>
      <c r="DD13" s="9">
        <v>0</v>
      </c>
      <c r="DE13" s="9">
        <v>2.8747414637686399E-2</v>
      </c>
      <c r="DF13" s="9">
        <v>0</v>
      </c>
      <c r="DG13" s="9">
        <v>0</v>
      </c>
      <c r="DH13" s="9">
        <v>0</v>
      </c>
      <c r="DI13" s="9">
        <v>2.8747414637686401</v>
      </c>
    </row>
    <row r="14" spans="1:113">
      <c r="A14" s="5" t="s">
        <v>112</v>
      </c>
      <c r="B14" s="5" t="s">
        <v>137</v>
      </c>
      <c r="C14" s="5" t="s">
        <v>138</v>
      </c>
      <c r="D14" s="6">
        <v>204446</v>
      </c>
      <c r="E14" s="7">
        <v>6.9513512591711102</v>
      </c>
      <c r="F14" s="7">
        <v>4.2596969370885196</v>
      </c>
      <c r="G14" s="7">
        <v>9.9860207585377108</v>
      </c>
      <c r="H14" s="7">
        <v>10</v>
      </c>
      <c r="I14" s="7">
        <v>10</v>
      </c>
      <c r="J14" s="7">
        <v>97.537736125920802</v>
      </c>
      <c r="K14" s="7">
        <v>100</v>
      </c>
      <c r="L14" s="7">
        <v>100</v>
      </c>
      <c r="M14" s="7">
        <v>100</v>
      </c>
      <c r="N14" s="7">
        <v>7.5434829760767199</v>
      </c>
      <c r="O14" s="7">
        <v>8.04604638877748</v>
      </c>
      <c r="P14" s="7">
        <v>10</v>
      </c>
      <c r="Q14" s="7">
        <v>10</v>
      </c>
      <c r="R14" s="7">
        <v>10</v>
      </c>
      <c r="S14" s="7">
        <v>99.929565753304004</v>
      </c>
      <c r="T14" s="7">
        <v>100</v>
      </c>
      <c r="U14" s="7">
        <v>100</v>
      </c>
      <c r="V14" s="7">
        <v>100</v>
      </c>
      <c r="W14" s="7">
        <v>6.56910935239884</v>
      </c>
      <c r="X14" s="7">
        <v>10</v>
      </c>
      <c r="Y14" s="7">
        <v>10</v>
      </c>
      <c r="Z14" s="7">
        <v>10</v>
      </c>
      <c r="AA14" s="7">
        <v>10</v>
      </c>
      <c r="AB14" s="7">
        <v>100</v>
      </c>
      <c r="AC14" s="7">
        <v>100</v>
      </c>
      <c r="AD14" s="7">
        <v>100</v>
      </c>
      <c r="AE14" s="7">
        <v>100</v>
      </c>
      <c r="AF14" s="6">
        <v>7.1982438366483201</v>
      </c>
      <c r="AG14" s="6">
        <v>2.88191992017452</v>
      </c>
      <c r="AH14" s="6">
        <v>8.1473983350126709</v>
      </c>
      <c r="AI14" s="6">
        <v>9.9136887001946707</v>
      </c>
      <c r="AJ14" s="6">
        <v>10</v>
      </c>
      <c r="AK14" s="6">
        <v>93.480919166919406</v>
      </c>
      <c r="AL14" s="6">
        <v>99.929565753304004</v>
      </c>
      <c r="AM14" s="6">
        <v>100</v>
      </c>
      <c r="AN14" s="6">
        <v>100</v>
      </c>
      <c r="AO14" s="6">
        <v>11.1011050304938</v>
      </c>
      <c r="AP14" s="7">
        <v>1.6414701192490899</v>
      </c>
      <c r="AQ14" s="7">
        <v>9.23028574782583</v>
      </c>
      <c r="AR14" s="7">
        <v>10</v>
      </c>
      <c r="AS14" s="7">
        <v>10</v>
      </c>
      <c r="AT14" s="7">
        <v>73.123465364937402</v>
      </c>
      <c r="AU14" s="7">
        <v>100</v>
      </c>
      <c r="AV14" s="7">
        <v>100</v>
      </c>
      <c r="AW14" s="7">
        <v>100</v>
      </c>
      <c r="AX14" s="7">
        <v>9.5776135464386698</v>
      </c>
      <c r="AY14" s="7">
        <v>4.1345881063948404</v>
      </c>
      <c r="AZ14" s="7">
        <v>9.6346223452647592</v>
      </c>
      <c r="BA14" s="7">
        <v>10</v>
      </c>
      <c r="BB14" s="7">
        <v>10</v>
      </c>
      <c r="BC14" s="7">
        <v>95.620359410308794</v>
      </c>
      <c r="BD14" s="7">
        <v>100</v>
      </c>
      <c r="BE14" s="7">
        <v>100</v>
      </c>
      <c r="BF14" s="7">
        <v>100</v>
      </c>
      <c r="BG14" s="7">
        <v>7.5842033694747499</v>
      </c>
      <c r="BH14" s="7">
        <v>9.5758635532120895</v>
      </c>
      <c r="BI14" s="7">
        <v>10</v>
      </c>
      <c r="BJ14" s="7">
        <v>10</v>
      </c>
      <c r="BK14" s="7">
        <v>10</v>
      </c>
      <c r="BL14" s="7">
        <v>100</v>
      </c>
      <c r="BM14" s="7">
        <v>100</v>
      </c>
      <c r="BN14" s="7">
        <v>100</v>
      </c>
      <c r="BO14" s="7">
        <v>100</v>
      </c>
      <c r="BP14" s="6">
        <v>13.048675356877499</v>
      </c>
      <c r="BQ14" s="6">
        <v>1.1606096475352901</v>
      </c>
      <c r="BR14" s="6">
        <v>4.0394920908210503</v>
      </c>
      <c r="BS14" s="6">
        <v>6.8688553456658497</v>
      </c>
      <c r="BT14" s="6">
        <v>8.9039942087397197</v>
      </c>
      <c r="BU14" s="6">
        <v>62.070179900805101</v>
      </c>
      <c r="BV14" s="6">
        <v>96.6905686587167</v>
      </c>
      <c r="BW14" s="6">
        <v>100</v>
      </c>
      <c r="BX14" s="6">
        <v>100</v>
      </c>
      <c r="BY14" s="6" t="str">
        <f>TRIM(Table1[[#This Row],[LA_Name]])</f>
        <v>Sunderland</v>
      </c>
      <c r="BZ14" s="7">
        <v>21.017775564498098</v>
      </c>
      <c r="CA14" s="7">
        <v>0.19934848321806201</v>
      </c>
      <c r="CB14" s="7">
        <v>2.0328399675219901</v>
      </c>
      <c r="CC14" s="7">
        <v>5.23513788482044</v>
      </c>
      <c r="CD14" s="7">
        <v>9.4808066677753509</v>
      </c>
      <c r="CE14" s="7">
        <v>19.564579399939301</v>
      </c>
      <c r="CF14" s="7">
        <v>87.873081400467598</v>
      </c>
      <c r="CG14" s="7">
        <v>99.952554708822902</v>
      </c>
      <c r="CH14" s="7">
        <v>100</v>
      </c>
      <c r="CI14" s="7">
        <v>16.294603404610399</v>
      </c>
      <c r="CJ14" s="7">
        <v>0.63503810297095598</v>
      </c>
      <c r="CK14" s="7">
        <v>2.96551656672177</v>
      </c>
      <c r="CL14" s="7">
        <v>5.6743003042368203</v>
      </c>
      <c r="CM14" s="7">
        <v>7.7541649139626099</v>
      </c>
      <c r="CN14" s="7">
        <v>45.451610694266499</v>
      </c>
      <c r="CO14" s="7">
        <v>96.491004959744899</v>
      </c>
      <c r="CP14" s="7">
        <v>100</v>
      </c>
      <c r="CQ14" s="7">
        <v>100</v>
      </c>
      <c r="CR14" s="7">
        <v>10.506560362317201</v>
      </c>
      <c r="CS14" s="7">
        <v>2.46145192373536</v>
      </c>
      <c r="CT14" s="7">
        <v>9.3105416589221601</v>
      </c>
      <c r="CU14" s="7">
        <v>10</v>
      </c>
      <c r="CV14" s="7">
        <v>10</v>
      </c>
      <c r="CW14" s="7">
        <v>92.653316768241993</v>
      </c>
      <c r="CX14" s="7">
        <v>100</v>
      </c>
      <c r="CY14" s="7">
        <v>100</v>
      </c>
      <c r="CZ14" s="7">
        <v>100</v>
      </c>
      <c r="DA14" s="9">
        <v>35.004337014978901</v>
      </c>
      <c r="DB14" s="9">
        <v>0.15381567748941</v>
      </c>
      <c r="DC14" s="9">
        <v>0.58575858661945002</v>
      </c>
      <c r="DD14" s="9">
        <v>1.35675435078211</v>
      </c>
      <c r="DE14" s="9">
        <v>2.0623440908601798</v>
      </c>
      <c r="DF14" s="9">
        <v>15.381567748941</v>
      </c>
      <c r="DG14" s="9">
        <v>43.588037917102803</v>
      </c>
      <c r="DH14" s="9">
        <v>75.194427868483601</v>
      </c>
      <c r="DI14" s="9">
        <v>88.4898701857703</v>
      </c>
    </row>
    <row r="15" spans="1:113">
      <c r="A15" s="5" t="s">
        <v>139</v>
      </c>
      <c r="B15" s="5" t="s">
        <v>140</v>
      </c>
      <c r="C15" s="5" t="s">
        <v>141</v>
      </c>
      <c r="D15" s="6">
        <v>105892</v>
      </c>
      <c r="E15" s="7">
        <v>6.20655092704434</v>
      </c>
      <c r="F15" s="7">
        <v>3.89908586106599</v>
      </c>
      <c r="G15" s="7">
        <v>9.7280814414686692</v>
      </c>
      <c r="H15" s="7">
        <v>9.9721508706984494</v>
      </c>
      <c r="I15" s="7">
        <v>10</v>
      </c>
      <c r="J15" s="7">
        <v>97.106485853511103</v>
      </c>
      <c r="K15" s="7">
        <v>99.585426661126405</v>
      </c>
      <c r="L15" s="7">
        <v>100</v>
      </c>
      <c r="M15" s="7">
        <v>100</v>
      </c>
      <c r="N15" s="7">
        <v>7.2753999379730097</v>
      </c>
      <c r="O15" s="7">
        <v>8.9343482038303197</v>
      </c>
      <c r="P15" s="7">
        <v>9.9710459713670492</v>
      </c>
      <c r="Q15" s="7">
        <v>10</v>
      </c>
      <c r="R15" s="7">
        <v>10</v>
      </c>
      <c r="S15" s="7">
        <v>99.124579760510699</v>
      </c>
      <c r="T15" s="7">
        <v>100</v>
      </c>
      <c r="U15" s="7">
        <v>100</v>
      </c>
      <c r="V15" s="7">
        <v>100</v>
      </c>
      <c r="W15" s="7">
        <v>6.3130492449383198</v>
      </c>
      <c r="X15" s="7">
        <v>9.9683073319986395</v>
      </c>
      <c r="Y15" s="7">
        <v>10</v>
      </c>
      <c r="Z15" s="7">
        <v>10</v>
      </c>
      <c r="AA15" s="7">
        <v>10</v>
      </c>
      <c r="AB15" s="7">
        <v>100</v>
      </c>
      <c r="AC15" s="7">
        <v>100</v>
      </c>
      <c r="AD15" s="7">
        <v>100</v>
      </c>
      <c r="AE15" s="7">
        <v>100</v>
      </c>
      <c r="AF15" s="6">
        <v>6.5329858762368396</v>
      </c>
      <c r="AG15" s="6">
        <v>3.4695916594265901</v>
      </c>
      <c r="AH15" s="6">
        <v>8.8254542363917992</v>
      </c>
      <c r="AI15" s="6">
        <v>9.7135666528160804</v>
      </c>
      <c r="AJ15" s="6">
        <v>9.8520284818494304</v>
      </c>
      <c r="AK15" s="6">
        <v>95.453858648434206</v>
      </c>
      <c r="AL15" s="6">
        <v>98.710950780039994</v>
      </c>
      <c r="AM15" s="6">
        <v>99.726136063158705</v>
      </c>
      <c r="AN15" s="6">
        <v>100</v>
      </c>
      <c r="AO15" s="6">
        <v>9.4043568219954796</v>
      </c>
      <c r="AP15" s="7">
        <v>1.88342839874589</v>
      </c>
      <c r="AQ15" s="7">
        <v>8.3500453292033399</v>
      </c>
      <c r="AR15" s="7">
        <v>9.8885562648736407</v>
      </c>
      <c r="AS15" s="7">
        <v>9.9753333585162203</v>
      </c>
      <c r="AT15" s="7">
        <v>85.147131039171995</v>
      </c>
      <c r="AU15" s="7">
        <v>99.080194915574396</v>
      </c>
      <c r="AV15" s="7">
        <v>100</v>
      </c>
      <c r="AW15" s="7">
        <v>100</v>
      </c>
      <c r="AX15" s="7">
        <v>8.6195058216205904</v>
      </c>
      <c r="AY15" s="7">
        <v>5.8605560382276298</v>
      </c>
      <c r="AZ15" s="7">
        <v>9.7401314546896796</v>
      </c>
      <c r="BA15" s="7">
        <v>10</v>
      </c>
      <c r="BB15" s="7">
        <v>10</v>
      </c>
      <c r="BC15" s="7">
        <v>95.553960639141806</v>
      </c>
      <c r="BD15" s="7">
        <v>100</v>
      </c>
      <c r="BE15" s="7">
        <v>100</v>
      </c>
      <c r="BF15" s="7">
        <v>100</v>
      </c>
      <c r="BG15" s="7">
        <v>7.0193216754443402</v>
      </c>
      <c r="BH15" s="7">
        <v>9.4555018320552993</v>
      </c>
      <c r="BI15" s="7">
        <v>10</v>
      </c>
      <c r="BJ15" s="7">
        <v>10</v>
      </c>
      <c r="BK15" s="7">
        <v>10</v>
      </c>
      <c r="BL15" s="7">
        <v>100</v>
      </c>
      <c r="BM15" s="7">
        <v>100</v>
      </c>
      <c r="BN15" s="7">
        <v>100</v>
      </c>
      <c r="BO15" s="7">
        <v>100</v>
      </c>
      <c r="BP15" s="6">
        <v>10.750255648089899</v>
      </c>
      <c r="BQ15" s="6">
        <v>1.6661126430702999</v>
      </c>
      <c r="BR15" s="6">
        <v>5.5800154874778096</v>
      </c>
      <c r="BS15" s="6">
        <v>8.1366769916518695</v>
      </c>
      <c r="BT15" s="6">
        <v>9.1480848411589193</v>
      </c>
      <c r="BU15" s="6">
        <v>81.106221433158296</v>
      </c>
      <c r="BV15" s="6">
        <v>95.359422808144103</v>
      </c>
      <c r="BW15" s="6">
        <v>98.862992482907103</v>
      </c>
      <c r="BX15" s="6">
        <v>100</v>
      </c>
      <c r="BY15" s="6" t="str">
        <f>TRIM(Table1[[#This Row],[LA_Name]])</f>
        <v>Blackburn with Darwen</v>
      </c>
      <c r="BZ15" s="7">
        <v>31.725160001060299</v>
      </c>
      <c r="CA15" s="7">
        <v>7.4868734181996799E-2</v>
      </c>
      <c r="CB15" s="7">
        <v>0.47258527556378199</v>
      </c>
      <c r="CC15" s="7">
        <v>2.3096740074793201</v>
      </c>
      <c r="CD15" s="7">
        <v>6.7533619159143301</v>
      </c>
      <c r="CE15" s="7">
        <v>7.4868734181996803</v>
      </c>
      <c r="CF15" s="7">
        <v>46.696634306652101</v>
      </c>
      <c r="CG15" s="7">
        <v>89.106825822536194</v>
      </c>
      <c r="CH15" s="7">
        <v>98.603293922109302</v>
      </c>
      <c r="CI15" s="7">
        <v>21.4610443759126</v>
      </c>
      <c r="CJ15" s="7">
        <v>0.19305518830506599</v>
      </c>
      <c r="CK15" s="7">
        <v>1.1871435047029</v>
      </c>
      <c r="CL15" s="7">
        <v>1.82974162354097</v>
      </c>
      <c r="CM15" s="7">
        <v>2.67559400143542</v>
      </c>
      <c r="CN15" s="7">
        <v>19.3055188305066</v>
      </c>
      <c r="CO15" s="7">
        <v>82.937332376383495</v>
      </c>
      <c r="CP15" s="7">
        <v>99.586371019529295</v>
      </c>
      <c r="CQ15" s="7">
        <v>100</v>
      </c>
      <c r="CR15" s="7">
        <v>14.1514699102749</v>
      </c>
      <c r="CS15" s="7">
        <v>0.82331054281720994</v>
      </c>
      <c r="CT15" s="7">
        <v>6.9049597703320398</v>
      </c>
      <c r="CU15" s="7">
        <v>10</v>
      </c>
      <c r="CV15" s="7">
        <v>10</v>
      </c>
      <c r="CW15" s="7">
        <v>64.513844294186498</v>
      </c>
      <c r="CX15" s="7">
        <v>100</v>
      </c>
      <c r="CY15" s="7">
        <v>100</v>
      </c>
      <c r="CZ15" s="7">
        <v>100</v>
      </c>
      <c r="DA15" s="9">
        <v>48.683502452647197</v>
      </c>
      <c r="DB15" s="9">
        <v>7.4868734181996799E-2</v>
      </c>
      <c r="DC15" s="9">
        <v>0.22014883088429699</v>
      </c>
      <c r="DD15" s="9">
        <v>0.47757148793109999</v>
      </c>
      <c r="DE15" s="9">
        <v>0.77841574434329297</v>
      </c>
      <c r="DF15" s="9">
        <v>7.4868734181996803</v>
      </c>
      <c r="DG15" s="9">
        <v>22.014883088429698</v>
      </c>
      <c r="DH15" s="9">
        <v>47.757148793109998</v>
      </c>
      <c r="DI15" s="9">
        <v>72.404903108827895</v>
      </c>
    </row>
    <row r="16" spans="1:113">
      <c r="A16" s="5" t="s">
        <v>139</v>
      </c>
      <c r="B16" s="5" t="s">
        <v>142</v>
      </c>
      <c r="C16" s="5" t="s">
        <v>143</v>
      </c>
      <c r="D16" s="6">
        <v>99975</v>
      </c>
      <c r="E16" s="7">
        <v>5.8368167052061999</v>
      </c>
      <c r="F16" s="7">
        <v>5.9767441860465098</v>
      </c>
      <c r="G16" s="7">
        <v>10</v>
      </c>
      <c r="H16" s="7">
        <v>10</v>
      </c>
      <c r="I16" s="7">
        <v>10</v>
      </c>
      <c r="J16" s="7">
        <v>96.854213553388306</v>
      </c>
      <c r="K16" s="7">
        <v>100</v>
      </c>
      <c r="L16" s="7">
        <v>100</v>
      </c>
      <c r="M16" s="7">
        <v>100</v>
      </c>
      <c r="N16" s="7">
        <v>6.9416746219178096</v>
      </c>
      <c r="O16" s="7">
        <v>9.8306576644160995</v>
      </c>
      <c r="P16" s="7">
        <v>10</v>
      </c>
      <c r="Q16" s="7">
        <v>10</v>
      </c>
      <c r="R16" s="7">
        <v>10</v>
      </c>
      <c r="S16" s="7">
        <v>100</v>
      </c>
      <c r="T16" s="7">
        <v>100</v>
      </c>
      <c r="U16" s="7">
        <v>100</v>
      </c>
      <c r="V16" s="7">
        <v>100</v>
      </c>
      <c r="W16" s="7">
        <v>6.1511641937078396</v>
      </c>
      <c r="X16" s="7">
        <v>10</v>
      </c>
      <c r="Y16" s="7">
        <v>10</v>
      </c>
      <c r="Z16" s="7">
        <v>10</v>
      </c>
      <c r="AA16" s="7">
        <v>10</v>
      </c>
      <c r="AB16" s="7">
        <v>100</v>
      </c>
      <c r="AC16" s="7">
        <v>100</v>
      </c>
      <c r="AD16" s="7">
        <v>100</v>
      </c>
      <c r="AE16" s="7">
        <v>100</v>
      </c>
      <c r="AF16" s="6">
        <v>5.91722570074465</v>
      </c>
      <c r="AG16" s="6">
        <v>4.8528532133033302</v>
      </c>
      <c r="AH16" s="6">
        <v>9.7109777444361107</v>
      </c>
      <c r="AI16" s="6">
        <v>10</v>
      </c>
      <c r="AJ16" s="6">
        <v>10</v>
      </c>
      <c r="AK16" s="6">
        <v>96.252063015753905</v>
      </c>
      <c r="AL16" s="6">
        <v>100</v>
      </c>
      <c r="AM16" s="6">
        <v>100</v>
      </c>
      <c r="AN16" s="6">
        <v>100</v>
      </c>
      <c r="AO16" s="6">
        <v>8.3755144933030792</v>
      </c>
      <c r="AP16" s="7">
        <v>2.7879469867466899</v>
      </c>
      <c r="AQ16" s="7">
        <v>9.9188797199299792</v>
      </c>
      <c r="AR16" s="7">
        <v>10</v>
      </c>
      <c r="AS16" s="7">
        <v>10</v>
      </c>
      <c r="AT16" s="7">
        <v>94.365591397849499</v>
      </c>
      <c r="AU16" s="7">
        <v>100</v>
      </c>
      <c r="AV16" s="7">
        <v>100</v>
      </c>
      <c r="AW16" s="7">
        <v>100</v>
      </c>
      <c r="AX16" s="7">
        <v>7.8196122075581904</v>
      </c>
      <c r="AY16" s="7">
        <v>8.0405301325331298</v>
      </c>
      <c r="AZ16" s="7">
        <v>10</v>
      </c>
      <c r="BA16" s="7">
        <v>10</v>
      </c>
      <c r="BB16" s="7">
        <v>10</v>
      </c>
      <c r="BC16" s="7">
        <v>100</v>
      </c>
      <c r="BD16" s="7">
        <v>100</v>
      </c>
      <c r="BE16" s="7">
        <v>100</v>
      </c>
      <c r="BF16" s="7">
        <v>100</v>
      </c>
      <c r="BG16" s="7">
        <v>6.6367622920172504</v>
      </c>
      <c r="BH16" s="7">
        <v>10</v>
      </c>
      <c r="BI16" s="7">
        <v>10</v>
      </c>
      <c r="BJ16" s="7">
        <v>10</v>
      </c>
      <c r="BK16" s="7">
        <v>10</v>
      </c>
      <c r="BL16" s="7">
        <v>100</v>
      </c>
      <c r="BM16" s="7">
        <v>100</v>
      </c>
      <c r="BN16" s="7">
        <v>100</v>
      </c>
      <c r="BO16" s="7">
        <v>100</v>
      </c>
      <c r="BP16" s="6">
        <v>8.7564849588312992</v>
      </c>
      <c r="BQ16" s="6">
        <v>2.1647911977994498</v>
      </c>
      <c r="BR16" s="6">
        <v>7.3174893723430898</v>
      </c>
      <c r="BS16" s="6">
        <v>9.9251712928232099</v>
      </c>
      <c r="BT16" s="6">
        <v>10</v>
      </c>
      <c r="BU16" s="6">
        <v>88.16304076019</v>
      </c>
      <c r="BV16" s="6">
        <v>100</v>
      </c>
      <c r="BW16" s="6">
        <v>100</v>
      </c>
      <c r="BX16" s="6">
        <v>100</v>
      </c>
      <c r="BY16" s="6" t="str">
        <f>TRIM(Table1[[#This Row],[LA_Name]])</f>
        <v>Blackpool</v>
      </c>
      <c r="BZ16" s="7">
        <v>35.174721038939502</v>
      </c>
      <c r="CA16" s="7">
        <v>3.6239059764941198E-2</v>
      </c>
      <c r="CB16" s="7">
        <v>0.311897974493623</v>
      </c>
      <c r="CC16" s="7">
        <v>1.00895223805951</v>
      </c>
      <c r="CD16" s="7">
        <v>3.7766641660415101</v>
      </c>
      <c r="CE16" s="7">
        <v>3.6239059764941199</v>
      </c>
      <c r="CF16" s="7">
        <v>31.189797449362299</v>
      </c>
      <c r="CG16" s="7">
        <v>80.626156539134797</v>
      </c>
      <c r="CH16" s="7">
        <v>99.171792948237098</v>
      </c>
      <c r="CI16" s="7">
        <v>19.812431977651901</v>
      </c>
      <c r="CJ16" s="7">
        <v>0.20047011752938201</v>
      </c>
      <c r="CK16" s="7">
        <v>0.97230307576894204</v>
      </c>
      <c r="CL16" s="7">
        <v>1.00794198549637</v>
      </c>
      <c r="CM16" s="7">
        <v>1.4815903975994</v>
      </c>
      <c r="CN16" s="7">
        <v>20.0470117529382</v>
      </c>
      <c r="CO16" s="7">
        <v>97.230307576894205</v>
      </c>
      <c r="CP16" s="7">
        <v>100</v>
      </c>
      <c r="CQ16" s="7">
        <v>100</v>
      </c>
      <c r="CR16" s="7">
        <v>13.3033772782738</v>
      </c>
      <c r="CS16" s="7">
        <v>0.67610902725681399</v>
      </c>
      <c r="CT16" s="7">
        <v>2.3999899974993699</v>
      </c>
      <c r="CU16" s="7">
        <v>9.8420405101275303</v>
      </c>
      <c r="CV16" s="7">
        <v>10</v>
      </c>
      <c r="CW16" s="7">
        <v>67.610902725681399</v>
      </c>
      <c r="CX16" s="7">
        <v>100</v>
      </c>
      <c r="CY16" s="7">
        <v>100</v>
      </c>
      <c r="CZ16" s="7">
        <v>100</v>
      </c>
      <c r="DA16" s="9">
        <v>48.221613849006502</v>
      </c>
      <c r="DB16" s="9">
        <v>3.6239059764941198E-2</v>
      </c>
      <c r="DC16" s="9">
        <v>0.16236059014753701</v>
      </c>
      <c r="DD16" s="9">
        <v>0.47665916479119802</v>
      </c>
      <c r="DE16" s="9">
        <v>0.72697174293573397</v>
      </c>
      <c r="DF16" s="9">
        <v>3.6239059764941199</v>
      </c>
      <c r="DG16" s="9">
        <v>16.2360590147537</v>
      </c>
      <c r="DH16" s="9">
        <v>47.665916479119801</v>
      </c>
      <c r="DI16" s="9">
        <v>72.697174293573397</v>
      </c>
    </row>
    <row r="17" spans="1:113">
      <c r="A17" s="5" t="s">
        <v>139</v>
      </c>
      <c r="B17" s="5" t="s">
        <v>144</v>
      </c>
      <c r="C17" s="5" t="s">
        <v>145</v>
      </c>
      <c r="D17" s="6">
        <v>273685</v>
      </c>
      <c r="E17" s="7">
        <v>12.2970666665113</v>
      </c>
      <c r="F17" s="7">
        <v>1.8559584924274299</v>
      </c>
      <c r="G17" s="7">
        <v>7.1942488627436596</v>
      </c>
      <c r="H17" s="7">
        <v>9.3644408718051793</v>
      </c>
      <c r="I17" s="7">
        <v>9.6454062151743791</v>
      </c>
      <c r="J17" s="7">
        <v>75.466320770228506</v>
      </c>
      <c r="K17" s="7">
        <v>94.798399620001106</v>
      </c>
      <c r="L17" s="7">
        <v>97.143796700586407</v>
      </c>
      <c r="M17" s="7">
        <v>98.113159288963601</v>
      </c>
      <c r="N17" s="7">
        <v>9.7856186912390708</v>
      </c>
      <c r="O17" s="7">
        <v>4.7225313773133299</v>
      </c>
      <c r="P17" s="7">
        <v>8.6781993898094498</v>
      </c>
      <c r="Q17" s="7">
        <v>9.8447850631200104</v>
      </c>
      <c r="R17" s="7">
        <v>9.9874308054880601</v>
      </c>
      <c r="S17" s="7">
        <v>87.942342474012094</v>
      </c>
      <c r="T17" s="7">
        <v>98.615561685879797</v>
      </c>
      <c r="U17" s="7">
        <v>99.511116794855397</v>
      </c>
      <c r="V17" s="7">
        <v>100</v>
      </c>
      <c r="W17" s="7">
        <v>7.5334720620370801</v>
      </c>
      <c r="X17" s="7">
        <v>8.3823044741217103</v>
      </c>
      <c r="Y17" s="7">
        <v>10</v>
      </c>
      <c r="Z17" s="7">
        <v>10</v>
      </c>
      <c r="AA17" s="7">
        <v>10</v>
      </c>
      <c r="AB17" s="7">
        <v>98.648446206405197</v>
      </c>
      <c r="AC17" s="7">
        <v>100</v>
      </c>
      <c r="AD17" s="7">
        <v>100</v>
      </c>
      <c r="AE17" s="7">
        <v>100</v>
      </c>
      <c r="AF17" s="6">
        <v>14.339061185337901</v>
      </c>
      <c r="AG17" s="6">
        <v>1.57334892303195</v>
      </c>
      <c r="AH17" s="6">
        <v>4.6222847434093897</v>
      </c>
      <c r="AI17" s="6">
        <v>6.6212689771087199</v>
      </c>
      <c r="AJ17" s="6">
        <v>7.7390430604527101</v>
      </c>
      <c r="AK17" s="6">
        <v>73.066116155434202</v>
      </c>
      <c r="AL17" s="6">
        <v>88.060361364342199</v>
      </c>
      <c r="AM17" s="6">
        <v>93.989440415075705</v>
      </c>
      <c r="AN17" s="6">
        <v>97.558507042768198</v>
      </c>
      <c r="AO17" s="6">
        <v>13.184803409972901</v>
      </c>
      <c r="AP17" s="7">
        <v>1.3627527997515401</v>
      </c>
      <c r="AQ17" s="7">
        <v>6.5308109688145102</v>
      </c>
      <c r="AR17" s="7">
        <v>9.3694429727606607</v>
      </c>
      <c r="AS17" s="7">
        <v>9.6664413468038095</v>
      </c>
      <c r="AT17" s="7">
        <v>64.063065202696507</v>
      </c>
      <c r="AU17" s="7">
        <v>96.186126386173896</v>
      </c>
      <c r="AV17" s="7">
        <v>98.373677768237201</v>
      </c>
      <c r="AW17" s="7">
        <v>99.297732795001593</v>
      </c>
      <c r="AX17" s="7">
        <v>10.3752525811349</v>
      </c>
      <c r="AY17" s="7">
        <v>3.5160567806054401</v>
      </c>
      <c r="AZ17" s="7">
        <v>8.5699837404315193</v>
      </c>
      <c r="BA17" s="7">
        <v>9.8869905182965798</v>
      </c>
      <c r="BB17" s="7">
        <v>9.9992801943840508</v>
      </c>
      <c r="BC17" s="7">
        <v>86.804172680271094</v>
      </c>
      <c r="BD17" s="7">
        <v>99.662020205710903</v>
      </c>
      <c r="BE17" s="7">
        <v>100</v>
      </c>
      <c r="BF17" s="7">
        <v>100</v>
      </c>
      <c r="BG17" s="7">
        <v>7.7725456028161304</v>
      </c>
      <c r="BH17" s="7">
        <v>7.80509344684583</v>
      </c>
      <c r="BI17" s="7">
        <v>10</v>
      </c>
      <c r="BJ17" s="7">
        <v>10</v>
      </c>
      <c r="BK17" s="7">
        <v>10</v>
      </c>
      <c r="BL17" s="7">
        <v>99.299925096369904</v>
      </c>
      <c r="BM17" s="7">
        <v>100</v>
      </c>
      <c r="BN17" s="7">
        <v>100</v>
      </c>
      <c r="BO17" s="7">
        <v>100</v>
      </c>
      <c r="BP17" s="6">
        <v>16.519659730768002</v>
      </c>
      <c r="BQ17" s="6">
        <v>1.1322213493614901</v>
      </c>
      <c r="BR17" s="6">
        <v>3.3764802601530999</v>
      </c>
      <c r="BS17" s="6">
        <v>5.3009445165061999</v>
      </c>
      <c r="BT17" s="6">
        <v>6.9093008385552697</v>
      </c>
      <c r="BU17" s="6">
        <v>59.227944534775403</v>
      </c>
      <c r="BV17" s="6">
        <v>86.122732338272101</v>
      </c>
      <c r="BW17" s="6">
        <v>94.646765442022797</v>
      </c>
      <c r="BX17" s="6">
        <v>97.789794837130302</v>
      </c>
      <c r="BY17" s="6" t="str">
        <f>TRIM(Table1[[#This Row],[LA_Name]])</f>
        <v>Cheshire East</v>
      </c>
      <c r="BZ17" s="7">
        <v>31.728595704357499</v>
      </c>
      <c r="CA17" s="7">
        <v>0.16066280578036801</v>
      </c>
      <c r="CB17" s="7">
        <v>0.94604746332462497</v>
      </c>
      <c r="CC17" s="7">
        <v>2.75225898386832</v>
      </c>
      <c r="CD17" s="7">
        <v>6.1587189652337502</v>
      </c>
      <c r="CE17" s="7">
        <v>13.7354988399072</v>
      </c>
      <c r="CF17" s="7">
        <v>54.058132524617697</v>
      </c>
      <c r="CG17" s="7">
        <v>82.959972230849303</v>
      </c>
      <c r="CH17" s="7">
        <v>93.720883497451396</v>
      </c>
      <c r="CI17" s="7">
        <v>25.8667025591573</v>
      </c>
      <c r="CJ17" s="7">
        <v>0.56702413358422998</v>
      </c>
      <c r="CK17" s="7">
        <v>1.5152127445786201</v>
      </c>
      <c r="CL17" s="7">
        <v>2.9470339989403902</v>
      </c>
      <c r="CM17" s="7">
        <v>4.9854394650784704</v>
      </c>
      <c r="CN17" s="7">
        <v>35.925607906900296</v>
      </c>
      <c r="CO17" s="7">
        <v>65.156658201947494</v>
      </c>
      <c r="CP17" s="7">
        <v>87.261998282697306</v>
      </c>
      <c r="CQ17" s="7">
        <v>96.929316550048398</v>
      </c>
      <c r="CR17" s="7">
        <v>13.9320811726648</v>
      </c>
      <c r="CS17" s="7">
        <v>1.36236914701208</v>
      </c>
      <c r="CT17" s="7">
        <v>6.2513802364031603</v>
      </c>
      <c r="CU17" s="7">
        <v>9.9529203281144394</v>
      </c>
      <c r="CV17" s="7">
        <v>10</v>
      </c>
      <c r="CW17" s="7">
        <v>59.625116466010198</v>
      </c>
      <c r="CX17" s="7">
        <v>99.030637411622806</v>
      </c>
      <c r="CY17" s="7">
        <v>100</v>
      </c>
      <c r="CZ17" s="7">
        <v>100</v>
      </c>
      <c r="DA17" s="9">
        <v>60.8234942054981</v>
      </c>
      <c r="DB17" s="9">
        <v>0.13478268812686101</v>
      </c>
      <c r="DC17" s="9">
        <v>0.531125198677312</v>
      </c>
      <c r="DD17" s="9">
        <v>0.92620348210533998</v>
      </c>
      <c r="DE17" s="9">
        <v>1.1939163637028001</v>
      </c>
      <c r="DF17" s="9">
        <v>11.1474870745565</v>
      </c>
      <c r="DG17" s="9">
        <v>34.6697846063906</v>
      </c>
      <c r="DH17" s="9">
        <v>44.891755119937201</v>
      </c>
      <c r="DI17" s="9">
        <v>51.193525403292099</v>
      </c>
    </row>
    <row r="18" spans="1:113">
      <c r="A18" s="5" t="s">
        <v>139</v>
      </c>
      <c r="B18" s="5" t="s">
        <v>146</v>
      </c>
      <c r="C18" s="5" t="s">
        <v>147</v>
      </c>
      <c r="D18" s="6">
        <v>247359</v>
      </c>
      <c r="E18" s="7">
        <v>11.168005895665001</v>
      </c>
      <c r="F18" s="7">
        <v>2.07425644508589</v>
      </c>
      <c r="G18" s="7">
        <v>7.5806257302139803</v>
      </c>
      <c r="H18" s="7">
        <v>9.4695887354007695</v>
      </c>
      <c r="I18" s="7">
        <v>9.7530067634490791</v>
      </c>
      <c r="J18" s="7">
        <v>78.652080579239097</v>
      </c>
      <c r="K18" s="7">
        <v>95.818223715328699</v>
      </c>
      <c r="L18" s="7">
        <v>97.996030061570394</v>
      </c>
      <c r="M18" s="7">
        <v>98.813869719719094</v>
      </c>
      <c r="N18" s="7">
        <v>9.7742351150387794</v>
      </c>
      <c r="O18" s="7">
        <v>4.8823814779328796</v>
      </c>
      <c r="P18" s="7">
        <v>8.8622326254553094</v>
      </c>
      <c r="Q18" s="7">
        <v>9.7040980922464897</v>
      </c>
      <c r="R18" s="7">
        <v>9.9522273295089292</v>
      </c>
      <c r="S18" s="7">
        <v>90.171774627161298</v>
      </c>
      <c r="T18" s="7">
        <v>97.801575847250305</v>
      </c>
      <c r="U18" s="7">
        <v>99.867399205203796</v>
      </c>
      <c r="V18" s="7">
        <v>100</v>
      </c>
      <c r="W18" s="7">
        <v>7.5151048970277703</v>
      </c>
      <c r="X18" s="7">
        <v>8.4720750003031995</v>
      </c>
      <c r="Y18" s="7">
        <v>10</v>
      </c>
      <c r="Z18" s="7">
        <v>10</v>
      </c>
      <c r="AA18" s="7">
        <v>10</v>
      </c>
      <c r="AB18" s="7">
        <v>97.300280159606103</v>
      </c>
      <c r="AC18" s="7">
        <v>100</v>
      </c>
      <c r="AD18" s="7">
        <v>100</v>
      </c>
      <c r="AE18" s="7">
        <v>100</v>
      </c>
      <c r="AF18" s="6">
        <v>14.6240008666647</v>
      </c>
      <c r="AG18" s="6">
        <v>1.68407860639799</v>
      </c>
      <c r="AH18" s="6">
        <v>4.7956694520919001</v>
      </c>
      <c r="AI18" s="6">
        <v>6.8123698753633404</v>
      </c>
      <c r="AJ18" s="6">
        <v>7.9759095080429701</v>
      </c>
      <c r="AK18" s="6">
        <v>74.131121163976204</v>
      </c>
      <c r="AL18" s="6">
        <v>89.688671121729996</v>
      </c>
      <c r="AM18" s="6">
        <v>93.093439090552593</v>
      </c>
      <c r="AN18" s="6">
        <v>95.494402871939201</v>
      </c>
      <c r="AO18" s="6">
        <v>13.4696876291782</v>
      </c>
      <c r="AP18" s="7">
        <v>1.16195893418068</v>
      </c>
      <c r="AQ18" s="7">
        <v>6.2330175979042597</v>
      </c>
      <c r="AR18" s="7">
        <v>9.0230596016316404</v>
      </c>
      <c r="AS18" s="7">
        <v>9.6524888926620793</v>
      </c>
      <c r="AT18" s="7">
        <v>64.699889634094603</v>
      </c>
      <c r="AU18" s="7">
        <v>95.214243265860603</v>
      </c>
      <c r="AV18" s="7">
        <v>98.956577282411402</v>
      </c>
      <c r="AW18" s="7">
        <v>99.554493671141898</v>
      </c>
      <c r="AX18" s="7">
        <v>10.6665733335679</v>
      </c>
      <c r="AY18" s="7">
        <v>3.1335144466140301</v>
      </c>
      <c r="AZ18" s="7">
        <v>8.0785942698668691</v>
      </c>
      <c r="BA18" s="7">
        <v>9.7561075198395795</v>
      </c>
      <c r="BB18" s="7">
        <v>9.9345809127624207</v>
      </c>
      <c r="BC18" s="7">
        <v>86.091874562882296</v>
      </c>
      <c r="BD18" s="7">
        <v>99.139307645972096</v>
      </c>
      <c r="BE18" s="7">
        <v>100</v>
      </c>
      <c r="BF18" s="7">
        <v>100</v>
      </c>
      <c r="BG18" s="7">
        <v>7.9904204583920704</v>
      </c>
      <c r="BH18" s="7">
        <v>7.5608285932591901</v>
      </c>
      <c r="BI18" s="7">
        <v>9.9937176330758106</v>
      </c>
      <c r="BJ18" s="7">
        <v>10</v>
      </c>
      <c r="BK18" s="7">
        <v>10</v>
      </c>
      <c r="BL18" s="7">
        <v>98.453664511903796</v>
      </c>
      <c r="BM18" s="7">
        <v>100</v>
      </c>
      <c r="BN18" s="7">
        <v>100</v>
      </c>
      <c r="BO18" s="7">
        <v>100</v>
      </c>
      <c r="BP18" s="6">
        <v>17.4948594041009</v>
      </c>
      <c r="BQ18" s="6">
        <v>0.974627969873746</v>
      </c>
      <c r="BR18" s="6">
        <v>2.9701931201209599</v>
      </c>
      <c r="BS18" s="6">
        <v>5.0986946098585504</v>
      </c>
      <c r="BT18" s="6">
        <v>6.62272648256178</v>
      </c>
      <c r="BU18" s="6">
        <v>55.096843049980002</v>
      </c>
      <c r="BV18" s="6">
        <v>84.599711350708901</v>
      </c>
      <c r="BW18" s="6">
        <v>94.624412291446802</v>
      </c>
      <c r="BX18" s="6">
        <v>98.171483552245903</v>
      </c>
      <c r="BY18" s="6" t="str">
        <f>TRIM(Table1[[#This Row],[LA_Name]])</f>
        <v>Cheshire West and Chester</v>
      </c>
      <c r="BZ18" s="7">
        <v>35.992015289877401</v>
      </c>
      <c r="CA18" s="7">
        <v>0.131020096297285</v>
      </c>
      <c r="CB18" s="7">
        <v>0.77777238750156696</v>
      </c>
      <c r="CC18" s="7">
        <v>1.7899328506340999</v>
      </c>
      <c r="CD18" s="7">
        <v>4.48138131218189</v>
      </c>
      <c r="CE18" s="7">
        <v>10.476271330333599</v>
      </c>
      <c r="CF18" s="7">
        <v>38.096046636669797</v>
      </c>
      <c r="CG18" s="7">
        <v>73.032313358317296</v>
      </c>
      <c r="CH18" s="7">
        <v>93.740676506615898</v>
      </c>
      <c r="CI18" s="7">
        <v>29.5713351186034</v>
      </c>
      <c r="CJ18" s="7">
        <v>0.38854862770305498</v>
      </c>
      <c r="CK18" s="7">
        <v>1.05940353898585</v>
      </c>
      <c r="CL18" s="7">
        <v>2.1589066902760798</v>
      </c>
      <c r="CM18" s="7">
        <v>3.33054386539402</v>
      </c>
      <c r="CN18" s="7">
        <v>21.398857530956999</v>
      </c>
      <c r="CO18" s="7">
        <v>48.984269826446599</v>
      </c>
      <c r="CP18" s="7">
        <v>88.789977320412802</v>
      </c>
      <c r="CQ18" s="7">
        <v>96.585125263281299</v>
      </c>
      <c r="CR18" s="7">
        <v>15.418531537488301</v>
      </c>
      <c r="CS18" s="7">
        <v>0.89245994687882801</v>
      </c>
      <c r="CT18" s="7">
        <v>6.0044227216313102</v>
      </c>
      <c r="CU18" s="7">
        <v>9.9520737066369094</v>
      </c>
      <c r="CV18" s="7">
        <v>10</v>
      </c>
      <c r="CW18" s="7">
        <v>44.346476174305401</v>
      </c>
      <c r="CX18" s="7">
        <v>98.300850181315397</v>
      </c>
      <c r="CY18" s="7">
        <v>100</v>
      </c>
      <c r="CZ18" s="7">
        <v>100</v>
      </c>
      <c r="DA18" s="9">
        <v>73.2975918564495</v>
      </c>
      <c r="DB18" s="9">
        <v>0.100432973936667</v>
      </c>
      <c r="DC18" s="9">
        <v>0.36881617406279898</v>
      </c>
      <c r="DD18" s="9">
        <v>0.65956363018931996</v>
      </c>
      <c r="DE18" s="9">
        <v>0.87644274111716203</v>
      </c>
      <c r="DF18" s="9">
        <v>7.9932405936311204</v>
      </c>
      <c r="DG18" s="9">
        <v>20.535739552633999</v>
      </c>
      <c r="DH18" s="9">
        <v>30.669189315933501</v>
      </c>
      <c r="DI18" s="9">
        <v>39.226387558164397</v>
      </c>
    </row>
    <row r="19" spans="1:113">
      <c r="A19" s="5" t="s">
        <v>139</v>
      </c>
      <c r="B19" s="5" t="s">
        <v>148</v>
      </c>
      <c r="C19" s="5" t="s">
        <v>149</v>
      </c>
      <c r="D19" s="6">
        <v>93908</v>
      </c>
      <c r="E19" s="7">
        <v>8.3525755929403207</v>
      </c>
      <c r="F19" s="7">
        <v>2.8500021297439999</v>
      </c>
      <c r="G19" s="7">
        <v>9.9130744984452903</v>
      </c>
      <c r="H19" s="7">
        <v>10</v>
      </c>
      <c r="I19" s="7">
        <v>10</v>
      </c>
      <c r="J19" s="7">
        <v>93.196532776760193</v>
      </c>
      <c r="K19" s="7">
        <v>100</v>
      </c>
      <c r="L19" s="7">
        <v>100</v>
      </c>
      <c r="M19" s="7">
        <v>100</v>
      </c>
      <c r="N19" s="7">
        <v>8.3764138429825099</v>
      </c>
      <c r="O19" s="7">
        <v>6.3580099672019399</v>
      </c>
      <c r="P19" s="7">
        <v>10</v>
      </c>
      <c r="Q19" s="7">
        <v>10</v>
      </c>
      <c r="R19" s="7">
        <v>10</v>
      </c>
      <c r="S19" s="7">
        <v>98.432508412488801</v>
      </c>
      <c r="T19" s="7">
        <v>100</v>
      </c>
      <c r="U19" s="7">
        <v>100</v>
      </c>
      <c r="V19" s="7">
        <v>100</v>
      </c>
      <c r="W19" s="7">
        <v>7.0025358787411403</v>
      </c>
      <c r="X19" s="7">
        <v>9.9945798015078609</v>
      </c>
      <c r="Y19" s="7">
        <v>10</v>
      </c>
      <c r="Z19" s="7">
        <v>10</v>
      </c>
      <c r="AA19" s="7">
        <v>10</v>
      </c>
      <c r="AB19" s="7">
        <v>100</v>
      </c>
      <c r="AC19" s="7">
        <v>100</v>
      </c>
      <c r="AD19" s="7">
        <v>100</v>
      </c>
      <c r="AE19" s="7">
        <v>100</v>
      </c>
      <c r="AF19" s="6">
        <v>9.2498076918867405</v>
      </c>
      <c r="AG19" s="6">
        <v>2.0446500830600201</v>
      </c>
      <c r="AH19" s="6">
        <v>6.6868743876985999</v>
      </c>
      <c r="AI19" s="6">
        <v>9.2888145844869392</v>
      </c>
      <c r="AJ19" s="6">
        <v>9.8226562167227502</v>
      </c>
      <c r="AK19" s="6">
        <v>84.5050474932913</v>
      </c>
      <c r="AL19" s="6">
        <v>98.701921029092304</v>
      </c>
      <c r="AM19" s="6">
        <v>99.445201686757301</v>
      </c>
      <c r="AN19" s="6">
        <v>100</v>
      </c>
      <c r="AO19" s="6">
        <v>10.894161425365899</v>
      </c>
      <c r="AP19" s="7">
        <v>1.68243387144865</v>
      </c>
      <c r="AQ19" s="7">
        <v>9.26002044554245</v>
      </c>
      <c r="AR19" s="7">
        <v>9.9934190910252596</v>
      </c>
      <c r="AS19" s="7">
        <v>10</v>
      </c>
      <c r="AT19" s="7">
        <v>73.921284661583698</v>
      </c>
      <c r="AU19" s="7">
        <v>100</v>
      </c>
      <c r="AV19" s="7">
        <v>100</v>
      </c>
      <c r="AW19" s="7">
        <v>100</v>
      </c>
      <c r="AX19" s="7">
        <v>9.6777247023926698</v>
      </c>
      <c r="AY19" s="7">
        <v>3.837947778677</v>
      </c>
      <c r="AZ19" s="7">
        <v>9.9164181965327796</v>
      </c>
      <c r="BA19" s="7">
        <v>10</v>
      </c>
      <c r="BB19" s="7">
        <v>10</v>
      </c>
      <c r="BC19" s="7">
        <v>93.586275929633302</v>
      </c>
      <c r="BD19" s="7">
        <v>100</v>
      </c>
      <c r="BE19" s="7">
        <v>100</v>
      </c>
      <c r="BF19" s="7">
        <v>100</v>
      </c>
      <c r="BG19" s="7">
        <v>7.7485902993232303</v>
      </c>
      <c r="BH19" s="7">
        <v>9.6721259104655601</v>
      </c>
      <c r="BI19" s="7">
        <v>10</v>
      </c>
      <c r="BJ19" s="7">
        <v>10</v>
      </c>
      <c r="BK19" s="7">
        <v>10</v>
      </c>
      <c r="BL19" s="7">
        <v>100</v>
      </c>
      <c r="BM19" s="7">
        <v>100</v>
      </c>
      <c r="BN19" s="7">
        <v>100</v>
      </c>
      <c r="BO19" s="7">
        <v>100</v>
      </c>
      <c r="BP19" s="6">
        <v>12.732333524860399</v>
      </c>
      <c r="BQ19" s="6">
        <v>1.21805383992844</v>
      </c>
      <c r="BR19" s="6">
        <v>3.9950802913489798</v>
      </c>
      <c r="BS19" s="6">
        <v>7.2702325680453201</v>
      </c>
      <c r="BT19" s="6">
        <v>9.2476359841547104</v>
      </c>
      <c r="BU19" s="6">
        <v>66.481023980917499</v>
      </c>
      <c r="BV19" s="6">
        <v>96.928909145120798</v>
      </c>
      <c r="BW19" s="6">
        <v>100</v>
      </c>
      <c r="BX19" s="6">
        <v>100</v>
      </c>
      <c r="BY19" s="6" t="str">
        <f>TRIM(Table1[[#This Row],[LA_Name]])</f>
        <v>Halton</v>
      </c>
      <c r="BZ19" s="7">
        <v>24.3923292753745</v>
      </c>
      <c r="CA19" s="7">
        <v>9.7861737019210304E-2</v>
      </c>
      <c r="CB19" s="7">
        <v>1.3750479192401099</v>
      </c>
      <c r="CC19" s="7">
        <v>5.8447949056523401</v>
      </c>
      <c r="CD19" s="7">
        <v>9.3798078970907692</v>
      </c>
      <c r="CE19" s="7">
        <v>9.7861737019210295</v>
      </c>
      <c r="CF19" s="7">
        <v>78.226562167227499</v>
      </c>
      <c r="CG19" s="7">
        <v>100</v>
      </c>
      <c r="CH19" s="7">
        <v>100</v>
      </c>
      <c r="CI19" s="7">
        <v>17.516480082668799</v>
      </c>
      <c r="CJ19" s="7">
        <v>0.27649401541934698</v>
      </c>
      <c r="CK19" s="7">
        <v>2.0037483494483999</v>
      </c>
      <c r="CL19" s="7">
        <v>6.2193849299314197</v>
      </c>
      <c r="CM19" s="7">
        <v>9.0309238829492706</v>
      </c>
      <c r="CN19" s="7">
        <v>26.550453635473001</v>
      </c>
      <c r="CO19" s="7">
        <v>100</v>
      </c>
      <c r="CP19" s="7">
        <v>100</v>
      </c>
      <c r="CQ19" s="7">
        <v>100</v>
      </c>
      <c r="CR19" s="7">
        <v>11.7665628018562</v>
      </c>
      <c r="CS19" s="7">
        <v>1.7083102611066101</v>
      </c>
      <c r="CT19" s="7">
        <v>10</v>
      </c>
      <c r="CU19" s="7">
        <v>10</v>
      </c>
      <c r="CV19" s="7">
        <v>10</v>
      </c>
      <c r="CW19" s="7">
        <v>96.368786471866102</v>
      </c>
      <c r="CX19" s="7">
        <v>100</v>
      </c>
      <c r="CY19" s="7">
        <v>100</v>
      </c>
      <c r="CZ19" s="7">
        <v>100</v>
      </c>
      <c r="DA19" s="9">
        <v>38.5563023435773</v>
      </c>
      <c r="DB19" s="9">
        <v>6.2657068620351794E-2</v>
      </c>
      <c r="DC19" s="9">
        <v>0.268262554840908</v>
      </c>
      <c r="DD19" s="9">
        <v>0.76933807556331701</v>
      </c>
      <c r="DE19" s="9">
        <v>1.3589044596839499</v>
      </c>
      <c r="DF19" s="9">
        <v>6.2657068620351799</v>
      </c>
      <c r="DG19" s="9">
        <v>25.817821697831899</v>
      </c>
      <c r="DH19" s="9">
        <v>63.250202325680398</v>
      </c>
      <c r="DI19" s="9">
        <v>97.097158921497595</v>
      </c>
    </row>
    <row r="20" spans="1:113">
      <c r="A20" s="5" t="s">
        <v>139</v>
      </c>
      <c r="B20" s="5" t="s">
        <v>150</v>
      </c>
      <c r="C20" s="5" t="s">
        <v>151</v>
      </c>
      <c r="D20" s="6">
        <v>152273</v>
      </c>
      <c r="E20" s="7">
        <v>8.1612698242109492</v>
      </c>
      <c r="F20" s="7">
        <v>3.26236430621318</v>
      </c>
      <c r="G20" s="7">
        <v>9.5697070393306802</v>
      </c>
      <c r="H20" s="7">
        <v>9.9884418117460108</v>
      </c>
      <c r="I20" s="7">
        <v>10</v>
      </c>
      <c r="J20" s="7">
        <v>84.9060568846742</v>
      </c>
      <c r="K20" s="7">
        <v>100</v>
      </c>
      <c r="L20" s="7">
        <v>100</v>
      </c>
      <c r="M20" s="7">
        <v>100</v>
      </c>
      <c r="N20" s="7">
        <v>8.3043825928919492</v>
      </c>
      <c r="O20" s="7">
        <v>7.2462485141817696</v>
      </c>
      <c r="P20" s="7">
        <v>9.98803464829615</v>
      </c>
      <c r="Q20" s="7">
        <v>10</v>
      </c>
      <c r="R20" s="7">
        <v>10</v>
      </c>
      <c r="S20" s="7">
        <v>96.344722964675299</v>
      </c>
      <c r="T20" s="7">
        <v>100</v>
      </c>
      <c r="U20" s="7">
        <v>100</v>
      </c>
      <c r="V20" s="7">
        <v>100</v>
      </c>
      <c r="W20" s="7">
        <v>6.9449811056028796</v>
      </c>
      <c r="X20" s="7">
        <v>9.8145107799806901</v>
      </c>
      <c r="Y20" s="7">
        <v>10</v>
      </c>
      <c r="Z20" s="7">
        <v>10</v>
      </c>
      <c r="AA20" s="7">
        <v>10</v>
      </c>
      <c r="AB20" s="7">
        <v>100</v>
      </c>
      <c r="AC20" s="7">
        <v>100</v>
      </c>
      <c r="AD20" s="7">
        <v>100</v>
      </c>
      <c r="AE20" s="7">
        <v>100</v>
      </c>
      <c r="AF20" s="6">
        <v>9.4208693616803103</v>
      </c>
      <c r="AG20" s="6">
        <v>2.5233560775711998</v>
      </c>
      <c r="AH20" s="6">
        <v>7.2354258469984796</v>
      </c>
      <c r="AI20" s="6">
        <v>8.6285552921397795</v>
      </c>
      <c r="AJ20" s="6">
        <v>9.4211186487427199</v>
      </c>
      <c r="AK20" s="6">
        <v>81.624450821879094</v>
      </c>
      <c r="AL20" s="6">
        <v>96.671767155043895</v>
      </c>
      <c r="AM20" s="6">
        <v>99.858806223033596</v>
      </c>
      <c r="AN20" s="6">
        <v>100</v>
      </c>
      <c r="AO20" s="6">
        <v>11.116320684554401</v>
      </c>
      <c r="AP20" s="7">
        <v>1.4767818326295501</v>
      </c>
      <c r="AQ20" s="7">
        <v>8.0158990760016593</v>
      </c>
      <c r="AR20" s="7">
        <v>9.9741122851720299</v>
      </c>
      <c r="AS20" s="7">
        <v>10</v>
      </c>
      <c r="AT20" s="7">
        <v>77.079324634045406</v>
      </c>
      <c r="AU20" s="7">
        <v>99.625672312228701</v>
      </c>
      <c r="AV20" s="7">
        <v>100</v>
      </c>
      <c r="AW20" s="7">
        <v>100</v>
      </c>
      <c r="AX20" s="7">
        <v>9.0973458110322891</v>
      </c>
      <c r="AY20" s="7">
        <v>3.8156206287391701</v>
      </c>
      <c r="AZ20" s="7">
        <v>9.7428434456535307</v>
      </c>
      <c r="BA20" s="7">
        <v>10</v>
      </c>
      <c r="BB20" s="7">
        <v>10</v>
      </c>
      <c r="BC20" s="7">
        <v>97.250989998226899</v>
      </c>
      <c r="BD20" s="7">
        <v>100</v>
      </c>
      <c r="BE20" s="7">
        <v>100</v>
      </c>
      <c r="BF20" s="7">
        <v>100</v>
      </c>
      <c r="BG20" s="7">
        <v>7.3807962578847803</v>
      </c>
      <c r="BH20" s="7">
        <v>9.4377401115102497</v>
      </c>
      <c r="BI20" s="7">
        <v>10</v>
      </c>
      <c r="BJ20" s="7">
        <v>10</v>
      </c>
      <c r="BK20" s="7">
        <v>10</v>
      </c>
      <c r="BL20" s="7">
        <v>100</v>
      </c>
      <c r="BM20" s="7">
        <v>100</v>
      </c>
      <c r="BN20" s="7">
        <v>100</v>
      </c>
      <c r="BO20" s="7">
        <v>100</v>
      </c>
      <c r="BP20" s="6">
        <v>12.2105106606812</v>
      </c>
      <c r="BQ20" s="6">
        <v>0.96891110045773099</v>
      </c>
      <c r="BR20" s="6">
        <v>3.7456016496686901</v>
      </c>
      <c r="BS20" s="6">
        <v>7.3040066196896403</v>
      </c>
      <c r="BT20" s="6">
        <v>9.0482094658934908</v>
      </c>
      <c r="BU20" s="6">
        <v>68.404773006376701</v>
      </c>
      <c r="BV20" s="6">
        <v>97.233258686700907</v>
      </c>
      <c r="BW20" s="6">
        <v>100</v>
      </c>
      <c r="BX20" s="6">
        <v>100</v>
      </c>
      <c r="BY20" s="6" t="str">
        <f>TRIM(Table1[[#This Row],[LA_Name]])</f>
        <v>Warrington</v>
      </c>
      <c r="BZ20" s="7">
        <v>21.987959358428402</v>
      </c>
      <c r="CA20" s="7">
        <v>0.204015156987779</v>
      </c>
      <c r="CB20" s="7">
        <v>2.0007026853086201</v>
      </c>
      <c r="CC20" s="7">
        <v>4.4561609740400501</v>
      </c>
      <c r="CD20" s="7">
        <v>8.6491301806623593</v>
      </c>
      <c r="CE20" s="7">
        <v>15.4984797042155</v>
      </c>
      <c r="CF20" s="7">
        <v>86.844023562942894</v>
      </c>
      <c r="CG20" s="7">
        <v>98.353614889048004</v>
      </c>
      <c r="CH20" s="7">
        <v>100</v>
      </c>
      <c r="CI20" s="7">
        <v>17.635442871013499</v>
      </c>
      <c r="CJ20" s="7">
        <v>0.61731232720180196</v>
      </c>
      <c r="CK20" s="7">
        <v>2.95177083264926</v>
      </c>
      <c r="CL20" s="7">
        <v>5.7181312511082103</v>
      </c>
      <c r="CM20" s="7">
        <v>8.9598352958173795</v>
      </c>
      <c r="CN20" s="7">
        <v>40.377479920931499</v>
      </c>
      <c r="CO20" s="7">
        <v>92.261924307001195</v>
      </c>
      <c r="CP20" s="7">
        <v>100</v>
      </c>
      <c r="CQ20" s="7">
        <v>100</v>
      </c>
      <c r="CR20" s="7">
        <v>11.473814836201999</v>
      </c>
      <c r="CS20" s="7">
        <v>2.4434075640461499</v>
      </c>
      <c r="CT20" s="7">
        <v>9.9968017967728997</v>
      </c>
      <c r="CU20" s="7">
        <v>10</v>
      </c>
      <c r="CV20" s="7">
        <v>10</v>
      </c>
      <c r="CW20" s="7">
        <v>89.251541639029895</v>
      </c>
      <c r="CX20" s="7">
        <v>100</v>
      </c>
      <c r="CY20" s="7">
        <v>100</v>
      </c>
      <c r="CZ20" s="7">
        <v>100</v>
      </c>
      <c r="DA20" s="9">
        <v>38.975518867319899</v>
      </c>
      <c r="DB20" s="9">
        <v>0.12869648591674199</v>
      </c>
      <c r="DC20" s="9">
        <v>0.60190578763142499</v>
      </c>
      <c r="DD20" s="9">
        <v>1.34562266455642</v>
      </c>
      <c r="DE20" s="9">
        <v>2.1800844535800801</v>
      </c>
      <c r="DF20" s="9">
        <v>9.9525194880247998</v>
      </c>
      <c r="DG20" s="9">
        <v>39.898077794487499</v>
      </c>
      <c r="DH20" s="9">
        <v>73.179092813565106</v>
      </c>
      <c r="DI20" s="9">
        <v>85.194354875782295</v>
      </c>
    </row>
    <row r="21" spans="1:113">
      <c r="A21" s="5" t="s">
        <v>139</v>
      </c>
      <c r="B21" s="5" t="s">
        <v>152</v>
      </c>
      <c r="C21" s="5" t="s">
        <v>153</v>
      </c>
      <c r="D21" s="6">
        <v>361482</v>
      </c>
      <c r="E21" s="7">
        <v>17.604840518981401</v>
      </c>
      <c r="F21" s="7">
        <v>1.68421387510305</v>
      </c>
      <c r="G21" s="7">
        <v>5.5418803702535699</v>
      </c>
      <c r="H21" s="7">
        <v>7.5527799447828698</v>
      </c>
      <c r="I21" s="7">
        <v>8.42878206936998</v>
      </c>
      <c r="J21" s="7">
        <v>68.140598978648995</v>
      </c>
      <c r="K21" s="7">
        <v>84.425227258895305</v>
      </c>
      <c r="L21" s="7">
        <v>90.813373833275193</v>
      </c>
      <c r="M21" s="7">
        <v>93.632601346678399</v>
      </c>
      <c r="N21" s="7">
        <v>12.5956279983653</v>
      </c>
      <c r="O21" s="7">
        <v>3.5314925777770401</v>
      </c>
      <c r="P21" s="7">
        <v>6.3526731621491503</v>
      </c>
      <c r="Q21" s="7">
        <v>7.4915597457134799</v>
      </c>
      <c r="R21" s="7">
        <v>8.4269562523168506</v>
      </c>
      <c r="S21" s="7">
        <v>77.770124100231797</v>
      </c>
      <c r="T21" s="7">
        <v>92.763401773808894</v>
      </c>
      <c r="U21" s="7">
        <v>97.742072910960999</v>
      </c>
      <c r="V21" s="7">
        <v>99.134950011342198</v>
      </c>
      <c r="W21" s="7">
        <v>8.4874838004373192</v>
      </c>
      <c r="X21" s="7">
        <v>6.2617889687453303</v>
      </c>
      <c r="Y21" s="7">
        <v>9.2444437067405794</v>
      </c>
      <c r="Z21" s="7">
        <v>9.9270337112221405</v>
      </c>
      <c r="AA21" s="7">
        <v>10</v>
      </c>
      <c r="AB21" s="7">
        <v>92.715543235901094</v>
      </c>
      <c r="AC21" s="7">
        <v>99.7100823830785</v>
      </c>
      <c r="AD21" s="7">
        <v>100</v>
      </c>
      <c r="AE21" s="7">
        <v>100</v>
      </c>
      <c r="AF21" s="6">
        <v>22.837360555163698</v>
      </c>
      <c r="AG21" s="6">
        <v>1.3637110561521699</v>
      </c>
      <c r="AH21" s="6">
        <v>3.4115225654389398</v>
      </c>
      <c r="AI21" s="6">
        <v>4.84868679491648</v>
      </c>
      <c r="AJ21" s="6">
        <v>5.7172694629331504</v>
      </c>
      <c r="AK21" s="6">
        <v>65.117211922032098</v>
      </c>
      <c r="AL21" s="6">
        <v>76.988619073702196</v>
      </c>
      <c r="AM21" s="6">
        <v>82.706469478424907</v>
      </c>
      <c r="AN21" s="6">
        <v>87.345427988115603</v>
      </c>
      <c r="AO21" s="6">
        <v>19.531265311203502</v>
      </c>
      <c r="AP21" s="7">
        <v>1.03661593108371</v>
      </c>
      <c r="AQ21" s="7">
        <v>4.3337953203755699</v>
      </c>
      <c r="AR21" s="7">
        <v>7.1151509618736197</v>
      </c>
      <c r="AS21" s="7">
        <v>8.2664724661255597</v>
      </c>
      <c r="AT21" s="7">
        <v>56.215247232227298</v>
      </c>
      <c r="AU21" s="7">
        <v>85.134806159089493</v>
      </c>
      <c r="AV21" s="7">
        <v>90.423589556326505</v>
      </c>
      <c r="AW21" s="7">
        <v>93.122479127591404</v>
      </c>
      <c r="AX21" s="7">
        <v>13.427022730971601</v>
      </c>
      <c r="AY21" s="7">
        <v>2.3504296202853801</v>
      </c>
      <c r="AZ21" s="7">
        <v>5.4354048057717996</v>
      </c>
      <c r="BA21" s="7">
        <v>7.3512927338014098</v>
      </c>
      <c r="BB21" s="7">
        <v>8.6735992386896203</v>
      </c>
      <c r="BC21" s="7">
        <v>73.264782202156695</v>
      </c>
      <c r="BD21" s="7">
        <v>93.919475935177999</v>
      </c>
      <c r="BE21" s="7">
        <v>97.972236515234499</v>
      </c>
      <c r="BF21" s="7">
        <v>99.363177142983602</v>
      </c>
      <c r="BG21" s="7">
        <v>8.9308739787481297</v>
      </c>
      <c r="BH21" s="7">
        <v>5.1315971472991704</v>
      </c>
      <c r="BI21" s="7">
        <v>9.4155006335031892</v>
      </c>
      <c r="BJ21" s="7">
        <v>9.8822154353467102</v>
      </c>
      <c r="BK21" s="7">
        <v>9.9961325875147296</v>
      </c>
      <c r="BL21" s="7">
        <v>93.041423915990293</v>
      </c>
      <c r="BM21" s="7">
        <v>99.824610907320405</v>
      </c>
      <c r="BN21" s="7">
        <v>100</v>
      </c>
      <c r="BO21" s="7">
        <v>100</v>
      </c>
      <c r="BP21" s="6">
        <v>25.741932942995</v>
      </c>
      <c r="BQ21" s="6">
        <v>0.87612661211346599</v>
      </c>
      <c r="BR21" s="6">
        <v>2.28009416789771</v>
      </c>
      <c r="BS21" s="6">
        <v>3.4810225682053302</v>
      </c>
      <c r="BT21" s="6">
        <v>4.4744883562666997</v>
      </c>
      <c r="BU21" s="6">
        <v>51.222744147703096</v>
      </c>
      <c r="BV21" s="6">
        <v>72.012161048129599</v>
      </c>
      <c r="BW21" s="6">
        <v>80.550068883097893</v>
      </c>
      <c r="BX21" s="6">
        <v>87.672138585047094</v>
      </c>
      <c r="BY21" s="6" t="str">
        <f>TRIM(Table1[[#This Row],[LA_Name]])</f>
        <v>Cumbria</v>
      </c>
      <c r="BZ21" s="7">
        <v>57.209530444881501</v>
      </c>
      <c r="CA21" s="7">
        <v>9.4173430488931703E-2</v>
      </c>
      <c r="CB21" s="7">
        <v>0.53053817340835796</v>
      </c>
      <c r="CC21" s="7">
        <v>0.791405934458701</v>
      </c>
      <c r="CD21" s="7">
        <v>1.11173447087269</v>
      </c>
      <c r="CE21" s="7">
        <v>8.7843931371409898</v>
      </c>
      <c r="CF21" s="7">
        <v>35.761393375050503</v>
      </c>
      <c r="CG21" s="7">
        <v>46.518498846415604</v>
      </c>
      <c r="CH21" s="7">
        <v>57.2924792935748</v>
      </c>
      <c r="CI21" s="7">
        <v>58.275375656878403</v>
      </c>
      <c r="CJ21" s="7">
        <v>0.25320209581666597</v>
      </c>
      <c r="CK21" s="7">
        <v>0.63014479282509195</v>
      </c>
      <c r="CL21" s="7">
        <v>0.80200950531423398</v>
      </c>
      <c r="CM21" s="7">
        <v>0.96686418687514197</v>
      </c>
      <c r="CN21" s="7">
        <v>19.6695824411727</v>
      </c>
      <c r="CO21" s="7">
        <v>36.814557847970299</v>
      </c>
      <c r="CP21" s="7">
        <v>44.406360482679602</v>
      </c>
      <c r="CQ21" s="7">
        <v>56.457582950188403</v>
      </c>
      <c r="CR21" s="7">
        <v>23.853421510560899</v>
      </c>
      <c r="CS21" s="7">
        <v>0.55760176163681696</v>
      </c>
      <c r="CT21" s="7">
        <v>1.1483089061142699</v>
      </c>
      <c r="CU21" s="7">
        <v>1.91762798700903</v>
      </c>
      <c r="CV21" s="7">
        <v>3.46412546129545</v>
      </c>
      <c r="CW21" s="7">
        <v>36.111618282514797</v>
      </c>
      <c r="CX21" s="7">
        <v>68.250424640784303</v>
      </c>
      <c r="CY21" s="7">
        <v>91.476477390298797</v>
      </c>
      <c r="CZ21" s="7">
        <v>99.570932992514102</v>
      </c>
      <c r="DA21" s="9">
        <v>86.353291223731603</v>
      </c>
      <c r="DB21" s="9">
        <v>5.62047349522245E-2</v>
      </c>
      <c r="DC21" s="9">
        <v>0.229781842526046</v>
      </c>
      <c r="DD21" s="9">
        <v>0.41513823648203801</v>
      </c>
      <c r="DE21" s="9">
        <v>0.52506072224896405</v>
      </c>
      <c r="DF21" s="9">
        <v>5.4804941878157099</v>
      </c>
      <c r="DG21" s="9">
        <v>18.1026994428492</v>
      </c>
      <c r="DH21" s="9">
        <v>29.9616578418842</v>
      </c>
      <c r="DI21" s="9">
        <v>33.931426737707497</v>
      </c>
    </row>
    <row r="22" spans="1:113">
      <c r="A22" s="5" t="s">
        <v>139</v>
      </c>
      <c r="B22" s="5" t="s">
        <v>154</v>
      </c>
      <c r="C22" s="5" t="s">
        <v>155</v>
      </c>
      <c r="D22" s="6">
        <v>70623</v>
      </c>
      <c r="E22" s="7">
        <v>16.8512855429125</v>
      </c>
      <c r="F22" s="7">
        <v>1.52437591153024</v>
      </c>
      <c r="G22" s="7">
        <v>5.0802429803321898</v>
      </c>
      <c r="H22" s="7">
        <v>7.47583648386503</v>
      </c>
      <c r="I22" s="7">
        <v>8.4111408464664503</v>
      </c>
      <c r="J22" s="7">
        <v>70.655452189796506</v>
      </c>
      <c r="K22" s="7">
        <v>86.818741769678397</v>
      </c>
      <c r="L22" s="7">
        <v>90.852838310465401</v>
      </c>
      <c r="M22" s="7">
        <v>94.620732622516698</v>
      </c>
      <c r="N22" s="7">
        <v>11.5723111567268</v>
      </c>
      <c r="O22" s="7">
        <v>2.6355011823343699</v>
      </c>
      <c r="P22" s="7">
        <v>5.8423034988601401</v>
      </c>
      <c r="Q22" s="7">
        <v>7.4448409158489399</v>
      </c>
      <c r="R22" s="7">
        <v>8.5264857057899004</v>
      </c>
      <c r="S22" s="7">
        <v>81.572575506562998</v>
      </c>
      <c r="T22" s="7">
        <v>94.864279342423899</v>
      </c>
      <c r="U22" s="7">
        <v>99.266527901675104</v>
      </c>
      <c r="V22" s="7">
        <v>100</v>
      </c>
      <c r="W22" s="7">
        <v>8.1686973130542793</v>
      </c>
      <c r="X22" s="7">
        <v>5.7067385979071998</v>
      </c>
      <c r="Y22" s="7">
        <v>9.2252240771420109</v>
      </c>
      <c r="Z22" s="7">
        <v>9.9715956558061798</v>
      </c>
      <c r="AA22" s="7">
        <v>10</v>
      </c>
      <c r="AB22" s="7">
        <v>93.847613383741802</v>
      </c>
      <c r="AC22" s="7">
        <v>100</v>
      </c>
      <c r="AD22" s="7">
        <v>100</v>
      </c>
      <c r="AE22" s="7">
        <v>100</v>
      </c>
      <c r="AF22" s="6">
        <v>20.206525924164499</v>
      </c>
      <c r="AG22" s="6">
        <v>1.2495079506676301</v>
      </c>
      <c r="AH22" s="6">
        <v>2.5502598303668802</v>
      </c>
      <c r="AI22" s="6">
        <v>3.7179530747773399</v>
      </c>
      <c r="AJ22" s="6">
        <v>4.9282386757855097</v>
      </c>
      <c r="AK22" s="6">
        <v>65.223793948147204</v>
      </c>
      <c r="AL22" s="6">
        <v>80.119791002931095</v>
      </c>
      <c r="AM22" s="6">
        <v>85.939424833269598</v>
      </c>
      <c r="AN22" s="6">
        <v>90.263795080922606</v>
      </c>
      <c r="AO22" s="6">
        <v>20.492696299880102</v>
      </c>
      <c r="AP22" s="7">
        <v>0.93398751115075795</v>
      </c>
      <c r="AQ22" s="7">
        <v>3.3063166390552698</v>
      </c>
      <c r="AR22" s="7">
        <v>6.4825764977415297</v>
      </c>
      <c r="AS22" s="7">
        <v>8.1652719369044107</v>
      </c>
      <c r="AT22" s="7">
        <v>54.184897271427197</v>
      </c>
      <c r="AU22" s="7">
        <v>81.452218115911293</v>
      </c>
      <c r="AV22" s="7">
        <v>89.295272078501299</v>
      </c>
      <c r="AW22" s="7">
        <v>92.961216600824102</v>
      </c>
      <c r="AX22" s="7">
        <v>15.5260599612305</v>
      </c>
      <c r="AY22" s="7">
        <v>1.7205867776786601</v>
      </c>
      <c r="AZ22" s="7">
        <v>3.7777494583917401</v>
      </c>
      <c r="BA22" s="7">
        <v>5.9258173682794597</v>
      </c>
      <c r="BB22" s="7">
        <v>8.0988912960366992</v>
      </c>
      <c r="BC22" s="7">
        <v>66.284354955184597</v>
      </c>
      <c r="BD22" s="7">
        <v>89.535986859804893</v>
      </c>
      <c r="BE22" s="7">
        <v>95.611911133766597</v>
      </c>
      <c r="BF22" s="7">
        <v>97.557452954419901</v>
      </c>
      <c r="BG22" s="7">
        <v>9.6807528420667293</v>
      </c>
      <c r="BH22" s="7">
        <v>3.5281423898729898</v>
      </c>
      <c r="BI22" s="7">
        <v>9.2710590034408096</v>
      </c>
      <c r="BJ22" s="7">
        <v>9.9410673576596906</v>
      </c>
      <c r="BK22" s="7">
        <v>10</v>
      </c>
      <c r="BL22" s="7">
        <v>87.174150064426598</v>
      </c>
      <c r="BM22" s="7">
        <v>99.512906560185797</v>
      </c>
      <c r="BN22" s="7">
        <v>100</v>
      </c>
      <c r="BO22" s="7">
        <v>100</v>
      </c>
      <c r="BP22" s="6">
        <v>31.125527537163901</v>
      </c>
      <c r="BQ22" s="6">
        <v>0.78126106226017</v>
      </c>
      <c r="BR22" s="6">
        <v>1.7201195078090701</v>
      </c>
      <c r="BS22" s="6">
        <v>2.3902694589581301</v>
      </c>
      <c r="BT22" s="6">
        <v>3.1894425328858902</v>
      </c>
      <c r="BU22" s="6">
        <v>49.4484799569545</v>
      </c>
      <c r="BV22" s="6">
        <v>66.284354955184597</v>
      </c>
      <c r="BW22" s="6">
        <v>70.189598289509107</v>
      </c>
      <c r="BX22" s="6">
        <v>81.297877462016601</v>
      </c>
      <c r="BY22" s="6" t="str">
        <f>TRIM(Table1[[#This Row],[LA_Name]])</f>
        <v>Allerdale</v>
      </c>
      <c r="BZ22" s="7">
        <v>81.758568015423407</v>
      </c>
      <c r="CA22" s="7">
        <v>0</v>
      </c>
      <c r="CB22" s="7">
        <v>1.4060575166730401E-2</v>
      </c>
      <c r="CC22" s="7">
        <v>0.122835336929895</v>
      </c>
      <c r="CD22" s="7">
        <v>0.27271568752389402</v>
      </c>
      <c r="CE22" s="7">
        <v>0</v>
      </c>
      <c r="CF22" s="7">
        <v>1.40605751667304</v>
      </c>
      <c r="CG22" s="7">
        <v>8.3358112796114607</v>
      </c>
      <c r="CH22" s="7">
        <v>15.645044815428401</v>
      </c>
      <c r="CI22" s="7">
        <v>104.166029896504</v>
      </c>
      <c r="CJ22" s="7">
        <v>0</v>
      </c>
      <c r="CK22" s="7">
        <v>0</v>
      </c>
      <c r="CL22" s="7">
        <v>1.48251985896946E-2</v>
      </c>
      <c r="CM22" s="7">
        <v>6.7088625518598802E-2</v>
      </c>
      <c r="CN22" s="7">
        <v>0</v>
      </c>
      <c r="CO22" s="7">
        <v>0</v>
      </c>
      <c r="CP22" s="7">
        <v>1.4825198589694599</v>
      </c>
      <c r="CQ22" s="7">
        <v>2.86167395890857</v>
      </c>
      <c r="CR22" s="7">
        <v>38.663428748165202</v>
      </c>
      <c r="CS22" s="7">
        <v>0</v>
      </c>
      <c r="CT22" s="7">
        <v>0.246491936054826</v>
      </c>
      <c r="CU22" s="7">
        <v>1.2165300256290399</v>
      </c>
      <c r="CV22" s="7">
        <v>3.3333333333333299</v>
      </c>
      <c r="CW22" s="7">
        <v>0</v>
      </c>
      <c r="CX22" s="7">
        <v>12.658765557962701</v>
      </c>
      <c r="CY22" s="7">
        <v>74.792914489613906</v>
      </c>
      <c r="CZ22" s="7">
        <v>100</v>
      </c>
      <c r="DA22" s="9">
        <v>119.96997395266401</v>
      </c>
      <c r="DB22" s="9">
        <v>0</v>
      </c>
      <c r="DC22" s="9">
        <v>0</v>
      </c>
      <c r="DD22" s="9">
        <v>0</v>
      </c>
      <c r="DE22" s="9">
        <v>0</v>
      </c>
      <c r="DF22" s="9">
        <v>0</v>
      </c>
      <c r="DG22" s="9">
        <v>0</v>
      </c>
      <c r="DH22" s="9">
        <v>0</v>
      </c>
      <c r="DI22" s="9">
        <v>0</v>
      </c>
    </row>
    <row r="23" spans="1:113">
      <c r="A23" s="5" t="s">
        <v>139</v>
      </c>
      <c r="B23" s="5" t="s">
        <v>156</v>
      </c>
      <c r="C23" s="5" t="s">
        <v>157</v>
      </c>
      <c r="D23" s="6">
        <v>48672</v>
      </c>
      <c r="E23" s="7">
        <v>5.9415690770236802</v>
      </c>
      <c r="F23" s="7">
        <v>3.4946992110453698</v>
      </c>
      <c r="G23" s="7">
        <v>9.4591757067718607</v>
      </c>
      <c r="H23" s="7">
        <v>9.9335141354372105</v>
      </c>
      <c r="I23" s="7">
        <v>9.9670857988165693</v>
      </c>
      <c r="J23" s="7">
        <v>97.331114398422102</v>
      </c>
      <c r="K23" s="7">
        <v>99.634286653517407</v>
      </c>
      <c r="L23" s="7">
        <v>99.634286653517407</v>
      </c>
      <c r="M23" s="7">
        <v>100</v>
      </c>
      <c r="N23" s="7">
        <v>7.0304731621133296</v>
      </c>
      <c r="O23" s="7">
        <v>7.4391231097961903</v>
      </c>
      <c r="P23" s="7">
        <v>9.7909270216962501</v>
      </c>
      <c r="Q23" s="7">
        <v>10</v>
      </c>
      <c r="R23" s="7">
        <v>10</v>
      </c>
      <c r="S23" s="7">
        <v>98.906969099276793</v>
      </c>
      <c r="T23" s="7">
        <v>100</v>
      </c>
      <c r="U23" s="7">
        <v>100</v>
      </c>
      <c r="V23" s="7">
        <v>100</v>
      </c>
      <c r="W23" s="7">
        <v>6.1623050081130302</v>
      </c>
      <c r="X23" s="7">
        <v>9.8236974030243296</v>
      </c>
      <c r="Y23" s="7">
        <v>10</v>
      </c>
      <c r="Z23" s="7">
        <v>10</v>
      </c>
      <c r="AA23" s="7">
        <v>10</v>
      </c>
      <c r="AB23" s="7">
        <v>100</v>
      </c>
      <c r="AC23" s="7">
        <v>100</v>
      </c>
      <c r="AD23" s="7">
        <v>100</v>
      </c>
      <c r="AE23" s="7">
        <v>100</v>
      </c>
      <c r="AF23" s="6">
        <v>6.2127925603773599</v>
      </c>
      <c r="AG23" s="6">
        <v>2.8675008218277398</v>
      </c>
      <c r="AH23" s="6">
        <v>7.1839250493096696</v>
      </c>
      <c r="AI23" s="6">
        <v>8.61807610124918</v>
      </c>
      <c r="AJ23" s="6">
        <v>9.5753205128205092</v>
      </c>
      <c r="AK23" s="6">
        <v>96.872945430637699</v>
      </c>
      <c r="AL23" s="6">
        <v>98.448800131492405</v>
      </c>
      <c r="AM23" s="6">
        <v>99.634286653517407</v>
      </c>
      <c r="AN23" s="6">
        <v>100</v>
      </c>
      <c r="AO23" s="6">
        <v>14.1532880914438</v>
      </c>
      <c r="AP23" s="7">
        <v>1.330847304405</v>
      </c>
      <c r="AQ23" s="7">
        <v>6.8058637409598903</v>
      </c>
      <c r="AR23" s="7">
        <v>9.2749835634450992</v>
      </c>
      <c r="AS23" s="7">
        <v>9.8276421761998698</v>
      </c>
      <c r="AT23" s="7">
        <v>54.639217619986802</v>
      </c>
      <c r="AU23" s="7">
        <v>98.869986850756106</v>
      </c>
      <c r="AV23" s="7">
        <v>99.634286653517407</v>
      </c>
      <c r="AW23" s="7">
        <v>99.634286653517407</v>
      </c>
      <c r="AX23" s="7">
        <v>11.5887756905788</v>
      </c>
      <c r="AY23" s="7">
        <v>3.5261135765943501</v>
      </c>
      <c r="AZ23" s="7">
        <v>7.7090113412228796</v>
      </c>
      <c r="BA23" s="7">
        <v>9.1035708415516101</v>
      </c>
      <c r="BB23" s="7">
        <v>9.8433801775147902</v>
      </c>
      <c r="BC23" s="7">
        <v>73.882314266929697</v>
      </c>
      <c r="BD23" s="7">
        <v>99.634286653517407</v>
      </c>
      <c r="BE23" s="7">
        <v>100</v>
      </c>
      <c r="BF23" s="7">
        <v>100</v>
      </c>
      <c r="BG23" s="7">
        <v>8.2441691204288308</v>
      </c>
      <c r="BH23" s="7">
        <v>7.3172871466140696</v>
      </c>
      <c r="BI23" s="7">
        <v>10</v>
      </c>
      <c r="BJ23" s="7">
        <v>10</v>
      </c>
      <c r="BK23" s="7">
        <v>10</v>
      </c>
      <c r="BL23" s="7">
        <v>99.634286653517407</v>
      </c>
      <c r="BM23" s="7">
        <v>100</v>
      </c>
      <c r="BN23" s="7">
        <v>100</v>
      </c>
      <c r="BO23" s="7">
        <v>100</v>
      </c>
      <c r="BP23" s="6">
        <v>21.049617263708001</v>
      </c>
      <c r="BQ23" s="6">
        <v>1.05516518737673</v>
      </c>
      <c r="BR23" s="6">
        <v>3.1411694608810001</v>
      </c>
      <c r="BS23" s="6">
        <v>5.2953854372123601</v>
      </c>
      <c r="BT23" s="6">
        <v>6.5448307034845499</v>
      </c>
      <c r="BU23" s="6">
        <v>44.612919132149898</v>
      </c>
      <c r="BV23" s="6">
        <v>69.483481262327402</v>
      </c>
      <c r="BW23" s="6">
        <v>92.030325443787007</v>
      </c>
      <c r="BX23" s="6">
        <v>97.624917817225494</v>
      </c>
      <c r="BY23" s="6" t="str">
        <f>TRIM(Table1[[#This Row],[LA_Name]])</f>
        <v>Barrow-in-Furness</v>
      </c>
      <c r="BZ23" s="7">
        <v>23.751727800402399</v>
      </c>
      <c r="CA23" s="7">
        <v>0.14067636423405699</v>
      </c>
      <c r="CB23" s="7">
        <v>0.80432281393819904</v>
      </c>
      <c r="CC23" s="7">
        <v>0.93491124260354996</v>
      </c>
      <c r="CD23" s="7">
        <v>0.99334319526627202</v>
      </c>
      <c r="CE23" s="7">
        <v>14.0676364234057</v>
      </c>
      <c r="CF23" s="7">
        <v>80.432281393819906</v>
      </c>
      <c r="CG23" s="7">
        <v>93.491124260354994</v>
      </c>
      <c r="CH23" s="7">
        <v>99.334319526627198</v>
      </c>
      <c r="CI23" s="7">
        <v>19.590829817011201</v>
      </c>
      <c r="CJ23" s="7">
        <v>0.38212935568704798</v>
      </c>
      <c r="CK23" s="7">
        <v>0.82622452333990803</v>
      </c>
      <c r="CL23" s="7">
        <v>0.95272435897435903</v>
      </c>
      <c r="CM23" s="7">
        <v>1</v>
      </c>
      <c r="CN23" s="7">
        <v>38.2129355687048</v>
      </c>
      <c r="CO23" s="7">
        <v>82.622452333990793</v>
      </c>
      <c r="CP23" s="7">
        <v>95.272435897435898</v>
      </c>
      <c r="CQ23" s="7">
        <v>100</v>
      </c>
      <c r="CR23" s="7">
        <v>12.7046852520741</v>
      </c>
      <c r="CS23" s="7">
        <v>0.78595496383957897</v>
      </c>
      <c r="CT23" s="7">
        <v>1</v>
      </c>
      <c r="CU23" s="7">
        <v>1</v>
      </c>
      <c r="CV23" s="7">
        <v>1.6386012491781701</v>
      </c>
      <c r="CW23" s="7">
        <v>78.595496383957894</v>
      </c>
      <c r="CX23" s="7">
        <v>100</v>
      </c>
      <c r="CY23" s="7">
        <v>100</v>
      </c>
      <c r="CZ23" s="7">
        <v>100</v>
      </c>
      <c r="DA23" s="9">
        <v>46.597447984518197</v>
      </c>
      <c r="DB23" s="9">
        <v>4.68647271531887E-2</v>
      </c>
      <c r="DC23" s="9">
        <v>0.33670282708744198</v>
      </c>
      <c r="DD23" s="9">
        <v>0.62409598948060496</v>
      </c>
      <c r="DE23" s="9">
        <v>0.796309993425378</v>
      </c>
      <c r="DF23" s="9">
        <v>4.6864727153188701</v>
      </c>
      <c r="DG23" s="9">
        <v>33.670282708744203</v>
      </c>
      <c r="DH23" s="9">
        <v>62.409598948060498</v>
      </c>
      <c r="DI23" s="9">
        <v>79.630999342537805</v>
      </c>
    </row>
    <row r="24" spans="1:113">
      <c r="A24" s="5" t="s">
        <v>139</v>
      </c>
      <c r="B24" s="5" t="s">
        <v>158</v>
      </c>
      <c r="C24" s="5" t="s">
        <v>159</v>
      </c>
      <c r="D24" s="6">
        <v>78331</v>
      </c>
      <c r="E24" s="7">
        <v>14.210731686318599</v>
      </c>
      <c r="F24" s="7">
        <v>2.2510372649398098</v>
      </c>
      <c r="G24" s="7">
        <v>7.3011323741558298</v>
      </c>
      <c r="H24" s="7">
        <v>8.8780814747673293</v>
      </c>
      <c r="I24" s="7">
        <v>9.0978539786291499</v>
      </c>
      <c r="J24" s="7">
        <v>78.815539186273597</v>
      </c>
      <c r="K24" s="7">
        <v>89.185635316796706</v>
      </c>
      <c r="L24" s="7">
        <v>93.785346797564202</v>
      </c>
      <c r="M24" s="7">
        <v>94.861549067419006</v>
      </c>
      <c r="N24" s="7">
        <v>10.299493813487</v>
      </c>
      <c r="O24" s="7">
        <v>4.8516168566723303</v>
      </c>
      <c r="P24" s="7">
        <v>8.2089466494746706</v>
      </c>
      <c r="Q24" s="7">
        <v>8.97842488925202</v>
      </c>
      <c r="R24" s="7">
        <v>9.6649219338448393</v>
      </c>
      <c r="S24" s="7">
        <v>85.224240722064096</v>
      </c>
      <c r="T24" s="7">
        <v>97.5769491006115</v>
      </c>
      <c r="U24" s="7">
        <v>100</v>
      </c>
      <c r="V24" s="7">
        <v>100</v>
      </c>
      <c r="W24" s="7">
        <v>7.7252898942177701</v>
      </c>
      <c r="X24" s="7">
        <v>8.1163141029732806</v>
      </c>
      <c r="Y24" s="7">
        <v>9.8920223155583393</v>
      </c>
      <c r="Z24" s="7">
        <v>9.9814888103049899</v>
      </c>
      <c r="AA24" s="7">
        <v>10</v>
      </c>
      <c r="AB24" s="7">
        <v>96.845437949215494</v>
      </c>
      <c r="AC24" s="7">
        <v>100</v>
      </c>
      <c r="AD24" s="7">
        <v>100</v>
      </c>
      <c r="AE24" s="7">
        <v>100</v>
      </c>
      <c r="AF24" s="6">
        <v>16.4797103823797</v>
      </c>
      <c r="AG24" s="6">
        <v>1.7048167392220199</v>
      </c>
      <c r="AH24" s="6">
        <v>4.6377806998506301</v>
      </c>
      <c r="AI24" s="6">
        <v>6.7165490035873399</v>
      </c>
      <c r="AJ24" s="6">
        <v>7.6692624886698804</v>
      </c>
      <c r="AK24" s="6">
        <v>74.259233253756506</v>
      </c>
      <c r="AL24" s="6">
        <v>85.1540258646002</v>
      </c>
      <c r="AM24" s="6">
        <v>90.689509900294894</v>
      </c>
      <c r="AN24" s="6">
        <v>92.748720174643495</v>
      </c>
      <c r="AO24" s="6">
        <v>16.7958649815168</v>
      </c>
      <c r="AP24" s="7">
        <v>1.20749128697451</v>
      </c>
      <c r="AQ24" s="7">
        <v>5.7000931942653601</v>
      </c>
      <c r="AR24" s="7">
        <v>8.5305562293344899</v>
      </c>
      <c r="AS24" s="7">
        <v>9.0438396037328808</v>
      </c>
      <c r="AT24" s="7">
        <v>65.867919469941697</v>
      </c>
      <c r="AU24" s="7">
        <v>88.5179558540042</v>
      </c>
      <c r="AV24" s="7">
        <v>92.439774801802599</v>
      </c>
      <c r="AW24" s="7">
        <v>94.638138157306798</v>
      </c>
      <c r="AX24" s="7">
        <v>11.825951395167399</v>
      </c>
      <c r="AY24" s="7">
        <v>3.2176277591247402</v>
      </c>
      <c r="AZ24" s="7">
        <v>8.0083491848693402</v>
      </c>
      <c r="BA24" s="7">
        <v>8.9484239956083798</v>
      </c>
      <c r="BB24" s="7">
        <v>9.4288340503759702</v>
      </c>
      <c r="BC24" s="7">
        <v>81.931802223896</v>
      </c>
      <c r="BD24" s="7">
        <v>96.971824692650401</v>
      </c>
      <c r="BE24" s="7">
        <v>98.710599890209494</v>
      </c>
      <c r="BF24" s="7">
        <v>99.629776206099706</v>
      </c>
      <c r="BG24" s="7">
        <v>8.3918409089973593</v>
      </c>
      <c r="BH24" s="7">
        <v>7.3110773512402503</v>
      </c>
      <c r="BI24" s="7">
        <v>9.8151944951551808</v>
      </c>
      <c r="BJ24" s="7">
        <v>9.9692458924308394</v>
      </c>
      <c r="BK24" s="7">
        <v>10</v>
      </c>
      <c r="BL24" s="7">
        <v>96.173928585106793</v>
      </c>
      <c r="BM24" s="7">
        <v>99.629776206099706</v>
      </c>
      <c r="BN24" s="7">
        <v>100</v>
      </c>
      <c r="BO24" s="7">
        <v>100</v>
      </c>
      <c r="BP24" s="6">
        <v>20.361294335436</v>
      </c>
      <c r="BQ24" s="6">
        <v>0.97366304528220005</v>
      </c>
      <c r="BR24" s="6">
        <v>3.1685411905886598</v>
      </c>
      <c r="BS24" s="6">
        <v>5.3636108309609201</v>
      </c>
      <c r="BT24" s="6">
        <v>6.9579221508725801</v>
      </c>
      <c r="BU24" s="6">
        <v>60.248177605290401</v>
      </c>
      <c r="BV24" s="6">
        <v>80.730489844378297</v>
      </c>
      <c r="BW24" s="6">
        <v>87.112382070955306</v>
      </c>
      <c r="BX24" s="6">
        <v>92.447434604435003</v>
      </c>
      <c r="BY24" s="6" t="str">
        <f>TRIM(Table1[[#This Row],[LA_Name]])</f>
        <v>Carlisle</v>
      </c>
      <c r="BZ24" s="7">
        <v>29.1710497003338</v>
      </c>
      <c r="CA24" s="7">
        <v>0.25789278829582202</v>
      </c>
      <c r="CB24" s="7">
        <v>1.6030179622371701</v>
      </c>
      <c r="CC24" s="7">
        <v>2.2746549897230999</v>
      </c>
      <c r="CD24" s="7">
        <v>2.6311549705735899</v>
      </c>
      <c r="CE24" s="7">
        <v>22.868340759086401</v>
      </c>
      <c r="CF24" s="7">
        <v>80.500695765405794</v>
      </c>
      <c r="CG24" s="7">
        <v>88.811581621580203</v>
      </c>
      <c r="CH24" s="7">
        <v>90.486525130535796</v>
      </c>
      <c r="CI24" s="7">
        <v>21.943263326350699</v>
      </c>
      <c r="CJ24" s="7">
        <v>0.71697029273212398</v>
      </c>
      <c r="CK24" s="7">
        <v>2.0007404475878001</v>
      </c>
      <c r="CL24" s="7">
        <v>2.5247986110224598</v>
      </c>
      <c r="CM24" s="7">
        <v>2.7626482490967801</v>
      </c>
      <c r="CN24" s="7">
        <v>45.620507844914499</v>
      </c>
      <c r="CO24" s="7">
        <v>79.166613473592804</v>
      </c>
      <c r="CP24" s="7">
        <v>87.294940700361295</v>
      </c>
      <c r="CQ24" s="7">
        <v>95.115599188060898</v>
      </c>
      <c r="CR24" s="7">
        <v>12.238704216302001</v>
      </c>
      <c r="CS24" s="7">
        <v>1.6905184409748399</v>
      </c>
      <c r="CT24" s="7">
        <v>2.9160102641355299</v>
      </c>
      <c r="CU24" s="7">
        <v>2.9831994995595599</v>
      </c>
      <c r="CV24" s="7">
        <v>3.4519155889749902</v>
      </c>
      <c r="CW24" s="7">
        <v>78.377653802453693</v>
      </c>
      <c r="CX24" s="7">
        <v>98.456549769567602</v>
      </c>
      <c r="CY24" s="7">
        <v>99.629776206099706</v>
      </c>
      <c r="CZ24" s="7">
        <v>100</v>
      </c>
      <c r="DA24" s="9">
        <v>46.913146264874399</v>
      </c>
      <c r="DB24" s="9">
        <v>0.16365168324162799</v>
      </c>
      <c r="DC24" s="9">
        <v>0.64287446860119202</v>
      </c>
      <c r="DD24" s="9">
        <v>1.2295259858804299</v>
      </c>
      <c r="DE24" s="9">
        <v>1.60523930500057</v>
      </c>
      <c r="DF24" s="9">
        <v>15.7191916354955</v>
      </c>
      <c r="DG24" s="9">
        <v>41.788053261160996</v>
      </c>
      <c r="DH24" s="9">
        <v>69.641648900180002</v>
      </c>
      <c r="DI24" s="9">
        <v>74.805632508202393</v>
      </c>
    </row>
    <row r="25" spans="1:113">
      <c r="A25" s="5" t="s">
        <v>139</v>
      </c>
      <c r="B25" s="5" t="s">
        <v>160</v>
      </c>
      <c r="C25" s="5" t="s">
        <v>161</v>
      </c>
      <c r="D25" s="6">
        <v>49772</v>
      </c>
      <c r="E25" s="7">
        <v>12.4784439460041</v>
      </c>
      <c r="F25" s="7">
        <v>1.4330748211846001</v>
      </c>
      <c r="G25" s="7">
        <v>6.0740175198906998</v>
      </c>
      <c r="H25" s="7">
        <v>8.1282648878887702</v>
      </c>
      <c r="I25" s="7">
        <v>9.0362653700875999</v>
      </c>
      <c r="J25" s="7">
        <v>75.488226311982601</v>
      </c>
      <c r="K25" s="7">
        <v>92.097966728280994</v>
      </c>
      <c r="L25" s="7">
        <v>97.177127702322593</v>
      </c>
      <c r="M25" s="7">
        <v>98.342441533392304</v>
      </c>
      <c r="N25" s="7">
        <v>9.8198792300672295</v>
      </c>
      <c r="O25" s="7">
        <v>3.0427147793940401</v>
      </c>
      <c r="P25" s="7">
        <v>7.8447319778188502</v>
      </c>
      <c r="Q25" s="7">
        <v>8.4066342521899902</v>
      </c>
      <c r="R25" s="7">
        <v>8.7531142007554408</v>
      </c>
      <c r="S25" s="7">
        <v>88.383026601301907</v>
      </c>
      <c r="T25" s="7">
        <v>98.533311902274406</v>
      </c>
      <c r="U25" s="7">
        <v>99.138069597363994</v>
      </c>
      <c r="V25" s="7">
        <v>100</v>
      </c>
      <c r="W25" s="7">
        <v>7.3754005905881197</v>
      </c>
      <c r="X25" s="7">
        <v>7.6590251547054597</v>
      </c>
      <c r="Y25" s="7">
        <v>9.1139596560315006</v>
      </c>
      <c r="Z25" s="7">
        <v>9.6467491762436701</v>
      </c>
      <c r="AA25" s="7">
        <v>10</v>
      </c>
      <c r="AB25" s="7">
        <v>97.896407618741506</v>
      </c>
      <c r="AC25" s="7">
        <v>100</v>
      </c>
      <c r="AD25" s="7">
        <v>100</v>
      </c>
      <c r="AE25" s="7">
        <v>100</v>
      </c>
      <c r="AF25" s="6">
        <v>14.6631847752304</v>
      </c>
      <c r="AG25" s="6">
        <v>1.1562123282166701</v>
      </c>
      <c r="AH25" s="6">
        <v>3.0655790404243399</v>
      </c>
      <c r="AI25" s="6">
        <v>5.3600618821827499</v>
      </c>
      <c r="AJ25" s="6">
        <v>6.7253074017519898</v>
      </c>
      <c r="AK25" s="6">
        <v>73.334404886281405</v>
      </c>
      <c r="AL25" s="6">
        <v>86.323635779152895</v>
      </c>
      <c r="AM25" s="6">
        <v>93.130675882022004</v>
      </c>
      <c r="AN25" s="6">
        <v>96.431728682793505</v>
      </c>
      <c r="AO25" s="6">
        <v>18.9249496278136</v>
      </c>
      <c r="AP25" s="7">
        <v>0.68862010769107096</v>
      </c>
      <c r="AQ25" s="7">
        <v>3.5320461303544199</v>
      </c>
      <c r="AR25" s="7">
        <v>6.01520935465724</v>
      </c>
      <c r="AS25" s="7">
        <v>7.9762717994052901</v>
      </c>
      <c r="AT25" s="7">
        <v>47.3900988507595</v>
      </c>
      <c r="AU25" s="7">
        <v>87.669774170216201</v>
      </c>
      <c r="AV25" s="7">
        <v>93.878084063328799</v>
      </c>
      <c r="AW25" s="7">
        <v>96.429719521015798</v>
      </c>
      <c r="AX25" s="7">
        <v>13.334051684830101</v>
      </c>
      <c r="AY25" s="7">
        <v>1.44599373141525</v>
      </c>
      <c r="AZ25" s="7">
        <v>4.7349513782849799</v>
      </c>
      <c r="BA25" s="7">
        <v>7.0227437113236402</v>
      </c>
      <c r="BB25" s="7">
        <v>8.1784939323314294</v>
      </c>
      <c r="BC25" s="7">
        <v>72.629189102306498</v>
      </c>
      <c r="BD25" s="7">
        <v>96.489994374347006</v>
      </c>
      <c r="BE25" s="7">
        <v>98.764365506710604</v>
      </c>
      <c r="BF25" s="7">
        <v>99.423370569798294</v>
      </c>
      <c r="BG25" s="7">
        <v>8.8549895461307102</v>
      </c>
      <c r="BH25" s="7">
        <v>4.5519368319537099</v>
      </c>
      <c r="BI25" s="7">
        <v>8.5525998553403504</v>
      </c>
      <c r="BJ25" s="7">
        <v>9.5253958048702092</v>
      </c>
      <c r="BK25" s="7">
        <v>10</v>
      </c>
      <c r="BL25" s="7">
        <v>95.145865145061506</v>
      </c>
      <c r="BM25" s="7">
        <v>100</v>
      </c>
      <c r="BN25" s="7">
        <v>100</v>
      </c>
      <c r="BO25" s="7">
        <v>100</v>
      </c>
      <c r="BP25" s="6">
        <v>26.047747395367999</v>
      </c>
      <c r="BQ25" s="6">
        <v>0.57245037370409102</v>
      </c>
      <c r="BR25" s="6">
        <v>1.4892308928714899</v>
      </c>
      <c r="BS25" s="6">
        <v>2.4797878325162701</v>
      </c>
      <c r="BT25" s="6">
        <v>3.4010688740657402</v>
      </c>
      <c r="BU25" s="6">
        <v>42.212488949610197</v>
      </c>
      <c r="BV25" s="6">
        <v>73.129470384955397</v>
      </c>
      <c r="BW25" s="6">
        <v>82.106405207747301</v>
      </c>
      <c r="BX25" s="6">
        <v>88.155991320421094</v>
      </c>
      <c r="BY25" s="6" t="str">
        <f>TRIM(Table1[[#This Row],[LA_Name]])</f>
        <v>Copeland</v>
      </c>
      <c r="BZ25" s="7">
        <v>93.669792503001204</v>
      </c>
      <c r="CA25" s="7">
        <v>9.7042513863216297E-3</v>
      </c>
      <c r="CB25" s="7">
        <v>3.1624206381097801E-2</v>
      </c>
      <c r="CC25" s="7">
        <v>7.6428514023949207E-2</v>
      </c>
      <c r="CD25" s="7">
        <v>8.4063328779233296E-2</v>
      </c>
      <c r="CE25" s="7">
        <v>0.97042513863216295</v>
      </c>
      <c r="CF25" s="7">
        <v>3.1624206381097801</v>
      </c>
      <c r="CG25" s="7">
        <v>7.6428514023949203</v>
      </c>
      <c r="CH25" s="7">
        <v>8.4063328779233295</v>
      </c>
      <c r="CI25" s="7">
        <v>57.316930024232803</v>
      </c>
      <c r="CJ25" s="7">
        <v>1.4084224061721501E-2</v>
      </c>
      <c r="CK25" s="7">
        <v>0.12720003214658801</v>
      </c>
      <c r="CL25" s="7">
        <v>0.29832034075383801</v>
      </c>
      <c r="CM25" s="7">
        <v>0.73065177208068799</v>
      </c>
      <c r="CN25" s="7">
        <v>1.40842240617215</v>
      </c>
      <c r="CO25" s="7">
        <v>12.720003214658799</v>
      </c>
      <c r="CP25" s="7">
        <v>29.832034075383799</v>
      </c>
      <c r="CQ25" s="7">
        <v>73.065177208068803</v>
      </c>
      <c r="CR25" s="7">
        <v>24.1543840010584</v>
      </c>
      <c r="CS25" s="7">
        <v>0.157056176163305</v>
      </c>
      <c r="CT25" s="7">
        <v>0.84487261914329304</v>
      </c>
      <c r="CU25" s="7">
        <v>0.87462830507112399</v>
      </c>
      <c r="CV25" s="7">
        <v>1.1638672345897301</v>
      </c>
      <c r="CW25" s="7">
        <v>15.7056176163305</v>
      </c>
      <c r="CX25" s="7">
        <v>84.487261914329295</v>
      </c>
      <c r="CY25" s="7">
        <v>87.4628305071124</v>
      </c>
      <c r="CZ25" s="7">
        <v>100</v>
      </c>
      <c r="DA25" s="9">
        <v>109.262425093351</v>
      </c>
      <c r="DB25" s="9">
        <v>9.7042513863216297E-3</v>
      </c>
      <c r="DC25" s="9">
        <v>9.7042513863216297E-3</v>
      </c>
      <c r="DD25" s="9">
        <v>3.8374989954191099E-2</v>
      </c>
      <c r="DE25" s="9">
        <v>4.6009804709475202E-2</v>
      </c>
      <c r="DF25" s="9">
        <v>0.97042513863216295</v>
      </c>
      <c r="DG25" s="9">
        <v>0.97042513863216295</v>
      </c>
      <c r="DH25" s="9">
        <v>3.8374989954191099</v>
      </c>
      <c r="DI25" s="9">
        <v>4.6009804709475199</v>
      </c>
    </row>
    <row r="26" spans="1:113">
      <c r="A26" s="5" t="s">
        <v>139</v>
      </c>
      <c r="B26" s="5" t="s">
        <v>162</v>
      </c>
      <c r="C26" s="5" t="s">
        <v>163</v>
      </c>
      <c r="D26" s="6">
        <v>38712</v>
      </c>
      <c r="E26" s="7">
        <v>34.933341776232702</v>
      </c>
      <c r="F26" s="7">
        <v>0.450273816904319</v>
      </c>
      <c r="G26" s="7">
        <v>1.1978197974788201</v>
      </c>
      <c r="H26" s="7">
        <v>2.8667854928704299</v>
      </c>
      <c r="I26" s="7">
        <v>4.5711665633395304</v>
      </c>
      <c r="J26" s="7">
        <v>32.155404009092798</v>
      </c>
      <c r="K26" s="7">
        <v>55.447923124612501</v>
      </c>
      <c r="L26" s="7">
        <v>70.936660467038607</v>
      </c>
      <c r="M26" s="7">
        <v>79.998450092994403</v>
      </c>
      <c r="N26" s="7">
        <v>21.3222016522549</v>
      </c>
      <c r="O26" s="7">
        <v>1.0154732382723699</v>
      </c>
      <c r="P26" s="7">
        <v>1.64522628642281</v>
      </c>
      <c r="Q26" s="7">
        <v>2.9297633808638199</v>
      </c>
      <c r="R26" s="7">
        <v>5.5734655920644798</v>
      </c>
      <c r="S26" s="7">
        <v>47.233415995040303</v>
      </c>
      <c r="T26" s="7">
        <v>77.270613763174197</v>
      </c>
      <c r="U26" s="7">
        <v>91.217193635048602</v>
      </c>
      <c r="V26" s="7">
        <v>96.187228766274004</v>
      </c>
      <c r="W26" s="7">
        <v>11.835220020759399</v>
      </c>
      <c r="X26" s="7">
        <v>1.5396776193428401</v>
      </c>
      <c r="Y26" s="7">
        <v>8.0468588551353601</v>
      </c>
      <c r="Z26" s="7">
        <v>9.8855393676379393</v>
      </c>
      <c r="AA26" s="7">
        <v>10</v>
      </c>
      <c r="AB26" s="7">
        <v>78.629365571399006</v>
      </c>
      <c r="AC26" s="7">
        <v>98.300268650547594</v>
      </c>
      <c r="AD26" s="7">
        <v>100</v>
      </c>
      <c r="AE26" s="7">
        <v>100</v>
      </c>
      <c r="AF26" s="6">
        <v>47.263332879387498</v>
      </c>
      <c r="AG26" s="6">
        <v>0.43919198181442398</v>
      </c>
      <c r="AH26" s="6">
        <v>0.99891506509609396</v>
      </c>
      <c r="AI26" s="6">
        <v>1.13445443273404</v>
      </c>
      <c r="AJ26" s="6">
        <v>1.3052025211820599</v>
      </c>
      <c r="AK26" s="6">
        <v>32.155404009092798</v>
      </c>
      <c r="AL26" s="6">
        <v>47.003513122546003</v>
      </c>
      <c r="AM26" s="6">
        <v>54.264827443686698</v>
      </c>
      <c r="AN26" s="6">
        <v>63.463525521801998</v>
      </c>
      <c r="AO26" s="6">
        <v>33.179546324594902</v>
      </c>
      <c r="AP26" s="7">
        <v>1.20724839842943</v>
      </c>
      <c r="AQ26" s="7">
        <v>2.7815406075635498</v>
      </c>
      <c r="AR26" s="7">
        <v>4.1731246125232504</v>
      </c>
      <c r="AS26" s="7">
        <v>4.9102345525935096</v>
      </c>
      <c r="AT26" s="7">
        <v>49.1113866501343</v>
      </c>
      <c r="AU26" s="7">
        <v>63.985327547013803</v>
      </c>
      <c r="AV26" s="7">
        <v>71.316387683405694</v>
      </c>
      <c r="AW26" s="7">
        <v>76.402665840049593</v>
      </c>
      <c r="AX26" s="7">
        <v>17.621219478194998</v>
      </c>
      <c r="AY26" s="7">
        <v>2.2644399669353201</v>
      </c>
      <c r="AZ26" s="7">
        <v>3.7545463938830301</v>
      </c>
      <c r="BA26" s="7">
        <v>5.2883601983880997</v>
      </c>
      <c r="BB26" s="7">
        <v>6.8959237445753301</v>
      </c>
      <c r="BC26" s="7">
        <v>57.5893779706551</v>
      </c>
      <c r="BD26" s="7">
        <v>81.023971895019599</v>
      </c>
      <c r="BE26" s="7">
        <v>93.924364538127705</v>
      </c>
      <c r="BF26" s="7">
        <v>100</v>
      </c>
      <c r="BG26" s="7">
        <v>10.276988808639199</v>
      </c>
      <c r="BH26" s="7">
        <v>3.57672039677619</v>
      </c>
      <c r="BI26" s="7">
        <v>8.6476803058483096</v>
      </c>
      <c r="BJ26" s="7">
        <v>9.6938158710477396</v>
      </c>
      <c r="BK26" s="7">
        <v>9.9638871667699895</v>
      </c>
      <c r="BL26" s="7">
        <v>80.373010952676196</v>
      </c>
      <c r="BM26" s="7">
        <v>100</v>
      </c>
      <c r="BN26" s="7">
        <v>100</v>
      </c>
      <c r="BO26" s="7">
        <v>100</v>
      </c>
      <c r="BP26" s="6">
        <v>38.956420631935501</v>
      </c>
      <c r="BQ26" s="6">
        <v>1.1286422814631101</v>
      </c>
      <c r="BR26" s="6">
        <v>2.2684180615829699</v>
      </c>
      <c r="BS26" s="6">
        <v>2.4500413308534799</v>
      </c>
      <c r="BT26" s="6">
        <v>2.9941361851622199</v>
      </c>
      <c r="BU26" s="6">
        <v>46.556623269270503</v>
      </c>
      <c r="BV26" s="6">
        <v>56.7007646207894</v>
      </c>
      <c r="BW26" s="6">
        <v>63.295618929530903</v>
      </c>
      <c r="BX26" s="6">
        <v>69.7690638561686</v>
      </c>
      <c r="BY26" s="6" t="str">
        <f>TRIM(Table1[[#This Row],[LA_Name]])</f>
        <v>Eden</v>
      </c>
      <c r="BZ26" s="7">
        <v>78.234846396790104</v>
      </c>
      <c r="CA26" s="7">
        <v>0</v>
      </c>
      <c r="CB26" s="7">
        <v>0</v>
      </c>
      <c r="CC26" s="7">
        <v>0.37053110146724499</v>
      </c>
      <c r="CD26" s="7">
        <v>0.92216883653647497</v>
      </c>
      <c r="CE26" s="7">
        <v>0</v>
      </c>
      <c r="CF26" s="7">
        <v>0</v>
      </c>
      <c r="CG26" s="7">
        <v>25.557966522008702</v>
      </c>
      <c r="CH26" s="7">
        <v>44.360921678032703</v>
      </c>
      <c r="CI26" s="7">
        <v>110.889376027201</v>
      </c>
      <c r="CJ26" s="7">
        <v>0</v>
      </c>
      <c r="CK26" s="7">
        <v>0</v>
      </c>
      <c r="CL26" s="7">
        <v>0</v>
      </c>
      <c r="CM26" s="7">
        <v>5.61841289522629E-2</v>
      </c>
      <c r="CN26" s="7">
        <v>0</v>
      </c>
      <c r="CO26" s="7">
        <v>0</v>
      </c>
      <c r="CP26" s="7">
        <v>0</v>
      </c>
      <c r="CQ26" s="7">
        <v>3.5337879727216399</v>
      </c>
      <c r="CR26" s="7">
        <v>36.6555647751496</v>
      </c>
      <c r="CS26" s="7">
        <v>0</v>
      </c>
      <c r="CT26" s="7">
        <v>0.40310498036784498</v>
      </c>
      <c r="CU26" s="7">
        <v>2.6112058276503398</v>
      </c>
      <c r="CV26" s="7">
        <v>4.8879158917131598</v>
      </c>
      <c r="CW26" s="7">
        <v>0</v>
      </c>
      <c r="CX26" s="7">
        <v>31.388200041330901</v>
      </c>
      <c r="CY26" s="7">
        <v>86.244575325480497</v>
      </c>
      <c r="CZ26" s="7">
        <v>95.993490390576596</v>
      </c>
      <c r="DA26" s="9">
        <v>120</v>
      </c>
      <c r="DB26" s="9">
        <v>0</v>
      </c>
      <c r="DC26" s="9">
        <v>0</v>
      </c>
      <c r="DD26" s="9">
        <v>0</v>
      </c>
      <c r="DE26" s="9">
        <v>0</v>
      </c>
      <c r="DF26" s="9">
        <v>0</v>
      </c>
      <c r="DG26" s="9">
        <v>0</v>
      </c>
      <c r="DH26" s="9">
        <v>0</v>
      </c>
      <c r="DI26" s="9">
        <v>0</v>
      </c>
    </row>
    <row r="27" spans="1:113">
      <c r="A27" s="5" t="s">
        <v>139</v>
      </c>
      <c r="B27" s="5" t="s">
        <v>164</v>
      </c>
      <c r="C27" s="5" t="s">
        <v>165</v>
      </c>
      <c r="D27" s="6">
        <v>75372</v>
      </c>
      <c r="E27" s="7">
        <v>23.855000647792099</v>
      </c>
      <c r="F27" s="7">
        <v>0.87537812450246799</v>
      </c>
      <c r="G27" s="7">
        <v>3.4962585575545302</v>
      </c>
      <c r="H27" s="7">
        <v>6.7369314864936598</v>
      </c>
      <c r="I27" s="7">
        <v>8.3367696226715502</v>
      </c>
      <c r="J27" s="7">
        <v>49.470625696545099</v>
      </c>
      <c r="K27" s="7">
        <v>77.230271188239698</v>
      </c>
      <c r="L27" s="7">
        <v>87.998195616409305</v>
      </c>
      <c r="M27" s="7">
        <v>91.210263758424901</v>
      </c>
      <c r="N27" s="7">
        <v>16.8853756067499</v>
      </c>
      <c r="O27" s="7">
        <v>2.0907233455394598</v>
      </c>
      <c r="P27" s="7">
        <v>4.1139813193228303</v>
      </c>
      <c r="Q27" s="7">
        <v>6.1089794618691302</v>
      </c>
      <c r="R27" s="7">
        <v>7.28153691025845</v>
      </c>
      <c r="S27" s="7">
        <v>61.487024359178498</v>
      </c>
      <c r="T27" s="7">
        <v>85.266411930159705</v>
      </c>
      <c r="U27" s="7">
        <v>94.938438677492996</v>
      </c>
      <c r="V27" s="7">
        <v>97.809531390967507</v>
      </c>
      <c r="W27" s="7">
        <v>10.094728030470399</v>
      </c>
      <c r="X27" s="7">
        <v>4.0570768985830297</v>
      </c>
      <c r="Y27" s="7">
        <v>8.8028047550814605</v>
      </c>
      <c r="Z27" s="7">
        <v>9.9879663535530394</v>
      </c>
      <c r="AA27" s="7">
        <v>10</v>
      </c>
      <c r="AB27" s="7">
        <v>86.472430080135894</v>
      </c>
      <c r="AC27" s="7">
        <v>99.482566470307304</v>
      </c>
      <c r="AD27" s="7">
        <v>100</v>
      </c>
      <c r="AE27" s="7">
        <v>100</v>
      </c>
      <c r="AF27" s="6">
        <v>35.497451034056702</v>
      </c>
      <c r="AG27" s="6">
        <v>0.75700525394045504</v>
      </c>
      <c r="AH27" s="6">
        <v>1.9756540890516401</v>
      </c>
      <c r="AI27" s="6">
        <v>3.1028631321976299</v>
      </c>
      <c r="AJ27" s="6">
        <v>3.5370296661890399</v>
      </c>
      <c r="AK27" s="6">
        <v>46.513294061455198</v>
      </c>
      <c r="AL27" s="6">
        <v>60.947036034601702</v>
      </c>
      <c r="AM27" s="6">
        <v>68.173857665976797</v>
      </c>
      <c r="AN27" s="6">
        <v>77.089635408374505</v>
      </c>
      <c r="AO27" s="6">
        <v>18.336520569851402</v>
      </c>
      <c r="AP27" s="7">
        <v>0.90735286313219798</v>
      </c>
      <c r="AQ27" s="7">
        <v>3.6069362628031598</v>
      </c>
      <c r="AR27" s="7">
        <v>7.0795786233614599</v>
      </c>
      <c r="AS27" s="7">
        <v>8.4607148543225605</v>
      </c>
      <c r="AT27" s="7">
        <v>58.580109324417499</v>
      </c>
      <c r="AU27" s="7">
        <v>85.388473173061598</v>
      </c>
      <c r="AV27" s="7">
        <v>90.970121530541803</v>
      </c>
      <c r="AW27" s="7">
        <v>93.896937854906298</v>
      </c>
      <c r="AX27" s="7">
        <v>12.2184304536316</v>
      </c>
      <c r="AY27" s="7">
        <v>1.9215491163827401</v>
      </c>
      <c r="AZ27" s="7">
        <v>4.17231863291408</v>
      </c>
      <c r="BA27" s="7">
        <v>7.1720798174388403</v>
      </c>
      <c r="BB27" s="7">
        <v>8.91179748447699</v>
      </c>
      <c r="BC27" s="7">
        <v>78.870137451573498</v>
      </c>
      <c r="BD27" s="7">
        <v>96.090059969219297</v>
      </c>
      <c r="BE27" s="7">
        <v>99.663004829379602</v>
      </c>
      <c r="BF27" s="7">
        <v>100</v>
      </c>
      <c r="BG27" s="7">
        <v>8.5906113609604393</v>
      </c>
      <c r="BH27" s="7">
        <v>4.1389375364856997</v>
      </c>
      <c r="BI27" s="7">
        <v>9.7221912646606192</v>
      </c>
      <c r="BJ27" s="7">
        <v>9.9929549434803402</v>
      </c>
      <c r="BK27" s="7">
        <v>10</v>
      </c>
      <c r="BL27" s="7">
        <v>96.143130074828804</v>
      </c>
      <c r="BM27" s="7">
        <v>100</v>
      </c>
      <c r="BN27" s="7">
        <v>100</v>
      </c>
      <c r="BO27" s="7">
        <v>100</v>
      </c>
      <c r="BP27" s="6">
        <v>22.3304452041688</v>
      </c>
      <c r="BQ27" s="6">
        <v>0.81887172955474197</v>
      </c>
      <c r="BR27" s="6">
        <v>1.85365918378178</v>
      </c>
      <c r="BS27" s="6">
        <v>2.5656079180597602</v>
      </c>
      <c r="BT27" s="6">
        <v>3.2298598949211899</v>
      </c>
      <c r="BU27" s="6">
        <v>56.120309929416798</v>
      </c>
      <c r="BV27" s="6">
        <v>77.0776946346123</v>
      </c>
      <c r="BW27" s="6">
        <v>83.858727378867499</v>
      </c>
      <c r="BX27" s="6">
        <v>91.130658600010605</v>
      </c>
      <c r="BY27" s="6" t="str">
        <f>TRIM(Table1[[#This Row],[LA_Name]])</f>
        <v>South Lakeland</v>
      </c>
      <c r="BZ27" s="7">
        <v>50.0766632114507</v>
      </c>
      <c r="CA27" s="7">
        <v>8.6384864405880196E-2</v>
      </c>
      <c r="CB27" s="7">
        <v>0.32504112933184698</v>
      </c>
      <c r="CC27" s="7">
        <v>0.472005519290983</v>
      </c>
      <c r="CD27" s="7">
        <v>1.17125723080189</v>
      </c>
      <c r="CE27" s="7">
        <v>8.6384864405880197</v>
      </c>
      <c r="CF27" s="7">
        <v>32.5041129331847</v>
      </c>
      <c r="CG27" s="7">
        <v>44.446213447964801</v>
      </c>
      <c r="CH27" s="7">
        <v>73.593642201348004</v>
      </c>
      <c r="CI27" s="7">
        <v>51.6251581411911</v>
      </c>
      <c r="CJ27" s="7">
        <v>0.213169346707</v>
      </c>
      <c r="CK27" s="7">
        <v>0.3253330149127</v>
      </c>
      <c r="CL27" s="7">
        <v>0.39638061879743097</v>
      </c>
      <c r="CM27" s="7">
        <v>0.54598524651064095</v>
      </c>
      <c r="CN27" s="7">
        <v>21.3169346707</v>
      </c>
      <c r="CO27" s="7">
        <v>32.533301491270002</v>
      </c>
      <c r="CP27" s="7">
        <v>39.638061879743098</v>
      </c>
      <c r="CQ27" s="7">
        <v>54.598524651064103</v>
      </c>
      <c r="CR27" s="7">
        <v>22.472543933642999</v>
      </c>
      <c r="CS27" s="7">
        <v>0.30610836915565498</v>
      </c>
      <c r="CT27" s="7">
        <v>0.83509791434485003</v>
      </c>
      <c r="CU27" s="7">
        <v>2.39222788303349</v>
      </c>
      <c r="CV27" s="7">
        <v>5.5659130711670102</v>
      </c>
      <c r="CW27" s="7">
        <v>30.6108369155655</v>
      </c>
      <c r="CX27" s="7">
        <v>76.655787295016694</v>
      </c>
      <c r="CY27" s="7">
        <v>98.468927453165605</v>
      </c>
      <c r="CZ27" s="7">
        <v>100</v>
      </c>
      <c r="DA27" s="9">
        <v>89.106390669683293</v>
      </c>
      <c r="DB27" s="9">
        <v>6.2808469988855295E-2</v>
      </c>
      <c r="DC27" s="9">
        <v>0.21007801305524601</v>
      </c>
      <c r="DD27" s="9">
        <v>0.28484052433264301</v>
      </c>
      <c r="DE27" s="9">
        <v>0.305312317571512</v>
      </c>
      <c r="DF27" s="9">
        <v>6.2808469988855302</v>
      </c>
      <c r="DG27" s="9">
        <v>21.007801305524598</v>
      </c>
      <c r="DH27" s="9">
        <v>28.484052433264299</v>
      </c>
      <c r="DI27" s="9">
        <v>30.5312317571512</v>
      </c>
    </row>
    <row r="28" spans="1:113">
      <c r="A28" s="5" t="s">
        <v>139</v>
      </c>
      <c r="B28" s="5" t="s">
        <v>166</v>
      </c>
      <c r="C28" s="5" t="s">
        <v>167</v>
      </c>
      <c r="D28" s="6">
        <v>2051593</v>
      </c>
      <c r="E28" s="7">
        <v>6.8684497123929997</v>
      </c>
      <c r="F28" s="7">
        <v>4.1043398958760298</v>
      </c>
      <c r="G28" s="7">
        <v>9.9536813588270192</v>
      </c>
      <c r="H28" s="7">
        <v>9.9982325929168194</v>
      </c>
      <c r="I28" s="7">
        <v>9.9987034465413007</v>
      </c>
      <c r="J28" s="7">
        <v>95.931064299790506</v>
      </c>
      <c r="K28" s="7">
        <v>99.976457318776198</v>
      </c>
      <c r="L28" s="7">
        <v>100</v>
      </c>
      <c r="M28" s="7">
        <v>100</v>
      </c>
      <c r="N28" s="7">
        <v>7.4250640186324004</v>
      </c>
      <c r="O28" s="7">
        <v>8.6716931672120197</v>
      </c>
      <c r="P28" s="7">
        <v>9.9822645134780608</v>
      </c>
      <c r="Q28" s="7">
        <v>10</v>
      </c>
      <c r="R28" s="7">
        <v>10</v>
      </c>
      <c r="S28" s="7">
        <v>99.851042580082904</v>
      </c>
      <c r="T28" s="7">
        <v>100</v>
      </c>
      <c r="U28" s="7">
        <v>100</v>
      </c>
      <c r="V28" s="7">
        <v>100</v>
      </c>
      <c r="W28" s="7">
        <v>6.5286407205083297</v>
      </c>
      <c r="X28" s="7">
        <v>9.9667487654715092</v>
      </c>
      <c r="Y28" s="7">
        <v>10</v>
      </c>
      <c r="Z28" s="7">
        <v>10</v>
      </c>
      <c r="AA28" s="7">
        <v>10</v>
      </c>
      <c r="AB28" s="7">
        <v>100</v>
      </c>
      <c r="AC28" s="7">
        <v>100</v>
      </c>
      <c r="AD28" s="7">
        <v>100</v>
      </c>
      <c r="AE28" s="7">
        <v>100</v>
      </c>
      <c r="AF28" s="6">
        <v>7.1736144215602904</v>
      </c>
      <c r="AG28" s="6">
        <v>3.0981812669472002</v>
      </c>
      <c r="AH28" s="6">
        <v>8.6058350754755004</v>
      </c>
      <c r="AI28" s="6">
        <v>9.8098385011062099</v>
      </c>
      <c r="AJ28" s="6">
        <v>9.9436754755938406</v>
      </c>
      <c r="AK28" s="6">
        <v>93.287313809317894</v>
      </c>
      <c r="AL28" s="6">
        <v>99.810976153652305</v>
      </c>
      <c r="AM28" s="6">
        <v>99.984256136572895</v>
      </c>
      <c r="AN28" s="6">
        <v>100</v>
      </c>
      <c r="AO28" s="6">
        <v>9.3499012683341096</v>
      </c>
      <c r="AP28" s="7">
        <v>2.4804466577922599</v>
      </c>
      <c r="AQ28" s="7">
        <v>9.5519744900669892</v>
      </c>
      <c r="AR28" s="7">
        <v>9.9940304924027306</v>
      </c>
      <c r="AS28" s="7">
        <v>9.9979557348850392</v>
      </c>
      <c r="AT28" s="7">
        <v>85.159288416367204</v>
      </c>
      <c r="AU28" s="7">
        <v>99.972362939432898</v>
      </c>
      <c r="AV28" s="7">
        <v>100</v>
      </c>
      <c r="AW28" s="7">
        <v>100</v>
      </c>
      <c r="AX28" s="7">
        <v>8.5527918445405504</v>
      </c>
      <c r="AY28" s="7">
        <v>6.4276374505079703</v>
      </c>
      <c r="AZ28" s="7">
        <v>9.9182898362394507</v>
      </c>
      <c r="BA28" s="7">
        <v>10</v>
      </c>
      <c r="BB28" s="7">
        <v>10</v>
      </c>
      <c r="BC28" s="7">
        <v>98.224745356413294</v>
      </c>
      <c r="BD28" s="7">
        <v>100</v>
      </c>
      <c r="BE28" s="7">
        <v>100</v>
      </c>
      <c r="BF28" s="7">
        <v>100</v>
      </c>
      <c r="BG28" s="7">
        <v>7.1245314639045203</v>
      </c>
      <c r="BH28" s="7">
        <v>9.7296057258920303</v>
      </c>
      <c r="BI28" s="7">
        <v>10</v>
      </c>
      <c r="BJ28" s="7">
        <v>10</v>
      </c>
      <c r="BK28" s="7">
        <v>10</v>
      </c>
      <c r="BL28" s="7">
        <v>100</v>
      </c>
      <c r="BM28" s="7">
        <v>100</v>
      </c>
      <c r="BN28" s="7">
        <v>100</v>
      </c>
      <c r="BO28" s="7">
        <v>100</v>
      </c>
      <c r="BP28" s="6">
        <v>10.581244693071399</v>
      </c>
      <c r="BQ28" s="6">
        <v>1.8423210646556101</v>
      </c>
      <c r="BR28" s="6">
        <v>6.2089678605844298</v>
      </c>
      <c r="BS28" s="6">
        <v>8.7839844452579001</v>
      </c>
      <c r="BT28" s="6">
        <v>9.6222091808658003</v>
      </c>
      <c r="BU28" s="6">
        <v>77.401804353982499</v>
      </c>
      <c r="BV28" s="6">
        <v>98.407042722411305</v>
      </c>
      <c r="BW28" s="6">
        <v>99.894374761465798</v>
      </c>
      <c r="BX28" s="6">
        <v>99.988935427250894</v>
      </c>
      <c r="BY28" s="6" t="str">
        <f>TRIM(Table1[[#This Row],[LA_Name]])</f>
        <v>Greater Manchester (Met County)</v>
      </c>
      <c r="BZ28" s="7">
        <v>23.3630294010092</v>
      </c>
      <c r="CA28" s="7">
        <v>0.32047487001564201</v>
      </c>
      <c r="CB28" s="7">
        <v>2.5797392562754902</v>
      </c>
      <c r="CC28" s="7">
        <v>6.81773772868205</v>
      </c>
      <c r="CD28" s="7">
        <v>9.5286794213082207</v>
      </c>
      <c r="CE28" s="7">
        <v>17.649212100060801</v>
      </c>
      <c r="CF28" s="7">
        <v>78.252314177324607</v>
      </c>
      <c r="CG28" s="7">
        <v>98.418935919551302</v>
      </c>
      <c r="CH28" s="7">
        <v>99.957496443007898</v>
      </c>
      <c r="CI28" s="7">
        <v>18.157954909867101</v>
      </c>
      <c r="CJ28" s="7">
        <v>1.0584901586230799</v>
      </c>
      <c r="CK28" s="7">
        <v>4.4004839166442897</v>
      </c>
      <c r="CL28" s="7">
        <v>7.2994794776546801</v>
      </c>
      <c r="CM28" s="7">
        <v>9.1684700620444701</v>
      </c>
      <c r="CN28" s="7">
        <v>38.981952073340103</v>
      </c>
      <c r="CO28" s="7">
        <v>92.472678547840601</v>
      </c>
      <c r="CP28" s="7">
        <v>99.775442790066094</v>
      </c>
      <c r="CQ28" s="7">
        <v>100</v>
      </c>
      <c r="CR28" s="7">
        <v>12.2987603870105</v>
      </c>
      <c r="CS28" s="7">
        <v>2.53952221517621</v>
      </c>
      <c r="CT28" s="7">
        <v>9.0240968847134901</v>
      </c>
      <c r="CU28" s="7">
        <v>9.9998615709841108</v>
      </c>
      <c r="CV28" s="7">
        <v>10</v>
      </c>
      <c r="CW28" s="7">
        <v>76.705272439514104</v>
      </c>
      <c r="CX28" s="7">
        <v>100</v>
      </c>
      <c r="CY28" s="7">
        <v>100</v>
      </c>
      <c r="CZ28" s="7">
        <v>100</v>
      </c>
      <c r="DA28" s="9">
        <v>41.4177091819192</v>
      </c>
      <c r="DB28" s="9">
        <v>0.2621012062334</v>
      </c>
      <c r="DC28" s="9">
        <v>0.97097864927400301</v>
      </c>
      <c r="DD28" s="9">
        <v>1.8511142317214</v>
      </c>
      <c r="DE28" s="9">
        <v>2.8269978499634201</v>
      </c>
      <c r="DF28" s="9">
        <v>14.640330708868699</v>
      </c>
      <c r="DG28" s="9">
        <v>36.893233696937003</v>
      </c>
      <c r="DH28" s="9">
        <v>59.361286570971899</v>
      </c>
      <c r="DI28" s="9">
        <v>79.451528641402106</v>
      </c>
    </row>
    <row r="29" spans="1:113">
      <c r="A29" s="5" t="s">
        <v>139</v>
      </c>
      <c r="B29" s="5" t="s">
        <v>168</v>
      </c>
      <c r="C29" s="5" t="s">
        <v>169</v>
      </c>
      <c r="D29" s="6">
        <v>203744</v>
      </c>
      <c r="E29" s="7">
        <v>6.4415618203386096</v>
      </c>
      <c r="F29" s="7">
        <v>4.7208850321972697</v>
      </c>
      <c r="G29" s="7">
        <v>9.9897371210931407</v>
      </c>
      <c r="H29" s="7">
        <v>10</v>
      </c>
      <c r="I29" s="7">
        <v>10</v>
      </c>
      <c r="J29" s="7">
        <v>98.492716349929296</v>
      </c>
      <c r="K29" s="7">
        <v>100</v>
      </c>
      <c r="L29" s="7">
        <v>100</v>
      </c>
      <c r="M29" s="7">
        <v>100</v>
      </c>
      <c r="N29" s="7">
        <v>7.2913137472895704</v>
      </c>
      <c r="O29" s="7">
        <v>8.7769112219255501</v>
      </c>
      <c r="P29" s="7">
        <v>10</v>
      </c>
      <c r="Q29" s="7">
        <v>10</v>
      </c>
      <c r="R29" s="7">
        <v>10</v>
      </c>
      <c r="S29" s="7">
        <v>100</v>
      </c>
      <c r="T29" s="7">
        <v>100</v>
      </c>
      <c r="U29" s="7">
        <v>100</v>
      </c>
      <c r="V29" s="7">
        <v>100</v>
      </c>
      <c r="W29" s="7">
        <v>6.4071661509995899</v>
      </c>
      <c r="X29" s="7">
        <v>10</v>
      </c>
      <c r="Y29" s="7">
        <v>10</v>
      </c>
      <c r="Z29" s="7">
        <v>10</v>
      </c>
      <c r="AA29" s="7">
        <v>10</v>
      </c>
      <c r="AB29" s="7">
        <v>100</v>
      </c>
      <c r="AC29" s="7">
        <v>100</v>
      </c>
      <c r="AD29" s="7">
        <v>100</v>
      </c>
      <c r="AE29" s="7">
        <v>100</v>
      </c>
      <c r="AF29" s="6">
        <v>6.6701961256427902</v>
      </c>
      <c r="AG29" s="6">
        <v>3.3280783728600598</v>
      </c>
      <c r="AH29" s="6">
        <v>8.8059231192084209</v>
      </c>
      <c r="AI29" s="6">
        <v>9.8121760640804094</v>
      </c>
      <c r="AJ29" s="6">
        <v>10</v>
      </c>
      <c r="AK29" s="6">
        <v>95.636190513585703</v>
      </c>
      <c r="AL29" s="6">
        <v>99.896438668132603</v>
      </c>
      <c r="AM29" s="6">
        <v>100</v>
      </c>
      <c r="AN29" s="6">
        <v>100</v>
      </c>
      <c r="AO29" s="6">
        <v>10.0680212402635</v>
      </c>
      <c r="AP29" s="7">
        <v>2.62536320087953</v>
      </c>
      <c r="AQ29" s="7">
        <v>9.6911909062352795</v>
      </c>
      <c r="AR29" s="7">
        <v>10</v>
      </c>
      <c r="AS29" s="7">
        <v>10</v>
      </c>
      <c r="AT29" s="7">
        <v>81.106192084184102</v>
      </c>
      <c r="AU29" s="7">
        <v>100</v>
      </c>
      <c r="AV29" s="7">
        <v>100</v>
      </c>
      <c r="AW29" s="7">
        <v>100</v>
      </c>
      <c r="AX29" s="7">
        <v>8.9705367987513007</v>
      </c>
      <c r="AY29" s="7">
        <v>5.87170665148422</v>
      </c>
      <c r="AZ29" s="7">
        <v>9.8990694204491891</v>
      </c>
      <c r="BA29" s="7">
        <v>10</v>
      </c>
      <c r="BB29" s="7">
        <v>10</v>
      </c>
      <c r="BC29" s="7">
        <v>98.010738966546299</v>
      </c>
      <c r="BD29" s="7">
        <v>100</v>
      </c>
      <c r="BE29" s="7">
        <v>100</v>
      </c>
      <c r="BF29" s="7">
        <v>100</v>
      </c>
      <c r="BG29" s="7">
        <v>7.2559717650810098</v>
      </c>
      <c r="BH29" s="7">
        <v>9.7854955237945696</v>
      </c>
      <c r="BI29" s="7">
        <v>10</v>
      </c>
      <c r="BJ29" s="7">
        <v>10</v>
      </c>
      <c r="BK29" s="7">
        <v>10</v>
      </c>
      <c r="BL29" s="7">
        <v>100</v>
      </c>
      <c r="BM29" s="7">
        <v>100</v>
      </c>
      <c r="BN29" s="7">
        <v>100</v>
      </c>
      <c r="BO29" s="7">
        <v>100</v>
      </c>
      <c r="BP29" s="6">
        <v>11.905243347169201</v>
      </c>
      <c r="BQ29" s="6">
        <v>1.77963032040207</v>
      </c>
      <c r="BR29" s="6">
        <v>5.6943762761111998</v>
      </c>
      <c r="BS29" s="6">
        <v>8.3796332652740695</v>
      </c>
      <c r="BT29" s="6">
        <v>9.4239143238573906</v>
      </c>
      <c r="BU29" s="6">
        <v>69.762054342704602</v>
      </c>
      <c r="BV29" s="6">
        <v>98.214425946285502</v>
      </c>
      <c r="BW29" s="6">
        <v>100</v>
      </c>
      <c r="BX29" s="6">
        <v>100</v>
      </c>
      <c r="BY29" s="6" t="str">
        <f>TRIM(Table1[[#This Row],[LA_Name]])</f>
        <v>Bolton</v>
      </c>
      <c r="BZ29" s="7">
        <v>21.1461600188265</v>
      </c>
      <c r="CA29" s="7">
        <v>0.160083241715093</v>
      </c>
      <c r="CB29" s="7">
        <v>1.8067427752473699</v>
      </c>
      <c r="CC29" s="7">
        <v>5.7574358017904803</v>
      </c>
      <c r="CD29" s="7">
        <v>9.8216830925082395</v>
      </c>
      <c r="CE29" s="7">
        <v>15.1837600125648</v>
      </c>
      <c r="CF29" s="7">
        <v>90.022773676770896</v>
      </c>
      <c r="CG29" s="7">
        <v>100</v>
      </c>
      <c r="CH29" s="7">
        <v>100</v>
      </c>
      <c r="CI29" s="7">
        <v>16.392010524817501</v>
      </c>
      <c r="CJ29" s="7">
        <v>0.66933504790325105</v>
      </c>
      <c r="CK29" s="7">
        <v>2.8818370111512501</v>
      </c>
      <c r="CL29" s="7">
        <v>5.4486512486257297</v>
      </c>
      <c r="CM29" s="7">
        <v>8.1662969216271399</v>
      </c>
      <c r="CN29" s="7">
        <v>46.131910632951197</v>
      </c>
      <c r="CO29" s="7">
        <v>99.885149992147007</v>
      </c>
      <c r="CP29" s="7">
        <v>100</v>
      </c>
      <c r="CQ29" s="7">
        <v>100</v>
      </c>
      <c r="CR29" s="7">
        <v>11.674649666830399</v>
      </c>
      <c r="CS29" s="7">
        <v>1.93727422648029</v>
      </c>
      <c r="CT29" s="7">
        <v>7.9721267865556804</v>
      </c>
      <c r="CU29" s="7">
        <v>10</v>
      </c>
      <c r="CV29" s="7">
        <v>10</v>
      </c>
      <c r="CW29" s="7">
        <v>86.054067849850796</v>
      </c>
      <c r="CX29" s="7">
        <v>100</v>
      </c>
      <c r="CY29" s="7">
        <v>100</v>
      </c>
      <c r="CZ29" s="7">
        <v>100</v>
      </c>
      <c r="DA29" s="9">
        <v>36.570870763564699</v>
      </c>
      <c r="DB29" s="9">
        <v>0.110143120779017</v>
      </c>
      <c r="DC29" s="9">
        <v>0.56159199780116198</v>
      </c>
      <c r="DD29" s="9">
        <v>1.26023833830689</v>
      </c>
      <c r="DE29" s="9">
        <v>2.0101352677870299</v>
      </c>
      <c r="DF29" s="9">
        <v>10.555402858489099</v>
      </c>
      <c r="DG29" s="9">
        <v>40.493462384168403</v>
      </c>
      <c r="DH29" s="9">
        <v>68.107036280822996</v>
      </c>
      <c r="DI29" s="9">
        <v>88.247015863043799</v>
      </c>
    </row>
    <row r="30" spans="1:113">
      <c r="A30" s="5" t="s">
        <v>139</v>
      </c>
      <c r="B30" s="5" t="s">
        <v>170</v>
      </c>
      <c r="C30" s="5" t="s">
        <v>171</v>
      </c>
      <c r="D30" s="6">
        <v>136329</v>
      </c>
      <c r="E30" s="7">
        <v>6.8900413802532698</v>
      </c>
      <c r="F30" s="7">
        <v>3.5879306677229299</v>
      </c>
      <c r="G30" s="7">
        <v>9.9817426959781095</v>
      </c>
      <c r="H30" s="7">
        <v>10</v>
      </c>
      <c r="I30" s="7">
        <v>10</v>
      </c>
      <c r="J30" s="7">
        <v>97.422411959304299</v>
      </c>
      <c r="K30" s="7">
        <v>100</v>
      </c>
      <c r="L30" s="7">
        <v>100</v>
      </c>
      <c r="M30" s="7">
        <v>100</v>
      </c>
      <c r="N30" s="7">
        <v>7.5305446555739399</v>
      </c>
      <c r="O30" s="7">
        <v>7.9298388457334799</v>
      </c>
      <c r="P30" s="7">
        <v>10</v>
      </c>
      <c r="Q30" s="7">
        <v>10</v>
      </c>
      <c r="R30" s="7">
        <v>10</v>
      </c>
      <c r="S30" s="7">
        <v>99.724196612606306</v>
      </c>
      <c r="T30" s="7">
        <v>100</v>
      </c>
      <c r="U30" s="7">
        <v>100</v>
      </c>
      <c r="V30" s="7">
        <v>100</v>
      </c>
      <c r="W30" s="7">
        <v>6.51248443482132</v>
      </c>
      <c r="X30" s="7">
        <v>10</v>
      </c>
      <c r="Y30" s="7">
        <v>10</v>
      </c>
      <c r="Z30" s="7">
        <v>10</v>
      </c>
      <c r="AA30" s="7">
        <v>10</v>
      </c>
      <c r="AB30" s="7">
        <v>100</v>
      </c>
      <c r="AC30" s="7">
        <v>100</v>
      </c>
      <c r="AD30" s="7">
        <v>100</v>
      </c>
      <c r="AE30" s="7">
        <v>100</v>
      </c>
      <c r="AF30" s="6">
        <v>7.4218152426583703</v>
      </c>
      <c r="AG30" s="6">
        <v>2.6279661700738699</v>
      </c>
      <c r="AH30" s="6">
        <v>7.8655751894314498</v>
      </c>
      <c r="AI30" s="6">
        <v>9.8968157912109707</v>
      </c>
      <c r="AJ30" s="6">
        <v>10</v>
      </c>
      <c r="AK30" s="6">
        <v>91.471367060566706</v>
      </c>
      <c r="AL30" s="6">
        <v>100</v>
      </c>
      <c r="AM30" s="6">
        <v>100</v>
      </c>
      <c r="AN30" s="6">
        <v>100</v>
      </c>
      <c r="AO30" s="6">
        <v>9.4521874461050395</v>
      </c>
      <c r="AP30" s="7">
        <v>2.1592397802375101</v>
      </c>
      <c r="AQ30" s="7">
        <v>9.4590659360810996</v>
      </c>
      <c r="AR30" s="7">
        <v>10</v>
      </c>
      <c r="AS30" s="7">
        <v>10</v>
      </c>
      <c r="AT30" s="7">
        <v>86.527444637604603</v>
      </c>
      <c r="AU30" s="7">
        <v>100</v>
      </c>
      <c r="AV30" s="7">
        <v>100</v>
      </c>
      <c r="AW30" s="7">
        <v>100</v>
      </c>
      <c r="AX30" s="7">
        <v>8.6589905203032806</v>
      </c>
      <c r="AY30" s="7">
        <v>5.5220826089826804</v>
      </c>
      <c r="AZ30" s="7">
        <v>9.9380029194082002</v>
      </c>
      <c r="BA30" s="7">
        <v>10</v>
      </c>
      <c r="BB30" s="7">
        <v>10</v>
      </c>
      <c r="BC30" s="7">
        <v>98.755950678138902</v>
      </c>
      <c r="BD30" s="7">
        <v>100</v>
      </c>
      <c r="BE30" s="7">
        <v>100</v>
      </c>
      <c r="BF30" s="7">
        <v>100</v>
      </c>
      <c r="BG30" s="7">
        <v>7.12554592175408</v>
      </c>
      <c r="BH30" s="7">
        <v>9.7502145544968393</v>
      </c>
      <c r="BI30" s="7">
        <v>10</v>
      </c>
      <c r="BJ30" s="7">
        <v>10</v>
      </c>
      <c r="BK30" s="7">
        <v>10</v>
      </c>
      <c r="BL30" s="7">
        <v>100</v>
      </c>
      <c r="BM30" s="7">
        <v>100</v>
      </c>
      <c r="BN30" s="7">
        <v>100</v>
      </c>
      <c r="BO30" s="7">
        <v>100</v>
      </c>
      <c r="BP30" s="6">
        <v>10.9780430427588</v>
      </c>
      <c r="BQ30" s="6">
        <v>1.5024609584167701</v>
      </c>
      <c r="BR30" s="6">
        <v>5.3605029010702099</v>
      </c>
      <c r="BS30" s="6">
        <v>8.5613112397215598</v>
      </c>
      <c r="BT30" s="6">
        <v>9.6160171350189607</v>
      </c>
      <c r="BU30" s="6">
        <v>73.990860345194307</v>
      </c>
      <c r="BV30" s="6">
        <v>98.743480844134396</v>
      </c>
      <c r="BW30" s="6">
        <v>100</v>
      </c>
      <c r="BX30" s="6">
        <v>100</v>
      </c>
      <c r="BY30" s="6" t="str">
        <f>TRIM(Table1[[#This Row],[LA_Name]])</f>
        <v>Bury</v>
      </c>
      <c r="BZ30" s="7">
        <v>25.355110620486801</v>
      </c>
      <c r="CA30" s="7">
        <v>0.133273184722253</v>
      </c>
      <c r="CB30" s="7">
        <v>1.2205253467714099</v>
      </c>
      <c r="CC30" s="7">
        <v>4.7308129598251298</v>
      </c>
      <c r="CD30" s="7">
        <v>8.8306449838258896</v>
      </c>
      <c r="CE30" s="7">
        <v>11.3746891710494</v>
      </c>
      <c r="CF30" s="7">
        <v>70.978295153635699</v>
      </c>
      <c r="CG30" s="7">
        <v>100</v>
      </c>
      <c r="CH30" s="7">
        <v>100</v>
      </c>
      <c r="CI30" s="7">
        <v>20.9843140852938</v>
      </c>
      <c r="CJ30" s="7">
        <v>0.383410719656126</v>
      </c>
      <c r="CK30" s="7">
        <v>2.4967101643817502</v>
      </c>
      <c r="CL30" s="7">
        <v>5.7529872587637296</v>
      </c>
      <c r="CM30" s="7">
        <v>8.4072354378011998</v>
      </c>
      <c r="CN30" s="7">
        <v>24.0469745982146</v>
      </c>
      <c r="CO30" s="7">
        <v>91.125879306677206</v>
      </c>
      <c r="CP30" s="7">
        <v>100</v>
      </c>
      <c r="CQ30" s="7">
        <v>100</v>
      </c>
      <c r="CR30" s="7">
        <v>13.6131995422011</v>
      </c>
      <c r="CS30" s="7">
        <v>1.1203925797152501</v>
      </c>
      <c r="CT30" s="7">
        <v>8.4386007379207708</v>
      </c>
      <c r="CU30" s="7">
        <v>10</v>
      </c>
      <c r="CV30" s="7">
        <v>10</v>
      </c>
      <c r="CW30" s="7">
        <v>60.753031269942603</v>
      </c>
      <c r="CX30" s="7">
        <v>100</v>
      </c>
      <c r="CY30" s="7">
        <v>100</v>
      </c>
      <c r="CZ30" s="7">
        <v>100</v>
      </c>
      <c r="DA30" s="9">
        <v>50.915753256618899</v>
      </c>
      <c r="DB30" s="9">
        <v>9.4616699308291002E-2</v>
      </c>
      <c r="DC30" s="9">
        <v>0.36006278928181101</v>
      </c>
      <c r="DD30" s="9">
        <v>0.67298960602659696</v>
      </c>
      <c r="DE30" s="9">
        <v>1.07489969118823</v>
      </c>
      <c r="DF30" s="9">
        <v>7.5090406296532697</v>
      </c>
      <c r="DG30" s="9">
        <v>22.678960455955799</v>
      </c>
      <c r="DH30" s="9">
        <v>37.099956722340799</v>
      </c>
      <c r="DI30" s="9">
        <v>59.357876900732798</v>
      </c>
    </row>
    <row r="31" spans="1:113">
      <c r="A31" s="5" t="s">
        <v>139</v>
      </c>
      <c r="B31" s="5" t="s">
        <v>172</v>
      </c>
      <c r="C31" s="5" t="s">
        <v>173</v>
      </c>
      <c r="D31" s="6">
        <v>418591</v>
      </c>
      <c r="E31" s="7">
        <v>7.2861214358496396</v>
      </c>
      <c r="F31" s="7">
        <v>4.7119742182703401</v>
      </c>
      <c r="G31" s="7">
        <v>9.9992140299242003</v>
      </c>
      <c r="H31" s="7">
        <v>10</v>
      </c>
      <c r="I31" s="7">
        <v>10</v>
      </c>
      <c r="J31" s="7">
        <v>90.422632115836194</v>
      </c>
      <c r="K31" s="7">
        <v>100</v>
      </c>
      <c r="L31" s="7">
        <v>100</v>
      </c>
      <c r="M31" s="7">
        <v>100</v>
      </c>
      <c r="N31" s="7">
        <v>7.5406896288874803</v>
      </c>
      <c r="O31" s="7">
        <v>9.4752753881473808</v>
      </c>
      <c r="P31" s="7">
        <v>10</v>
      </c>
      <c r="Q31" s="7">
        <v>10</v>
      </c>
      <c r="R31" s="7">
        <v>10</v>
      </c>
      <c r="S31" s="7">
        <v>100</v>
      </c>
      <c r="T31" s="7">
        <v>100</v>
      </c>
      <c r="U31" s="7">
        <v>100</v>
      </c>
      <c r="V31" s="7">
        <v>100</v>
      </c>
      <c r="W31" s="7">
        <v>6.6188951972743002</v>
      </c>
      <c r="X31" s="7">
        <v>9.9992140299242003</v>
      </c>
      <c r="Y31" s="7">
        <v>10</v>
      </c>
      <c r="Z31" s="7">
        <v>10</v>
      </c>
      <c r="AA31" s="7">
        <v>10</v>
      </c>
      <c r="AB31" s="7">
        <v>100</v>
      </c>
      <c r="AC31" s="7">
        <v>100</v>
      </c>
      <c r="AD31" s="7">
        <v>100</v>
      </c>
      <c r="AE31" s="7">
        <v>100</v>
      </c>
      <c r="AF31" s="6">
        <v>7.7688095592711397</v>
      </c>
      <c r="AG31" s="6">
        <v>3.7882419832246801</v>
      </c>
      <c r="AH31" s="6">
        <v>9.2807274881686403</v>
      </c>
      <c r="AI31" s="6">
        <v>9.9991017484848008</v>
      </c>
      <c r="AJ31" s="6">
        <v>9.9998877185606005</v>
      </c>
      <c r="AK31" s="6">
        <v>86.593357238927695</v>
      </c>
      <c r="AL31" s="6">
        <v>100</v>
      </c>
      <c r="AM31" s="6">
        <v>100</v>
      </c>
      <c r="AN31" s="6">
        <v>100</v>
      </c>
      <c r="AO31" s="6">
        <v>7.9673959217502697</v>
      </c>
      <c r="AP31" s="7">
        <v>3.2049136269054999</v>
      </c>
      <c r="AQ31" s="7">
        <v>9.9522708323877005</v>
      </c>
      <c r="AR31" s="7">
        <v>10</v>
      </c>
      <c r="AS31" s="7">
        <v>10</v>
      </c>
      <c r="AT31" s="7">
        <v>92.832382922709797</v>
      </c>
      <c r="AU31" s="7">
        <v>100</v>
      </c>
      <c r="AV31" s="7">
        <v>100</v>
      </c>
      <c r="AW31" s="7">
        <v>100</v>
      </c>
      <c r="AX31" s="7">
        <v>7.7889447270065197</v>
      </c>
      <c r="AY31" s="7">
        <v>8.4224027750238299</v>
      </c>
      <c r="AZ31" s="7">
        <v>10</v>
      </c>
      <c r="BA31" s="7">
        <v>10</v>
      </c>
      <c r="BB31" s="7">
        <v>10</v>
      </c>
      <c r="BC31" s="7">
        <v>99.988771856059998</v>
      </c>
      <c r="BD31" s="7">
        <v>100</v>
      </c>
      <c r="BE31" s="7">
        <v>100</v>
      </c>
      <c r="BF31" s="7">
        <v>100</v>
      </c>
      <c r="BG31" s="7">
        <v>6.7228753191352801</v>
      </c>
      <c r="BH31" s="7">
        <v>9.9992140299242003</v>
      </c>
      <c r="BI31" s="7">
        <v>10</v>
      </c>
      <c r="BJ31" s="7">
        <v>10</v>
      </c>
      <c r="BK31" s="7">
        <v>10</v>
      </c>
      <c r="BL31" s="7">
        <v>100</v>
      </c>
      <c r="BM31" s="7">
        <v>100</v>
      </c>
      <c r="BN31" s="7">
        <v>100</v>
      </c>
      <c r="BO31" s="7">
        <v>100</v>
      </c>
      <c r="BP31" s="6">
        <v>8.4243063381300196</v>
      </c>
      <c r="BQ31" s="6">
        <v>2.5616675943821101</v>
      </c>
      <c r="BR31" s="6">
        <v>8.1162901256835394</v>
      </c>
      <c r="BS31" s="6">
        <v>9.9660288921644309</v>
      </c>
      <c r="BT31" s="6">
        <v>9.9996631556817999</v>
      </c>
      <c r="BU31" s="6">
        <v>88.216899073319794</v>
      </c>
      <c r="BV31" s="6">
        <v>99.988771856059998</v>
      </c>
      <c r="BW31" s="6">
        <v>100</v>
      </c>
      <c r="BX31" s="6">
        <v>100</v>
      </c>
      <c r="BY31" s="6" t="str">
        <f>TRIM(Table1[[#This Row],[LA_Name]])</f>
        <v>Manchester</v>
      </c>
      <c r="BZ31" s="7">
        <v>19.4236896396155</v>
      </c>
      <c r="CA31" s="7">
        <v>0.82997484417964096</v>
      </c>
      <c r="CB31" s="7">
        <v>5.1835443189175097</v>
      </c>
      <c r="CC31" s="7">
        <v>9.6266498801933196</v>
      </c>
      <c r="CD31" s="7">
        <v>10</v>
      </c>
      <c r="CE31" s="7">
        <v>26.705065326296999</v>
      </c>
      <c r="CF31" s="7">
        <v>92.803715321160794</v>
      </c>
      <c r="CG31" s="7">
        <v>100</v>
      </c>
      <c r="CH31" s="7">
        <v>100</v>
      </c>
      <c r="CI31" s="7">
        <v>15.5644674698414</v>
      </c>
      <c r="CJ31" s="7">
        <v>2.4013416437524899</v>
      </c>
      <c r="CK31" s="7">
        <v>8.5109737189762793</v>
      </c>
      <c r="CL31" s="7">
        <v>9.9874029780860099</v>
      </c>
      <c r="CM31" s="7">
        <v>10</v>
      </c>
      <c r="CN31" s="7">
        <v>48.869421463911102</v>
      </c>
      <c r="CO31" s="7">
        <v>99.635443666968499</v>
      </c>
      <c r="CP31" s="7">
        <v>100</v>
      </c>
      <c r="CQ31" s="7">
        <v>100</v>
      </c>
      <c r="CR31" s="7">
        <v>11.3315827293795</v>
      </c>
      <c r="CS31" s="7">
        <v>5.0120212809162199</v>
      </c>
      <c r="CT31" s="7">
        <v>9.9996631556817999</v>
      </c>
      <c r="CU31" s="7">
        <v>10</v>
      </c>
      <c r="CV31" s="7">
        <v>10</v>
      </c>
      <c r="CW31" s="7">
        <v>83.177851411043207</v>
      </c>
      <c r="CX31" s="7">
        <v>100</v>
      </c>
      <c r="CY31" s="7">
        <v>100</v>
      </c>
      <c r="CZ31" s="7">
        <v>100</v>
      </c>
      <c r="DA31" s="9">
        <v>33.338241916079397</v>
      </c>
      <c r="DB31" s="9">
        <v>0.70784608364728296</v>
      </c>
      <c r="DC31" s="9">
        <v>2.2458127384487501</v>
      </c>
      <c r="DD31" s="9">
        <v>3.7523310343509499</v>
      </c>
      <c r="DE31" s="9">
        <v>5.6566457472807601</v>
      </c>
      <c r="DF31" s="9">
        <v>23.5769522039413</v>
      </c>
      <c r="DG31" s="9">
        <v>46.021534146696901</v>
      </c>
      <c r="DH31" s="9">
        <v>68.255648114746904</v>
      </c>
      <c r="DI31" s="9">
        <v>88.960584436836896</v>
      </c>
    </row>
    <row r="32" spans="1:113">
      <c r="A32" s="5" t="s">
        <v>139</v>
      </c>
      <c r="B32" s="5" t="s">
        <v>174</v>
      </c>
      <c r="C32" s="5" t="s">
        <v>175</v>
      </c>
      <c r="D32" s="6">
        <v>166615</v>
      </c>
      <c r="E32" s="7">
        <v>5.9420243655227001</v>
      </c>
      <c r="F32" s="7">
        <v>4.61835368964379</v>
      </c>
      <c r="G32" s="7">
        <v>9.9546319359001298</v>
      </c>
      <c r="H32" s="7">
        <v>10</v>
      </c>
      <c r="I32" s="7">
        <v>10</v>
      </c>
      <c r="J32" s="7">
        <v>99.534255619242003</v>
      </c>
      <c r="K32" s="7">
        <v>100</v>
      </c>
      <c r="L32" s="7">
        <v>100</v>
      </c>
      <c r="M32" s="7">
        <v>100</v>
      </c>
      <c r="N32" s="7">
        <v>7.1346109774183999</v>
      </c>
      <c r="O32" s="7">
        <v>8.9889865858416105</v>
      </c>
      <c r="P32" s="7">
        <v>9.9969750622692999</v>
      </c>
      <c r="Q32" s="7">
        <v>10</v>
      </c>
      <c r="R32" s="7">
        <v>10</v>
      </c>
      <c r="S32" s="7">
        <v>99.540857665876402</v>
      </c>
      <c r="T32" s="7">
        <v>100</v>
      </c>
      <c r="U32" s="7">
        <v>100</v>
      </c>
      <c r="V32" s="7">
        <v>100</v>
      </c>
      <c r="W32" s="7">
        <v>6.2394334318071003</v>
      </c>
      <c r="X32" s="7">
        <v>9.9765627344476808</v>
      </c>
      <c r="Y32" s="7">
        <v>10</v>
      </c>
      <c r="Z32" s="7">
        <v>10</v>
      </c>
      <c r="AA32" s="7">
        <v>10</v>
      </c>
      <c r="AB32" s="7">
        <v>100</v>
      </c>
      <c r="AC32" s="7">
        <v>100</v>
      </c>
      <c r="AD32" s="7">
        <v>100</v>
      </c>
      <c r="AE32" s="7">
        <v>100</v>
      </c>
      <c r="AF32" s="6">
        <v>6.2441766963767096</v>
      </c>
      <c r="AG32" s="6">
        <v>3.2959877562044202</v>
      </c>
      <c r="AH32" s="6">
        <v>8.9248266962758507</v>
      </c>
      <c r="AI32" s="6">
        <v>9.6747771809260907</v>
      </c>
      <c r="AJ32" s="6">
        <v>9.8786723884404193</v>
      </c>
      <c r="AK32" s="6">
        <v>97.731296701977598</v>
      </c>
      <c r="AL32" s="6">
        <v>99.4100171053026</v>
      </c>
      <c r="AM32" s="6">
        <v>100</v>
      </c>
      <c r="AN32" s="6">
        <v>100</v>
      </c>
      <c r="AO32" s="6">
        <v>9.1203486438147792</v>
      </c>
      <c r="AP32" s="7">
        <v>2.3917414398463501</v>
      </c>
      <c r="AQ32" s="7">
        <v>9.4705098580559994</v>
      </c>
      <c r="AR32" s="7">
        <v>9.9899888965579304</v>
      </c>
      <c r="AS32" s="7">
        <v>10</v>
      </c>
      <c r="AT32" s="7">
        <v>82.937310566275499</v>
      </c>
      <c r="AU32" s="7">
        <v>100</v>
      </c>
      <c r="AV32" s="7">
        <v>100</v>
      </c>
      <c r="AW32" s="7">
        <v>100</v>
      </c>
      <c r="AX32" s="7">
        <v>8.5242926973306794</v>
      </c>
      <c r="AY32" s="7">
        <v>6.5674699156738603</v>
      </c>
      <c r="AZ32" s="7">
        <v>9.7686342766257503</v>
      </c>
      <c r="BA32" s="7">
        <v>10</v>
      </c>
      <c r="BB32" s="7">
        <v>10</v>
      </c>
      <c r="BC32" s="7">
        <v>98.351288899558895</v>
      </c>
      <c r="BD32" s="7">
        <v>100</v>
      </c>
      <c r="BE32" s="7">
        <v>100</v>
      </c>
      <c r="BF32" s="7">
        <v>100</v>
      </c>
      <c r="BG32" s="7">
        <v>6.9795543541381804</v>
      </c>
      <c r="BH32" s="7">
        <v>9.6981904390361002</v>
      </c>
      <c r="BI32" s="7">
        <v>10</v>
      </c>
      <c r="BJ32" s="7">
        <v>10</v>
      </c>
      <c r="BK32" s="7">
        <v>10</v>
      </c>
      <c r="BL32" s="7">
        <v>100</v>
      </c>
      <c r="BM32" s="7">
        <v>100</v>
      </c>
      <c r="BN32" s="7">
        <v>100</v>
      </c>
      <c r="BO32" s="7">
        <v>100</v>
      </c>
      <c r="BP32" s="6">
        <v>10.685999872895</v>
      </c>
      <c r="BQ32" s="6">
        <v>1.7291120247276699</v>
      </c>
      <c r="BR32" s="6">
        <v>6.4017705488701502</v>
      </c>
      <c r="BS32" s="6">
        <v>8.7896647960867895</v>
      </c>
      <c r="BT32" s="6">
        <v>9.5396632956216401</v>
      </c>
      <c r="BU32" s="6">
        <v>74.8954175794496</v>
      </c>
      <c r="BV32" s="6">
        <v>98.023587312066695</v>
      </c>
      <c r="BW32" s="6">
        <v>99.724514599525804</v>
      </c>
      <c r="BX32" s="6">
        <v>100</v>
      </c>
      <c r="BY32" s="6" t="str">
        <f>TRIM(Table1[[#This Row],[LA_Name]])</f>
        <v>Oldham</v>
      </c>
      <c r="BZ32" s="7">
        <v>24.953691366504401</v>
      </c>
      <c r="CA32" s="7">
        <v>0.15218917864538001</v>
      </c>
      <c r="CB32" s="7">
        <v>1.1558683191789501</v>
      </c>
      <c r="CC32" s="7">
        <v>5.1076013564204903</v>
      </c>
      <c r="CD32" s="7">
        <v>8.9860816853224499</v>
      </c>
      <c r="CE32" s="7">
        <v>15.218917864538</v>
      </c>
      <c r="CF32" s="7">
        <v>69.659394412267801</v>
      </c>
      <c r="CG32" s="7">
        <v>98.6339765327251</v>
      </c>
      <c r="CH32" s="7">
        <v>100</v>
      </c>
      <c r="CI32" s="7">
        <v>17.899721789428</v>
      </c>
      <c r="CJ32" s="7">
        <v>0.50187558143024302</v>
      </c>
      <c r="CK32" s="7">
        <v>2.7167721993818099</v>
      </c>
      <c r="CL32" s="7">
        <v>6.1702307715391802</v>
      </c>
      <c r="CM32" s="7">
        <v>8.83132371035021</v>
      </c>
      <c r="CN32" s="7">
        <v>39.626084086066697</v>
      </c>
      <c r="CO32" s="7">
        <v>93.747261651111799</v>
      </c>
      <c r="CP32" s="7">
        <v>99.819944182696602</v>
      </c>
      <c r="CQ32" s="7">
        <v>100</v>
      </c>
      <c r="CR32" s="7">
        <v>11.9871461130142</v>
      </c>
      <c r="CS32" s="7">
        <v>1.6350628694895399</v>
      </c>
      <c r="CT32" s="7">
        <v>7.9057107703388096</v>
      </c>
      <c r="CU32" s="7">
        <v>10</v>
      </c>
      <c r="CV32" s="7">
        <v>10</v>
      </c>
      <c r="CW32" s="7">
        <v>78.964078864447998</v>
      </c>
      <c r="CX32" s="7">
        <v>100</v>
      </c>
      <c r="CY32" s="7">
        <v>100</v>
      </c>
      <c r="CZ32" s="7">
        <v>100</v>
      </c>
      <c r="DA32" s="9">
        <v>41.0282654875394</v>
      </c>
      <c r="DB32" s="9">
        <v>0.13609819043903601</v>
      </c>
      <c r="DC32" s="9">
        <v>0.45446088287369102</v>
      </c>
      <c r="DD32" s="9">
        <v>0.99818743810581301</v>
      </c>
      <c r="DE32" s="9">
        <v>1.5242145064970101</v>
      </c>
      <c r="DF32" s="9">
        <v>13.609819043903601</v>
      </c>
      <c r="DG32" s="9">
        <v>37.204333343336401</v>
      </c>
      <c r="DH32" s="9">
        <v>62.434354649941497</v>
      </c>
      <c r="DI32" s="9">
        <v>80.494553311526602</v>
      </c>
    </row>
    <row r="33" spans="1:113">
      <c r="A33" s="5" t="s">
        <v>139</v>
      </c>
      <c r="B33" s="5" t="s">
        <v>176</v>
      </c>
      <c r="C33" s="5" t="s">
        <v>177</v>
      </c>
      <c r="D33" s="6">
        <v>158354</v>
      </c>
      <c r="E33" s="7">
        <v>6.5722800843353797</v>
      </c>
      <c r="F33" s="7">
        <v>3.6732131805953698</v>
      </c>
      <c r="G33" s="7">
        <v>9.9316720764868602</v>
      </c>
      <c r="H33" s="7">
        <v>9.9838589489371898</v>
      </c>
      <c r="I33" s="7">
        <v>9.9874458491733709</v>
      </c>
      <c r="J33" s="7">
        <v>97.809970067064896</v>
      </c>
      <c r="K33" s="7">
        <v>99.820654988190995</v>
      </c>
      <c r="L33" s="7">
        <v>100</v>
      </c>
      <c r="M33" s="7">
        <v>100</v>
      </c>
      <c r="N33" s="7">
        <v>7.33996557883754</v>
      </c>
      <c r="O33" s="7">
        <v>7.9463733154830303</v>
      </c>
      <c r="P33" s="7">
        <v>9.9928261995276397</v>
      </c>
      <c r="Q33" s="7">
        <v>10</v>
      </c>
      <c r="R33" s="7">
        <v>10</v>
      </c>
      <c r="S33" s="7">
        <v>99.820654988190995</v>
      </c>
      <c r="T33" s="7">
        <v>100</v>
      </c>
      <c r="U33" s="7">
        <v>100</v>
      </c>
      <c r="V33" s="7">
        <v>100</v>
      </c>
      <c r="W33" s="7">
        <v>6.4764588253865796</v>
      </c>
      <c r="X33" s="7">
        <v>9.9856523990552795</v>
      </c>
      <c r="Y33" s="7">
        <v>10</v>
      </c>
      <c r="Z33" s="7">
        <v>10</v>
      </c>
      <c r="AA33" s="7">
        <v>10</v>
      </c>
      <c r="AB33" s="7">
        <v>100</v>
      </c>
      <c r="AC33" s="7">
        <v>100</v>
      </c>
      <c r="AD33" s="7">
        <v>100</v>
      </c>
      <c r="AE33" s="7">
        <v>100</v>
      </c>
      <c r="AF33" s="6">
        <v>6.7164725285832603</v>
      </c>
      <c r="AG33" s="6">
        <v>2.5888641903583101</v>
      </c>
      <c r="AH33" s="6">
        <v>7.9916263561387799</v>
      </c>
      <c r="AI33" s="6">
        <v>9.7845902219078802</v>
      </c>
      <c r="AJ33" s="6">
        <v>9.9761420614572405</v>
      </c>
      <c r="AK33" s="6">
        <v>96.589287293026999</v>
      </c>
      <c r="AL33" s="6">
        <v>99.820654988190995</v>
      </c>
      <c r="AM33" s="6">
        <v>100</v>
      </c>
      <c r="AN33" s="6">
        <v>100</v>
      </c>
      <c r="AO33" s="6">
        <v>9.5122448769964496</v>
      </c>
      <c r="AP33" s="7">
        <v>2.44370840016671</v>
      </c>
      <c r="AQ33" s="7">
        <v>9.6204453313462199</v>
      </c>
      <c r="AR33" s="7">
        <v>9.9795584576328995</v>
      </c>
      <c r="AS33" s="7">
        <v>9.9874458491733709</v>
      </c>
      <c r="AT33" s="7">
        <v>82.162749283251401</v>
      </c>
      <c r="AU33" s="7">
        <v>99.820654988190995</v>
      </c>
      <c r="AV33" s="7">
        <v>100</v>
      </c>
      <c r="AW33" s="7">
        <v>100</v>
      </c>
      <c r="AX33" s="7">
        <v>8.9109328505122001</v>
      </c>
      <c r="AY33" s="7">
        <v>5.7993482955908897</v>
      </c>
      <c r="AZ33" s="7">
        <v>9.9533008323124097</v>
      </c>
      <c r="BA33" s="7">
        <v>10</v>
      </c>
      <c r="BB33" s="7">
        <v>10</v>
      </c>
      <c r="BC33" s="7">
        <v>95.683089786175302</v>
      </c>
      <c r="BD33" s="7">
        <v>100</v>
      </c>
      <c r="BE33" s="7">
        <v>100</v>
      </c>
      <c r="BF33" s="7">
        <v>100</v>
      </c>
      <c r="BG33" s="7">
        <v>7.2767111114058602</v>
      </c>
      <c r="BH33" s="7">
        <v>9.84288998067621</v>
      </c>
      <c r="BI33" s="7">
        <v>10</v>
      </c>
      <c r="BJ33" s="7">
        <v>10</v>
      </c>
      <c r="BK33" s="7">
        <v>10</v>
      </c>
      <c r="BL33" s="7">
        <v>100</v>
      </c>
      <c r="BM33" s="7">
        <v>100</v>
      </c>
      <c r="BN33" s="7">
        <v>100</v>
      </c>
      <c r="BO33" s="7">
        <v>100</v>
      </c>
      <c r="BP33" s="6">
        <v>11.6000301858219</v>
      </c>
      <c r="BQ33" s="6">
        <v>1.7735264028695199</v>
      </c>
      <c r="BR33" s="6">
        <v>5.6011341677507396</v>
      </c>
      <c r="BS33" s="6">
        <v>8.6084468974576005</v>
      </c>
      <c r="BT33" s="6">
        <v>9.7822284249213798</v>
      </c>
      <c r="BU33" s="6">
        <v>73.998762266819895</v>
      </c>
      <c r="BV33" s="6">
        <v>94.470616466903294</v>
      </c>
      <c r="BW33" s="6">
        <v>99.243467168495897</v>
      </c>
      <c r="BX33" s="6">
        <v>99.856650289856901</v>
      </c>
      <c r="BY33" s="6" t="str">
        <f>TRIM(Table1[[#This Row],[LA_Name]])</f>
        <v>Rochdale</v>
      </c>
      <c r="BZ33" s="7">
        <v>28.299463525729699</v>
      </c>
      <c r="CA33" s="7">
        <v>6.2126627682281499E-2</v>
      </c>
      <c r="CB33" s="7">
        <v>0.58392588756835995</v>
      </c>
      <c r="CC33" s="7">
        <v>3.0845826439496302</v>
      </c>
      <c r="CD33" s="7">
        <v>8.3541811384619304</v>
      </c>
      <c r="CE33" s="7">
        <v>6.2126627682281503</v>
      </c>
      <c r="CF33" s="7">
        <v>56.818267931343698</v>
      </c>
      <c r="CG33" s="7">
        <v>98.484408350910002</v>
      </c>
      <c r="CH33" s="7">
        <v>99.820654988190995</v>
      </c>
      <c r="CI33" s="7">
        <v>20.6765676688246</v>
      </c>
      <c r="CJ33" s="7">
        <v>0.25830102176136999</v>
      </c>
      <c r="CK33" s="7">
        <v>1.15275269333266</v>
      </c>
      <c r="CL33" s="7">
        <v>4.1590045088851602</v>
      </c>
      <c r="CM33" s="7">
        <v>6.71150712959572</v>
      </c>
      <c r="CN33" s="7">
        <v>25.830102176137</v>
      </c>
      <c r="CO33" s="7">
        <v>89.932050974399104</v>
      </c>
      <c r="CP33" s="7">
        <v>100</v>
      </c>
      <c r="CQ33" s="7">
        <v>100</v>
      </c>
      <c r="CR33" s="7">
        <v>13.409651764916701</v>
      </c>
      <c r="CS33" s="7">
        <v>0.70395443121108403</v>
      </c>
      <c r="CT33" s="7">
        <v>6.4184232794877296</v>
      </c>
      <c r="CU33" s="7">
        <v>9.9982065498819104</v>
      </c>
      <c r="CV33" s="7">
        <v>10</v>
      </c>
      <c r="CW33" s="7">
        <v>67.1558659711785</v>
      </c>
      <c r="CX33" s="7">
        <v>100</v>
      </c>
      <c r="CY33" s="7">
        <v>100</v>
      </c>
      <c r="CZ33" s="7">
        <v>100</v>
      </c>
      <c r="DA33" s="9">
        <v>50.310268330433601</v>
      </c>
      <c r="DB33" s="9">
        <v>4.6130820819177298E-2</v>
      </c>
      <c r="DC33" s="9">
        <v>0.22569054144511699</v>
      </c>
      <c r="DD33" s="9">
        <v>0.432783510362858</v>
      </c>
      <c r="DE33" s="9">
        <v>0.66823698801419595</v>
      </c>
      <c r="DF33" s="9">
        <v>4.6130820819177298</v>
      </c>
      <c r="DG33" s="9">
        <v>22.5690541445117</v>
      </c>
      <c r="DH33" s="9">
        <v>43.131212347020004</v>
      </c>
      <c r="DI33" s="9">
        <v>64.648824784975403</v>
      </c>
    </row>
    <row r="34" spans="1:113">
      <c r="A34" s="5" t="s">
        <v>139</v>
      </c>
      <c r="B34" s="5" t="s">
        <v>178</v>
      </c>
      <c r="C34" s="5" t="s">
        <v>179</v>
      </c>
      <c r="D34" s="6">
        <v>189748</v>
      </c>
      <c r="E34" s="7">
        <v>7.0477164978693896</v>
      </c>
      <c r="F34" s="7">
        <v>3.5943672660581401</v>
      </c>
      <c r="G34" s="7">
        <v>9.8879882791913492</v>
      </c>
      <c r="H34" s="7">
        <v>9.9964584606952407</v>
      </c>
      <c r="I34" s="7">
        <v>9.9964584606952407</v>
      </c>
      <c r="J34" s="7">
        <v>97.889305816135106</v>
      </c>
      <c r="K34" s="7">
        <v>100</v>
      </c>
      <c r="L34" s="7">
        <v>100</v>
      </c>
      <c r="M34" s="7">
        <v>100</v>
      </c>
      <c r="N34" s="7">
        <v>7.50308803257332</v>
      </c>
      <c r="O34" s="7">
        <v>8.7623743069755697</v>
      </c>
      <c r="P34" s="7">
        <v>9.8925838480510997</v>
      </c>
      <c r="Q34" s="7">
        <v>10</v>
      </c>
      <c r="R34" s="7">
        <v>10</v>
      </c>
      <c r="S34" s="7">
        <v>100</v>
      </c>
      <c r="T34" s="7">
        <v>100</v>
      </c>
      <c r="U34" s="7">
        <v>100</v>
      </c>
      <c r="V34" s="7">
        <v>100</v>
      </c>
      <c r="W34" s="7">
        <v>6.6629606617073298</v>
      </c>
      <c r="X34" s="7">
        <v>9.8270864515040994</v>
      </c>
      <c r="Y34" s="7">
        <v>10</v>
      </c>
      <c r="Z34" s="7">
        <v>10</v>
      </c>
      <c r="AA34" s="7">
        <v>10</v>
      </c>
      <c r="AB34" s="7">
        <v>100</v>
      </c>
      <c r="AC34" s="7">
        <v>100</v>
      </c>
      <c r="AD34" s="7">
        <v>100</v>
      </c>
      <c r="AE34" s="7">
        <v>100</v>
      </c>
      <c r="AF34" s="6">
        <v>7.3223879571317196</v>
      </c>
      <c r="AG34" s="6">
        <v>2.7835181398486402</v>
      </c>
      <c r="AH34" s="6">
        <v>8.5676107258047498</v>
      </c>
      <c r="AI34" s="6">
        <v>9.5773604991883996</v>
      </c>
      <c r="AJ34" s="6">
        <v>9.7226268524569406</v>
      </c>
      <c r="AK34" s="6">
        <v>95.0708307860952</v>
      </c>
      <c r="AL34" s="6">
        <v>100</v>
      </c>
      <c r="AM34" s="6">
        <v>100</v>
      </c>
      <c r="AN34" s="6">
        <v>100</v>
      </c>
      <c r="AO34" s="6">
        <v>7.7656484498246101</v>
      </c>
      <c r="AP34" s="7">
        <v>3.02455888863124</v>
      </c>
      <c r="AQ34" s="7">
        <v>9.7296783101798194</v>
      </c>
      <c r="AR34" s="7">
        <v>9.9964584606952407</v>
      </c>
      <c r="AS34" s="7">
        <v>9.9969011531083307</v>
      </c>
      <c r="AT34" s="7">
        <v>95.3280139975125</v>
      </c>
      <c r="AU34" s="7">
        <v>99.955730758690507</v>
      </c>
      <c r="AV34" s="7">
        <v>100</v>
      </c>
      <c r="AW34" s="7">
        <v>100</v>
      </c>
      <c r="AX34" s="7">
        <v>7.7827829478133204</v>
      </c>
      <c r="AY34" s="7">
        <v>7.4290690810970297</v>
      </c>
      <c r="AZ34" s="7">
        <v>9.7769936969032596</v>
      </c>
      <c r="BA34" s="7">
        <v>10</v>
      </c>
      <c r="BB34" s="7">
        <v>10</v>
      </c>
      <c r="BC34" s="7">
        <v>99.955730758690507</v>
      </c>
      <c r="BD34" s="7">
        <v>100</v>
      </c>
      <c r="BE34" s="7">
        <v>100</v>
      </c>
      <c r="BF34" s="7">
        <v>100</v>
      </c>
      <c r="BG34" s="7">
        <v>6.7940134296661103</v>
      </c>
      <c r="BH34" s="7">
        <v>9.6713166937200903</v>
      </c>
      <c r="BI34" s="7">
        <v>10</v>
      </c>
      <c r="BJ34" s="7">
        <v>10</v>
      </c>
      <c r="BK34" s="7">
        <v>10</v>
      </c>
      <c r="BL34" s="7">
        <v>100</v>
      </c>
      <c r="BM34" s="7">
        <v>100</v>
      </c>
      <c r="BN34" s="7">
        <v>100</v>
      </c>
      <c r="BO34" s="7">
        <v>100</v>
      </c>
      <c r="BP34" s="6">
        <v>8.1241176847559196</v>
      </c>
      <c r="BQ34" s="6">
        <v>2.30953158926576</v>
      </c>
      <c r="BR34" s="6">
        <v>7.2511963235449102</v>
      </c>
      <c r="BS34" s="6">
        <v>9.2646668212576699</v>
      </c>
      <c r="BT34" s="6">
        <v>9.5935135021186007</v>
      </c>
      <c r="BU34" s="6">
        <v>91.237325294601305</v>
      </c>
      <c r="BV34" s="6">
        <v>99.955730758690507</v>
      </c>
      <c r="BW34" s="6">
        <v>100</v>
      </c>
      <c r="BX34" s="6">
        <v>100</v>
      </c>
      <c r="BY34" s="6" t="str">
        <f>TRIM(Table1[[#This Row],[LA_Name]])</f>
        <v>Salford</v>
      </c>
      <c r="BZ34" s="7">
        <v>22.1027799125747</v>
      </c>
      <c r="CA34" s="7">
        <v>0.44335645171490601</v>
      </c>
      <c r="CB34" s="7">
        <v>3.9254221388367698</v>
      </c>
      <c r="CC34" s="7">
        <v>8.6363281826422398</v>
      </c>
      <c r="CD34" s="7">
        <v>9.9607901005544193</v>
      </c>
      <c r="CE34" s="7">
        <v>24.1288445728018</v>
      </c>
      <c r="CF34" s="7">
        <v>79.7336467314544</v>
      </c>
      <c r="CG34" s="7">
        <v>99.862976157851506</v>
      </c>
      <c r="CH34" s="7">
        <v>99.955730758690507</v>
      </c>
      <c r="CI34" s="7">
        <v>17.9132925596567</v>
      </c>
      <c r="CJ34" s="7">
        <v>1.74824504079094</v>
      </c>
      <c r="CK34" s="7">
        <v>6.0831734721841597</v>
      </c>
      <c r="CL34" s="7">
        <v>8.8387018572000802</v>
      </c>
      <c r="CM34" s="7">
        <v>9.9982292303476203</v>
      </c>
      <c r="CN34" s="7">
        <v>41.954592406771098</v>
      </c>
      <c r="CO34" s="7">
        <v>90.510571916436504</v>
      </c>
      <c r="CP34" s="7">
        <v>99.803423487994607</v>
      </c>
      <c r="CQ34" s="7">
        <v>100</v>
      </c>
      <c r="CR34" s="7">
        <v>11.7957247062535</v>
      </c>
      <c r="CS34" s="7">
        <v>3.7272435019077901</v>
      </c>
      <c r="CT34" s="7">
        <v>9.9976284335012693</v>
      </c>
      <c r="CU34" s="7">
        <v>10</v>
      </c>
      <c r="CV34" s="7">
        <v>10</v>
      </c>
      <c r="CW34" s="7">
        <v>79.783713135316304</v>
      </c>
      <c r="CX34" s="7">
        <v>100</v>
      </c>
      <c r="CY34" s="7">
        <v>100</v>
      </c>
      <c r="CZ34" s="7">
        <v>100</v>
      </c>
      <c r="DA34" s="9">
        <v>39.889934856109001</v>
      </c>
      <c r="DB34" s="9">
        <v>0.34509981659885702</v>
      </c>
      <c r="DC34" s="9">
        <v>1.5767913232287001</v>
      </c>
      <c r="DD34" s="9">
        <v>3.14956152370512</v>
      </c>
      <c r="DE34" s="9">
        <v>4.5050277209773002</v>
      </c>
      <c r="DF34" s="9">
        <v>21.738832556864899</v>
      </c>
      <c r="DG34" s="9">
        <v>40.735080211649098</v>
      </c>
      <c r="DH34" s="9">
        <v>62.532411408815904</v>
      </c>
      <c r="DI34" s="9">
        <v>78.553133629867006</v>
      </c>
    </row>
    <row r="35" spans="1:113">
      <c r="A35" s="5" t="s">
        <v>139</v>
      </c>
      <c r="B35" s="5" t="s">
        <v>180</v>
      </c>
      <c r="C35" s="5" t="s">
        <v>181</v>
      </c>
      <c r="D35" s="6">
        <v>208209</v>
      </c>
      <c r="E35" s="7">
        <v>6.8216219323801504</v>
      </c>
      <c r="F35" s="7">
        <v>3.7189602754924098</v>
      </c>
      <c r="G35" s="7">
        <v>9.9843042327661191</v>
      </c>
      <c r="H35" s="7">
        <v>10</v>
      </c>
      <c r="I35" s="7">
        <v>10</v>
      </c>
      <c r="J35" s="7">
        <v>97.286380511889504</v>
      </c>
      <c r="K35" s="7">
        <v>100</v>
      </c>
      <c r="L35" s="7">
        <v>100</v>
      </c>
      <c r="M35" s="7">
        <v>100</v>
      </c>
      <c r="N35" s="7">
        <v>7.3980858188077701</v>
      </c>
      <c r="O35" s="7">
        <v>8.9776426571377801</v>
      </c>
      <c r="P35" s="7">
        <v>10</v>
      </c>
      <c r="Q35" s="7">
        <v>10</v>
      </c>
      <c r="R35" s="7">
        <v>10</v>
      </c>
      <c r="S35" s="7">
        <v>99.846788563414606</v>
      </c>
      <c r="T35" s="7">
        <v>100</v>
      </c>
      <c r="U35" s="7">
        <v>100</v>
      </c>
      <c r="V35" s="7">
        <v>100</v>
      </c>
      <c r="W35" s="7">
        <v>6.6082089089894502</v>
      </c>
      <c r="X35" s="7">
        <v>9.9962729757119106</v>
      </c>
      <c r="Y35" s="7">
        <v>10</v>
      </c>
      <c r="Z35" s="7">
        <v>10</v>
      </c>
      <c r="AA35" s="7">
        <v>10</v>
      </c>
      <c r="AB35" s="7">
        <v>100</v>
      </c>
      <c r="AC35" s="7">
        <v>100</v>
      </c>
      <c r="AD35" s="7">
        <v>100</v>
      </c>
      <c r="AE35" s="7">
        <v>100</v>
      </c>
      <c r="AF35" s="6">
        <v>6.9552477610272501</v>
      </c>
      <c r="AG35" s="6">
        <v>2.9635894701958101</v>
      </c>
      <c r="AH35" s="6">
        <v>8.9381438842701293</v>
      </c>
      <c r="AI35" s="6">
        <v>9.9289848181394706</v>
      </c>
      <c r="AJ35" s="6">
        <v>10</v>
      </c>
      <c r="AK35" s="6">
        <v>96.471334092186197</v>
      </c>
      <c r="AL35" s="6">
        <v>99.846788563414606</v>
      </c>
      <c r="AM35" s="6">
        <v>100</v>
      </c>
      <c r="AN35" s="6">
        <v>100</v>
      </c>
      <c r="AO35" s="6">
        <v>10.3592097755769</v>
      </c>
      <c r="AP35" s="7">
        <v>2.1417662060717801</v>
      </c>
      <c r="AQ35" s="7">
        <v>9.0204890278518199</v>
      </c>
      <c r="AR35" s="7">
        <v>9.9746552742676808</v>
      </c>
      <c r="AS35" s="7">
        <v>9.9941405030522201</v>
      </c>
      <c r="AT35" s="7">
        <v>79.9038466156602</v>
      </c>
      <c r="AU35" s="7">
        <v>100</v>
      </c>
      <c r="AV35" s="7">
        <v>100</v>
      </c>
      <c r="AW35" s="7">
        <v>100</v>
      </c>
      <c r="AX35" s="7">
        <v>9.0271854758636501</v>
      </c>
      <c r="AY35" s="7">
        <v>6.2861595800373697</v>
      </c>
      <c r="AZ35" s="7">
        <v>9.8823826059392204</v>
      </c>
      <c r="BA35" s="7">
        <v>10</v>
      </c>
      <c r="BB35" s="7">
        <v>10</v>
      </c>
      <c r="BC35" s="7">
        <v>96.978997065448695</v>
      </c>
      <c r="BD35" s="7">
        <v>100</v>
      </c>
      <c r="BE35" s="7">
        <v>100</v>
      </c>
      <c r="BF35" s="7">
        <v>100</v>
      </c>
      <c r="BG35" s="7">
        <v>7.5185695646068096</v>
      </c>
      <c r="BH35" s="7">
        <v>9.3650562655792999</v>
      </c>
      <c r="BI35" s="7">
        <v>10</v>
      </c>
      <c r="BJ35" s="7">
        <v>10</v>
      </c>
      <c r="BK35" s="7">
        <v>10</v>
      </c>
      <c r="BL35" s="7">
        <v>100</v>
      </c>
      <c r="BM35" s="7">
        <v>100</v>
      </c>
      <c r="BN35" s="7">
        <v>100</v>
      </c>
      <c r="BO35" s="7">
        <v>100</v>
      </c>
      <c r="BP35" s="6">
        <v>11.819142886974801</v>
      </c>
      <c r="BQ35" s="6">
        <v>1.58905714930671</v>
      </c>
      <c r="BR35" s="6">
        <v>6.1186500103261601</v>
      </c>
      <c r="BS35" s="6">
        <v>8.4871883540096693</v>
      </c>
      <c r="BT35" s="6">
        <v>9.3933115283200994</v>
      </c>
      <c r="BU35" s="6">
        <v>72.006013188671005</v>
      </c>
      <c r="BV35" s="6">
        <v>98.490459105994503</v>
      </c>
      <c r="BW35" s="6">
        <v>99.755053816117496</v>
      </c>
      <c r="BX35" s="6">
        <v>100</v>
      </c>
      <c r="BY35" s="6" t="str">
        <f>TRIM(Table1[[#This Row],[LA_Name]])</f>
        <v>Stockport</v>
      </c>
      <c r="BZ35" s="7">
        <v>22.650755564290701</v>
      </c>
      <c r="CA35" s="7">
        <v>0.19676382865294001</v>
      </c>
      <c r="CB35" s="7">
        <v>2.5554899163821001</v>
      </c>
      <c r="CC35" s="7">
        <v>8.2882728412316506</v>
      </c>
      <c r="CD35" s="7">
        <v>9.8976172980034498</v>
      </c>
      <c r="CE35" s="7">
        <v>16.254340590464398</v>
      </c>
      <c r="CF35" s="7">
        <v>85.157702116623199</v>
      </c>
      <c r="CG35" s="7">
        <v>99.660917635645006</v>
      </c>
      <c r="CH35" s="7">
        <v>99.853512576305505</v>
      </c>
      <c r="CI35" s="7">
        <v>16.4077596378545</v>
      </c>
      <c r="CJ35" s="7">
        <v>0.80267903885038605</v>
      </c>
      <c r="CK35" s="7">
        <v>4.4363884366189703</v>
      </c>
      <c r="CL35" s="7">
        <v>8.5066543713288105</v>
      </c>
      <c r="CM35" s="7">
        <v>9.7540452141838205</v>
      </c>
      <c r="CN35" s="7">
        <v>44.1998184516519</v>
      </c>
      <c r="CO35" s="7">
        <v>97.614896570273103</v>
      </c>
      <c r="CP35" s="7">
        <v>100</v>
      </c>
      <c r="CQ35" s="7">
        <v>100</v>
      </c>
      <c r="CR35" s="7">
        <v>11.575989599569899</v>
      </c>
      <c r="CS35" s="7">
        <v>2.3503594945463502</v>
      </c>
      <c r="CT35" s="7">
        <v>9.6255877507696592</v>
      </c>
      <c r="CU35" s="7">
        <v>10</v>
      </c>
      <c r="CV35" s="7">
        <v>10</v>
      </c>
      <c r="CW35" s="7">
        <v>83.065573534285306</v>
      </c>
      <c r="CX35" s="7">
        <v>100</v>
      </c>
      <c r="CY35" s="7">
        <v>100</v>
      </c>
      <c r="CZ35" s="7">
        <v>100</v>
      </c>
      <c r="DA35" s="9">
        <v>35.136260556846601</v>
      </c>
      <c r="DB35" s="9">
        <v>0.15944555710848199</v>
      </c>
      <c r="DC35" s="9">
        <v>0.73359941212915902</v>
      </c>
      <c r="DD35" s="9">
        <v>1.66414516183258</v>
      </c>
      <c r="DE35" s="9">
        <v>2.6657781363918001</v>
      </c>
      <c r="DF35" s="9">
        <v>13.5445633954344</v>
      </c>
      <c r="DG35" s="9">
        <v>43.122055242568798</v>
      </c>
      <c r="DH35" s="9">
        <v>70.8590887041386</v>
      </c>
      <c r="DI35" s="9">
        <v>90.514338957489798</v>
      </c>
    </row>
    <row r="36" spans="1:113">
      <c r="A36" s="5" t="s">
        <v>139</v>
      </c>
      <c r="B36" s="5" t="s">
        <v>182</v>
      </c>
      <c r="C36" s="5" t="s">
        <v>183</v>
      </c>
      <c r="D36" s="6">
        <v>163267</v>
      </c>
      <c r="E36" s="7">
        <v>6.7031206008339002</v>
      </c>
      <c r="F36" s="7">
        <v>4.0757960886155802</v>
      </c>
      <c r="G36" s="7">
        <v>9.9949898019808003</v>
      </c>
      <c r="H36" s="7">
        <v>10</v>
      </c>
      <c r="I36" s="7">
        <v>10</v>
      </c>
      <c r="J36" s="7">
        <v>97.881996974281407</v>
      </c>
      <c r="K36" s="7">
        <v>100</v>
      </c>
      <c r="L36" s="7">
        <v>100</v>
      </c>
      <c r="M36" s="7">
        <v>100</v>
      </c>
      <c r="N36" s="7">
        <v>7.3537521223284301</v>
      </c>
      <c r="O36" s="7">
        <v>8.7397085755235295</v>
      </c>
      <c r="P36" s="7">
        <v>10</v>
      </c>
      <c r="Q36" s="7">
        <v>10</v>
      </c>
      <c r="R36" s="7">
        <v>10</v>
      </c>
      <c r="S36" s="7">
        <v>100</v>
      </c>
      <c r="T36" s="7">
        <v>100</v>
      </c>
      <c r="U36" s="7">
        <v>100</v>
      </c>
      <c r="V36" s="7">
        <v>100</v>
      </c>
      <c r="W36" s="7">
        <v>6.4998808728551696</v>
      </c>
      <c r="X36" s="7">
        <v>9.9916394617405793</v>
      </c>
      <c r="Y36" s="7">
        <v>10</v>
      </c>
      <c r="Z36" s="7">
        <v>10</v>
      </c>
      <c r="AA36" s="7">
        <v>10</v>
      </c>
      <c r="AB36" s="7">
        <v>100</v>
      </c>
      <c r="AC36" s="7">
        <v>100</v>
      </c>
      <c r="AD36" s="7">
        <v>100</v>
      </c>
      <c r="AE36" s="7">
        <v>100</v>
      </c>
      <c r="AF36" s="6">
        <v>6.9325201651830897</v>
      </c>
      <c r="AG36" s="6">
        <v>3.11539992772575</v>
      </c>
      <c r="AH36" s="6">
        <v>8.8123503218654093</v>
      </c>
      <c r="AI36" s="6">
        <v>9.9117274158280608</v>
      </c>
      <c r="AJ36" s="6">
        <v>10</v>
      </c>
      <c r="AK36" s="6">
        <v>95.237861907182705</v>
      </c>
      <c r="AL36" s="6">
        <v>100</v>
      </c>
      <c r="AM36" s="6">
        <v>100</v>
      </c>
      <c r="AN36" s="6">
        <v>100</v>
      </c>
      <c r="AO36" s="6">
        <v>10.017512808336701</v>
      </c>
      <c r="AP36" s="7">
        <v>2.00042874555177</v>
      </c>
      <c r="AQ36" s="7">
        <v>9.5338494613118403</v>
      </c>
      <c r="AR36" s="7">
        <v>10</v>
      </c>
      <c r="AS36" s="7">
        <v>10</v>
      </c>
      <c r="AT36" s="7">
        <v>81.655815320916005</v>
      </c>
      <c r="AU36" s="7">
        <v>100</v>
      </c>
      <c r="AV36" s="7">
        <v>100</v>
      </c>
      <c r="AW36" s="7">
        <v>100</v>
      </c>
      <c r="AX36" s="7">
        <v>8.8789846106796997</v>
      </c>
      <c r="AY36" s="7">
        <v>5.7700208860333104</v>
      </c>
      <c r="AZ36" s="7">
        <v>10</v>
      </c>
      <c r="BA36" s="7">
        <v>10</v>
      </c>
      <c r="BB36" s="7">
        <v>10</v>
      </c>
      <c r="BC36" s="7">
        <v>96.870157472116205</v>
      </c>
      <c r="BD36" s="7">
        <v>100</v>
      </c>
      <c r="BE36" s="7">
        <v>100</v>
      </c>
      <c r="BF36" s="7">
        <v>100</v>
      </c>
      <c r="BG36" s="7">
        <v>7.2936700663894003</v>
      </c>
      <c r="BH36" s="7">
        <v>9.8318398696613496</v>
      </c>
      <c r="BI36" s="7">
        <v>10</v>
      </c>
      <c r="BJ36" s="7">
        <v>10</v>
      </c>
      <c r="BK36" s="7">
        <v>10</v>
      </c>
      <c r="BL36" s="7">
        <v>100</v>
      </c>
      <c r="BM36" s="7">
        <v>100</v>
      </c>
      <c r="BN36" s="7">
        <v>100</v>
      </c>
      <c r="BO36" s="7">
        <v>100</v>
      </c>
      <c r="BP36" s="6">
        <v>11.598724138223099</v>
      </c>
      <c r="BQ36" s="6">
        <v>1.42790031053428</v>
      </c>
      <c r="BR36" s="6">
        <v>5.5599906900965896</v>
      </c>
      <c r="BS36" s="6">
        <v>8.8123380719924995</v>
      </c>
      <c r="BT36" s="6">
        <v>9.6932876821402996</v>
      </c>
      <c r="BU36" s="6">
        <v>72.072127251679802</v>
      </c>
      <c r="BV36" s="6">
        <v>97.346065034575304</v>
      </c>
      <c r="BW36" s="6">
        <v>100</v>
      </c>
      <c r="BX36" s="6">
        <v>100</v>
      </c>
      <c r="BY36" s="6" t="str">
        <f>TRIM(Table1[[#This Row],[LA_Name]])</f>
        <v>Tameside</v>
      </c>
      <c r="BZ36" s="7">
        <v>22.911436210922599</v>
      </c>
      <c r="CA36" s="7">
        <v>0.18839692038195099</v>
      </c>
      <c r="CB36" s="7">
        <v>1.7127466052539699</v>
      </c>
      <c r="CC36" s="7">
        <v>7.3562079293427303</v>
      </c>
      <c r="CD36" s="7">
        <v>9.9008495286861393</v>
      </c>
      <c r="CE36" s="7">
        <v>16.984448786343801</v>
      </c>
      <c r="CF36" s="7">
        <v>81.968799573704402</v>
      </c>
      <c r="CG36" s="7">
        <v>99.665578469623398</v>
      </c>
      <c r="CH36" s="7">
        <v>100</v>
      </c>
      <c r="CI36" s="7">
        <v>18.1203951731279</v>
      </c>
      <c r="CJ36" s="7">
        <v>0.46076671954528498</v>
      </c>
      <c r="CK36" s="7">
        <v>3.0864167284264399</v>
      </c>
      <c r="CL36" s="7">
        <v>7.2956323078148104</v>
      </c>
      <c r="CM36" s="7">
        <v>9.5730184299337893</v>
      </c>
      <c r="CN36" s="7">
        <v>30.9125542822493</v>
      </c>
      <c r="CO36" s="7">
        <v>95.569833462977797</v>
      </c>
      <c r="CP36" s="7">
        <v>100</v>
      </c>
      <c r="CQ36" s="7">
        <v>100</v>
      </c>
      <c r="CR36" s="7">
        <v>12.565178439248101</v>
      </c>
      <c r="CS36" s="7">
        <v>1.41195710094508</v>
      </c>
      <c r="CT36" s="7">
        <v>9.2438275952886997</v>
      </c>
      <c r="CU36" s="7">
        <v>10</v>
      </c>
      <c r="CV36" s="7">
        <v>10</v>
      </c>
      <c r="CW36" s="7">
        <v>79.405513667795702</v>
      </c>
      <c r="CX36" s="7">
        <v>100</v>
      </c>
      <c r="CY36" s="7">
        <v>100</v>
      </c>
      <c r="CZ36" s="7">
        <v>100</v>
      </c>
      <c r="DA36" s="9">
        <v>40.268425855333</v>
      </c>
      <c r="DB36" s="9">
        <v>0.130087525341925</v>
      </c>
      <c r="DC36" s="9">
        <v>0.43467449025216398</v>
      </c>
      <c r="DD36" s="9">
        <v>0.91232765960053197</v>
      </c>
      <c r="DE36" s="9">
        <v>1.5036902742134099</v>
      </c>
      <c r="DF36" s="9">
        <v>11.766615421365</v>
      </c>
      <c r="DG36" s="9">
        <v>30.806592881598899</v>
      </c>
      <c r="DH36" s="9">
        <v>58.123809465476803</v>
      </c>
      <c r="DI36" s="9">
        <v>87.457355129940495</v>
      </c>
    </row>
    <row r="37" spans="1:113">
      <c r="A37" s="5" t="s">
        <v>139</v>
      </c>
      <c r="B37" s="5" t="s">
        <v>184</v>
      </c>
      <c r="C37" s="5" t="s">
        <v>185</v>
      </c>
      <c r="D37" s="6">
        <v>166801</v>
      </c>
      <c r="E37" s="7">
        <v>7.7377546875266798</v>
      </c>
      <c r="F37" s="7">
        <v>3.8726866145886398</v>
      </c>
      <c r="G37" s="7">
        <v>9.7727231851128007</v>
      </c>
      <c r="H37" s="7">
        <v>10</v>
      </c>
      <c r="I37" s="7">
        <v>10</v>
      </c>
      <c r="J37" s="7">
        <v>90.664924071198598</v>
      </c>
      <c r="K37" s="7">
        <v>100</v>
      </c>
      <c r="L37" s="7">
        <v>100</v>
      </c>
      <c r="M37" s="7">
        <v>100</v>
      </c>
      <c r="N37" s="7">
        <v>7.75508858248332</v>
      </c>
      <c r="O37" s="7">
        <v>8.7468060743041107</v>
      </c>
      <c r="P37" s="7">
        <v>9.9138854083608603</v>
      </c>
      <c r="Q37" s="7">
        <v>10</v>
      </c>
      <c r="R37" s="7">
        <v>10</v>
      </c>
      <c r="S37" s="7">
        <v>99.332737813322495</v>
      </c>
      <c r="T37" s="7">
        <v>100</v>
      </c>
      <c r="U37" s="7">
        <v>100</v>
      </c>
      <c r="V37" s="7">
        <v>100</v>
      </c>
      <c r="W37" s="7">
        <v>6.7043885914000301</v>
      </c>
      <c r="X37" s="7">
        <v>9.8412059879736908</v>
      </c>
      <c r="Y37" s="7">
        <v>10</v>
      </c>
      <c r="Z37" s="7">
        <v>10</v>
      </c>
      <c r="AA37" s="7">
        <v>10</v>
      </c>
      <c r="AB37" s="7">
        <v>100</v>
      </c>
      <c r="AC37" s="7">
        <v>100</v>
      </c>
      <c r="AD37" s="7">
        <v>100</v>
      </c>
      <c r="AE37" s="7">
        <v>100</v>
      </c>
      <c r="AF37" s="6">
        <v>8.2093263846247808</v>
      </c>
      <c r="AG37" s="6">
        <v>3.1690817201335699</v>
      </c>
      <c r="AH37" s="6">
        <v>8.5995287798034798</v>
      </c>
      <c r="AI37" s="6">
        <v>9.5977841859461304</v>
      </c>
      <c r="AJ37" s="6">
        <v>9.7689402341712608</v>
      </c>
      <c r="AK37" s="6">
        <v>88.329806176221993</v>
      </c>
      <c r="AL37" s="6">
        <v>98.9838190418523</v>
      </c>
      <c r="AM37" s="6">
        <v>99.806356077001894</v>
      </c>
      <c r="AN37" s="6">
        <v>100</v>
      </c>
      <c r="AO37" s="6">
        <v>9.8788713480486408</v>
      </c>
      <c r="AP37" s="7">
        <v>2.1925587976091299</v>
      </c>
      <c r="AQ37" s="7">
        <v>9.7583108014939999</v>
      </c>
      <c r="AR37" s="7">
        <v>10</v>
      </c>
      <c r="AS37" s="7">
        <v>10</v>
      </c>
      <c r="AT37" s="7">
        <v>81.386202720607201</v>
      </c>
      <c r="AU37" s="7">
        <v>100</v>
      </c>
      <c r="AV37" s="7">
        <v>100</v>
      </c>
      <c r="AW37" s="7">
        <v>100</v>
      </c>
      <c r="AX37" s="7">
        <v>8.5310450283139101</v>
      </c>
      <c r="AY37" s="7">
        <v>6.6046246725139497</v>
      </c>
      <c r="AZ37" s="7">
        <v>9.9537173038530895</v>
      </c>
      <c r="BA37" s="7">
        <v>10</v>
      </c>
      <c r="BB37" s="7">
        <v>10</v>
      </c>
      <c r="BC37" s="7">
        <v>99.557556609372796</v>
      </c>
      <c r="BD37" s="7">
        <v>100</v>
      </c>
      <c r="BE37" s="7">
        <v>100</v>
      </c>
      <c r="BF37" s="7">
        <v>100</v>
      </c>
      <c r="BG37" s="7">
        <v>7.1349747451702301</v>
      </c>
      <c r="BH37" s="7">
        <v>9.7895276407215803</v>
      </c>
      <c r="BI37" s="7">
        <v>10</v>
      </c>
      <c r="BJ37" s="7">
        <v>10</v>
      </c>
      <c r="BK37" s="7">
        <v>10</v>
      </c>
      <c r="BL37" s="7">
        <v>100</v>
      </c>
      <c r="BM37" s="7">
        <v>100</v>
      </c>
      <c r="BN37" s="7">
        <v>100</v>
      </c>
      <c r="BO37" s="7">
        <v>100</v>
      </c>
      <c r="BP37" s="6">
        <v>10.683514491098199</v>
      </c>
      <c r="BQ37" s="6">
        <v>1.7117643179597199</v>
      </c>
      <c r="BR37" s="6">
        <v>6.1438780343043504</v>
      </c>
      <c r="BS37" s="6">
        <v>9.1546333655074008</v>
      </c>
      <c r="BT37" s="6">
        <v>9.5535038758760393</v>
      </c>
      <c r="BU37" s="6">
        <v>75.551105808718205</v>
      </c>
      <c r="BV37" s="6">
        <v>99.691848370213606</v>
      </c>
      <c r="BW37" s="6">
        <v>100</v>
      </c>
      <c r="BX37" s="6">
        <v>100</v>
      </c>
      <c r="BY37" s="6" t="str">
        <f>TRIM(Table1[[#This Row],[LA_Name]])</f>
        <v>Trafford</v>
      </c>
      <c r="BZ37" s="7">
        <v>20.573019108491501</v>
      </c>
      <c r="CA37" s="7">
        <v>0.27798394494037798</v>
      </c>
      <c r="CB37" s="7">
        <v>3.0339086696122899</v>
      </c>
      <c r="CC37" s="7">
        <v>7.7830528593953296</v>
      </c>
      <c r="CD37" s="7">
        <v>9.9248205946007495</v>
      </c>
      <c r="CE37" s="7">
        <v>24.477071480386801</v>
      </c>
      <c r="CF37" s="7">
        <v>88.171533743802499</v>
      </c>
      <c r="CG37" s="7">
        <v>100</v>
      </c>
      <c r="CH37" s="7">
        <v>100</v>
      </c>
      <c r="CI37" s="7">
        <v>14.9452748853894</v>
      </c>
      <c r="CJ37" s="7">
        <v>1.1459883334032801</v>
      </c>
      <c r="CK37" s="7">
        <v>5.3675877242942196</v>
      </c>
      <c r="CL37" s="7">
        <v>9.1668275370051706</v>
      </c>
      <c r="CM37" s="7">
        <v>9.9968045755121402</v>
      </c>
      <c r="CN37" s="7">
        <v>56.345585458120802</v>
      </c>
      <c r="CO37" s="7">
        <v>97.312366232816302</v>
      </c>
      <c r="CP37" s="7">
        <v>100</v>
      </c>
      <c r="CQ37" s="7">
        <v>100</v>
      </c>
      <c r="CR37" s="7">
        <v>10.872593643955501</v>
      </c>
      <c r="CS37" s="7">
        <v>2.9284356808412402</v>
      </c>
      <c r="CT37" s="7">
        <v>9.9652400165466606</v>
      </c>
      <c r="CU37" s="7">
        <v>10</v>
      </c>
      <c r="CV37" s="7">
        <v>10</v>
      </c>
      <c r="CW37" s="7">
        <v>90.1061744234147</v>
      </c>
      <c r="CX37" s="7">
        <v>100</v>
      </c>
      <c r="CY37" s="7">
        <v>100</v>
      </c>
      <c r="CZ37" s="7">
        <v>100</v>
      </c>
      <c r="DA37" s="9">
        <v>30.482774646940101</v>
      </c>
      <c r="DB37" s="9">
        <v>0.22922524445297099</v>
      </c>
      <c r="DC37" s="9">
        <v>1.0371220796038401</v>
      </c>
      <c r="DD37" s="9">
        <v>2.2774144039903801</v>
      </c>
      <c r="DE37" s="9">
        <v>3.5366034975809502</v>
      </c>
      <c r="DF37" s="9">
        <v>20.811026312791899</v>
      </c>
      <c r="DG37" s="9">
        <v>54.5194573174022</v>
      </c>
      <c r="DH37" s="9">
        <v>78.230346340849295</v>
      </c>
      <c r="DI37" s="9">
        <v>96.036594504829097</v>
      </c>
    </row>
    <row r="38" spans="1:113">
      <c r="A38" s="5" t="s">
        <v>139</v>
      </c>
      <c r="B38" s="5" t="s">
        <v>186</v>
      </c>
      <c r="C38" s="5" t="s">
        <v>187</v>
      </c>
      <c r="D38" s="6">
        <v>239935</v>
      </c>
      <c r="E38" s="7">
        <v>6.7358344473652298</v>
      </c>
      <c r="F38" s="7">
        <v>3.6599203951070098</v>
      </c>
      <c r="G38" s="7">
        <v>9.9646195844707908</v>
      </c>
      <c r="H38" s="7">
        <v>9.9983412174130493</v>
      </c>
      <c r="I38" s="7">
        <v>10</v>
      </c>
      <c r="J38" s="7">
        <v>98.384979265217694</v>
      </c>
      <c r="K38" s="7">
        <v>99.917060870652506</v>
      </c>
      <c r="L38" s="7">
        <v>100</v>
      </c>
      <c r="M38" s="7">
        <v>100</v>
      </c>
      <c r="N38" s="7">
        <v>7.3156471891357704</v>
      </c>
      <c r="O38" s="7">
        <v>7.4245899931231403</v>
      </c>
      <c r="P38" s="7">
        <v>10</v>
      </c>
      <c r="Q38" s="7">
        <v>10</v>
      </c>
      <c r="R38" s="7">
        <v>10</v>
      </c>
      <c r="S38" s="7">
        <v>99.917060870652506</v>
      </c>
      <c r="T38" s="7">
        <v>100</v>
      </c>
      <c r="U38" s="7">
        <v>100</v>
      </c>
      <c r="V38" s="7">
        <v>100</v>
      </c>
      <c r="W38" s="7">
        <v>6.4409041159305103</v>
      </c>
      <c r="X38" s="7">
        <v>9.9988580240481806</v>
      </c>
      <c r="Y38" s="7">
        <v>10</v>
      </c>
      <c r="Z38" s="7">
        <v>10</v>
      </c>
      <c r="AA38" s="7">
        <v>10</v>
      </c>
      <c r="AB38" s="7">
        <v>100</v>
      </c>
      <c r="AC38" s="7">
        <v>100</v>
      </c>
      <c r="AD38" s="7">
        <v>100</v>
      </c>
      <c r="AE38" s="7">
        <v>100</v>
      </c>
      <c r="AF38" s="6">
        <v>6.8846946789487502</v>
      </c>
      <c r="AG38" s="6">
        <v>2.4696688686519299</v>
      </c>
      <c r="AH38" s="6">
        <v>7.46869360451789</v>
      </c>
      <c r="AI38" s="6">
        <v>9.6972430033133996</v>
      </c>
      <c r="AJ38" s="6">
        <v>9.9985704461624998</v>
      </c>
      <c r="AK38" s="6">
        <v>96.683268385187702</v>
      </c>
      <c r="AL38" s="6">
        <v>99.839123095838502</v>
      </c>
      <c r="AM38" s="6">
        <v>100</v>
      </c>
      <c r="AN38" s="6">
        <v>100</v>
      </c>
      <c r="AO38" s="6">
        <v>10.7011683015886</v>
      </c>
      <c r="AP38" s="7">
        <v>1.75220372184133</v>
      </c>
      <c r="AQ38" s="7">
        <v>8.9891345572759302</v>
      </c>
      <c r="AR38" s="7">
        <v>9.9941942609456706</v>
      </c>
      <c r="AS38" s="7">
        <v>9.9983412174130493</v>
      </c>
      <c r="AT38" s="7">
        <v>79.483610144414101</v>
      </c>
      <c r="AU38" s="7">
        <v>99.917060870652506</v>
      </c>
      <c r="AV38" s="7">
        <v>100</v>
      </c>
      <c r="AW38" s="7">
        <v>100</v>
      </c>
      <c r="AX38" s="7">
        <v>9.2441847926551297</v>
      </c>
      <c r="AY38" s="7">
        <v>3.9069831412674301</v>
      </c>
      <c r="AZ38" s="7">
        <v>9.92434617708963</v>
      </c>
      <c r="BA38" s="7">
        <v>10</v>
      </c>
      <c r="BB38" s="7">
        <v>10</v>
      </c>
      <c r="BC38" s="7">
        <v>96.324004417863193</v>
      </c>
      <c r="BD38" s="7">
        <v>100</v>
      </c>
      <c r="BE38" s="7">
        <v>100</v>
      </c>
      <c r="BF38" s="7">
        <v>100</v>
      </c>
      <c r="BG38" s="7">
        <v>7.5104044498072602</v>
      </c>
      <c r="BH38" s="7">
        <v>9.3983453852084899</v>
      </c>
      <c r="BI38" s="7">
        <v>10</v>
      </c>
      <c r="BJ38" s="7">
        <v>10</v>
      </c>
      <c r="BK38" s="7">
        <v>10</v>
      </c>
      <c r="BL38" s="7">
        <v>100</v>
      </c>
      <c r="BM38" s="7">
        <v>100</v>
      </c>
      <c r="BN38" s="7">
        <v>100</v>
      </c>
      <c r="BO38" s="7">
        <v>100</v>
      </c>
      <c r="BP38" s="6">
        <v>12.3548684082443</v>
      </c>
      <c r="BQ38" s="6">
        <v>1.1807572884322799</v>
      </c>
      <c r="BR38" s="6">
        <v>3.8087940483881102</v>
      </c>
      <c r="BS38" s="6">
        <v>6.9040240065017597</v>
      </c>
      <c r="BT38" s="6">
        <v>9.3080375935149107</v>
      </c>
      <c r="BU38" s="6">
        <v>69.599683247546196</v>
      </c>
      <c r="BV38" s="6">
        <v>97.015858461666696</v>
      </c>
      <c r="BW38" s="6">
        <v>100</v>
      </c>
      <c r="BX38" s="6">
        <v>100</v>
      </c>
      <c r="BY38" s="6" t="str">
        <f>TRIM(Table1[[#This Row],[LA_Name]])</f>
        <v>Wigan</v>
      </c>
      <c r="BZ38" s="7">
        <v>30.485265621221899</v>
      </c>
      <c r="CA38" s="7">
        <v>9.1120511805280593E-2</v>
      </c>
      <c r="CB38" s="7">
        <v>1.002859107675</v>
      </c>
      <c r="CC38" s="7">
        <v>3.9030529101631699</v>
      </c>
      <c r="CD38" s="7">
        <v>8.8156417363035793</v>
      </c>
      <c r="CE38" s="7">
        <v>8.5364786296288599</v>
      </c>
      <c r="CF38" s="7">
        <v>50.528684852147499</v>
      </c>
      <c r="CG38" s="7">
        <v>89.059953737470593</v>
      </c>
      <c r="CH38" s="7">
        <v>99.917060870652506</v>
      </c>
      <c r="CI38" s="7">
        <v>25.064536132355801</v>
      </c>
      <c r="CJ38" s="7">
        <v>0.36682434826098698</v>
      </c>
      <c r="CK38" s="7">
        <v>1.7732344176547801</v>
      </c>
      <c r="CL38" s="7">
        <v>4.3569591764436204</v>
      </c>
      <c r="CM38" s="7">
        <v>8.8415237460145395</v>
      </c>
      <c r="CN38" s="7">
        <v>18.920540979848699</v>
      </c>
      <c r="CO38" s="7">
        <v>66.856440285910793</v>
      </c>
      <c r="CP38" s="7">
        <v>98.360389272094494</v>
      </c>
      <c r="CQ38" s="7">
        <v>100</v>
      </c>
      <c r="CR38" s="7">
        <v>15.0876247914651</v>
      </c>
      <c r="CS38" s="7">
        <v>1.10502427740846</v>
      </c>
      <c r="CT38" s="7">
        <v>8.9487777939858706</v>
      </c>
      <c r="CU38" s="7">
        <v>10</v>
      </c>
      <c r="CV38" s="7">
        <v>10</v>
      </c>
      <c r="CW38" s="7">
        <v>52.1649613436973</v>
      </c>
      <c r="CX38" s="7">
        <v>100</v>
      </c>
      <c r="CY38" s="7">
        <v>100</v>
      </c>
      <c r="CZ38" s="7">
        <v>100</v>
      </c>
      <c r="DA38" s="9">
        <v>63.676682836709801</v>
      </c>
      <c r="DB38" s="9">
        <v>7.4820263821451599E-2</v>
      </c>
      <c r="DC38" s="9">
        <v>0.33806239189780601</v>
      </c>
      <c r="DD38" s="9">
        <v>0.71160939421093194</v>
      </c>
      <c r="DE38" s="9">
        <v>1.1290099401921401</v>
      </c>
      <c r="DF38" s="9">
        <v>6.90645383124596</v>
      </c>
      <c r="DG38" s="9">
        <v>18.669639694083799</v>
      </c>
      <c r="DH38" s="9">
        <v>32.883072498801802</v>
      </c>
      <c r="DI38" s="9">
        <v>49.988538562527403</v>
      </c>
    </row>
    <row r="39" spans="1:113">
      <c r="A39" s="5" t="s">
        <v>139</v>
      </c>
      <c r="B39" s="5" t="s">
        <v>188</v>
      </c>
      <c r="C39" s="5" t="s">
        <v>189</v>
      </c>
      <c r="D39" s="6">
        <v>879724</v>
      </c>
      <c r="E39" s="7">
        <v>8.6956237664305291</v>
      </c>
      <c r="F39" s="7">
        <v>3.10367342484688</v>
      </c>
      <c r="G39" s="7">
        <v>9.1993363827746002</v>
      </c>
      <c r="H39" s="7">
        <v>9.8442897999827199</v>
      </c>
      <c r="I39" s="7">
        <v>9.9430889688129493</v>
      </c>
      <c r="J39" s="7">
        <v>87.254070594868395</v>
      </c>
      <c r="K39" s="7">
        <v>98.866576335305197</v>
      </c>
      <c r="L39" s="7">
        <v>99.724459034879104</v>
      </c>
      <c r="M39" s="7">
        <v>99.854840836444197</v>
      </c>
      <c r="N39" s="7">
        <v>8.6620954154133791</v>
      </c>
      <c r="O39" s="7">
        <v>6.1592374426524703</v>
      </c>
      <c r="P39" s="7">
        <v>9.2330867408414505</v>
      </c>
      <c r="Q39" s="7">
        <v>9.8342491508700505</v>
      </c>
      <c r="R39" s="7">
        <v>9.9822921734544003</v>
      </c>
      <c r="S39" s="7">
        <v>92.909821716811194</v>
      </c>
      <c r="T39" s="7">
        <v>99.583733079920506</v>
      </c>
      <c r="U39" s="7">
        <v>99.971695668186797</v>
      </c>
      <c r="V39" s="7">
        <v>100</v>
      </c>
      <c r="W39" s="7">
        <v>6.9276000660783197</v>
      </c>
      <c r="X39" s="7">
        <v>9.1480441593045096</v>
      </c>
      <c r="Y39" s="7">
        <v>9.9774531557624897</v>
      </c>
      <c r="Z39" s="7">
        <v>10</v>
      </c>
      <c r="AA39" s="7">
        <v>10</v>
      </c>
      <c r="AB39" s="7">
        <v>99.480746234046094</v>
      </c>
      <c r="AC39" s="7">
        <v>100</v>
      </c>
      <c r="AD39" s="7">
        <v>100</v>
      </c>
      <c r="AE39" s="7">
        <v>100</v>
      </c>
      <c r="AF39" s="6">
        <v>11.181558328904799</v>
      </c>
      <c r="AG39" s="6">
        <v>2.2319966262145901</v>
      </c>
      <c r="AH39" s="6">
        <v>6.0481389617652797</v>
      </c>
      <c r="AI39" s="6">
        <v>7.8641642151401996</v>
      </c>
      <c r="AJ39" s="6">
        <v>8.6570367524359906</v>
      </c>
      <c r="AK39" s="6">
        <v>80.414880121492601</v>
      </c>
      <c r="AL39" s="6">
        <v>93.178087672952003</v>
      </c>
      <c r="AM39" s="6">
        <v>96.335100554264798</v>
      </c>
      <c r="AN39" s="6">
        <v>98.412229290095496</v>
      </c>
      <c r="AO39" s="6">
        <v>10.7310576907186</v>
      </c>
      <c r="AP39" s="7">
        <v>1.9984847520358699</v>
      </c>
      <c r="AQ39" s="7">
        <v>8.4035390645247805</v>
      </c>
      <c r="AR39" s="7">
        <v>9.8195729569728698</v>
      </c>
      <c r="AS39" s="7">
        <v>9.9517132646148099</v>
      </c>
      <c r="AT39" s="7">
        <v>77.859874233282298</v>
      </c>
      <c r="AU39" s="7">
        <v>98.791552805197995</v>
      </c>
      <c r="AV39" s="7">
        <v>99.8327884654733</v>
      </c>
      <c r="AW39" s="7">
        <v>99.922134669510001</v>
      </c>
      <c r="AX39" s="7">
        <v>9.7617025177904502</v>
      </c>
      <c r="AY39" s="7">
        <v>4.0606099185653699</v>
      </c>
      <c r="AZ39" s="7">
        <v>8.9989667213807998</v>
      </c>
      <c r="BA39" s="7">
        <v>9.8363895949184101</v>
      </c>
      <c r="BB39" s="7">
        <v>9.9795935998108494</v>
      </c>
      <c r="BC39" s="7">
        <v>89.734507641032906</v>
      </c>
      <c r="BD39" s="7">
        <v>99.504276341216098</v>
      </c>
      <c r="BE39" s="7">
        <v>100</v>
      </c>
      <c r="BF39" s="7">
        <v>100</v>
      </c>
      <c r="BG39" s="7">
        <v>7.4337642585140502</v>
      </c>
      <c r="BH39" s="7">
        <v>8.6033744674466099</v>
      </c>
      <c r="BI39" s="7">
        <v>9.9640307641942307</v>
      </c>
      <c r="BJ39" s="7">
        <v>10</v>
      </c>
      <c r="BK39" s="7">
        <v>10</v>
      </c>
      <c r="BL39" s="7">
        <v>99.449713773865398</v>
      </c>
      <c r="BM39" s="7">
        <v>100</v>
      </c>
      <c r="BN39" s="7">
        <v>100</v>
      </c>
      <c r="BO39" s="7">
        <v>100</v>
      </c>
      <c r="BP39" s="6">
        <v>14.7185357653</v>
      </c>
      <c r="BQ39" s="6">
        <v>1.3457823135437901</v>
      </c>
      <c r="BR39" s="6">
        <v>3.901083748994</v>
      </c>
      <c r="BS39" s="6">
        <v>6.0604166761393303</v>
      </c>
      <c r="BT39" s="6">
        <v>7.7085517730560902</v>
      </c>
      <c r="BU39" s="6">
        <v>65.971941199739902</v>
      </c>
      <c r="BV39" s="6">
        <v>88.961083248837099</v>
      </c>
      <c r="BW39" s="6">
        <v>95.8808671810704</v>
      </c>
      <c r="BX39" s="6">
        <v>98.684587438787602</v>
      </c>
      <c r="BY39" s="6" t="str">
        <f>TRIM(Table1[[#This Row],[LA_Name]])</f>
        <v>Lancashire</v>
      </c>
      <c r="BZ39" s="7">
        <v>31.715193046537799</v>
      </c>
      <c r="CA39" s="7">
        <v>0.13613133209961301</v>
      </c>
      <c r="CB39" s="7">
        <v>1.0079740918742699</v>
      </c>
      <c r="CC39" s="7">
        <v>2.69533285439524</v>
      </c>
      <c r="CD39" s="7">
        <v>5.2862488689634501</v>
      </c>
      <c r="CE39" s="7">
        <v>10.5928677630711</v>
      </c>
      <c r="CF39" s="7">
        <v>47.191846533685599</v>
      </c>
      <c r="CG39" s="7">
        <v>84.673488503212397</v>
      </c>
      <c r="CH39" s="7">
        <v>96.957795854154298</v>
      </c>
      <c r="CI39" s="7">
        <v>30.015984484063701</v>
      </c>
      <c r="CJ39" s="7">
        <v>0.379939617425465</v>
      </c>
      <c r="CK39" s="7">
        <v>1.4384454669873701</v>
      </c>
      <c r="CL39" s="7">
        <v>2.4898627296743099</v>
      </c>
      <c r="CM39" s="7">
        <v>4.0046480487061897</v>
      </c>
      <c r="CN39" s="7">
        <v>21.485033942463801</v>
      </c>
      <c r="CO39" s="7">
        <v>52.978661489285301</v>
      </c>
      <c r="CP39" s="7">
        <v>81.428152466000697</v>
      </c>
      <c r="CQ39" s="7">
        <v>96.453887810267801</v>
      </c>
      <c r="CR39" s="7">
        <v>15.8747920616195</v>
      </c>
      <c r="CS39" s="7">
        <v>1.04892329867095</v>
      </c>
      <c r="CT39" s="7">
        <v>5.1174663871850701</v>
      </c>
      <c r="CU39" s="7">
        <v>8.7060839536036294</v>
      </c>
      <c r="CV39" s="7">
        <v>9.9912392977797602</v>
      </c>
      <c r="CW39" s="7">
        <v>47.534908675902898</v>
      </c>
      <c r="CX39" s="7">
        <v>98.545339220028097</v>
      </c>
      <c r="CY39" s="7">
        <v>100</v>
      </c>
      <c r="CZ39" s="7">
        <v>100</v>
      </c>
      <c r="DA39" s="9">
        <v>72.576989552022098</v>
      </c>
      <c r="DB39" s="9">
        <v>9.8815082912367999E-2</v>
      </c>
      <c r="DC39" s="9">
        <v>0.35523300489699</v>
      </c>
      <c r="DD39" s="9">
        <v>0.67239497842505103</v>
      </c>
      <c r="DE39" s="9">
        <v>1.02783941327053</v>
      </c>
      <c r="DF39" s="9">
        <v>7.7327661857582601</v>
      </c>
      <c r="DG39" s="9">
        <v>21.283607131327599</v>
      </c>
      <c r="DH39" s="9">
        <v>32.802788147191599</v>
      </c>
      <c r="DI39" s="9">
        <v>41.224634089782697</v>
      </c>
    </row>
    <row r="40" spans="1:113">
      <c r="A40" s="5" t="s">
        <v>139</v>
      </c>
      <c r="B40" s="5" t="s">
        <v>190</v>
      </c>
      <c r="C40" s="5" t="s">
        <v>191</v>
      </c>
      <c r="D40" s="6">
        <v>62962</v>
      </c>
      <c r="E40" s="7">
        <v>5.9175221320464297</v>
      </c>
      <c r="F40" s="7">
        <v>4.8194942981480899</v>
      </c>
      <c r="G40" s="7">
        <v>9.9412185127537196</v>
      </c>
      <c r="H40" s="7">
        <v>10</v>
      </c>
      <c r="I40" s="7">
        <v>10</v>
      </c>
      <c r="J40" s="7">
        <v>97.369842126997199</v>
      </c>
      <c r="K40" s="7">
        <v>100</v>
      </c>
      <c r="L40" s="7">
        <v>100</v>
      </c>
      <c r="M40" s="7">
        <v>100</v>
      </c>
      <c r="N40" s="7">
        <v>7.1136312532832404</v>
      </c>
      <c r="O40" s="7">
        <v>8.5761411645119292</v>
      </c>
      <c r="P40" s="7">
        <v>10</v>
      </c>
      <c r="Q40" s="7">
        <v>10</v>
      </c>
      <c r="R40" s="7">
        <v>10</v>
      </c>
      <c r="S40" s="7">
        <v>100</v>
      </c>
      <c r="T40" s="7">
        <v>100</v>
      </c>
      <c r="U40" s="7">
        <v>100</v>
      </c>
      <c r="V40" s="7">
        <v>100</v>
      </c>
      <c r="W40" s="7">
        <v>6.2057588865650901</v>
      </c>
      <c r="X40" s="7">
        <v>10</v>
      </c>
      <c r="Y40" s="7">
        <v>10</v>
      </c>
      <c r="Z40" s="7">
        <v>10</v>
      </c>
      <c r="AA40" s="7">
        <v>10</v>
      </c>
      <c r="AB40" s="7">
        <v>100</v>
      </c>
      <c r="AC40" s="7">
        <v>100</v>
      </c>
      <c r="AD40" s="7">
        <v>100</v>
      </c>
      <c r="AE40" s="7">
        <v>100</v>
      </c>
      <c r="AF40" s="6">
        <v>6.2967080084228897</v>
      </c>
      <c r="AG40" s="6">
        <v>3.4698389504780698</v>
      </c>
      <c r="AH40" s="6">
        <v>8.5656268860582596</v>
      </c>
      <c r="AI40" s="6">
        <v>9.6802356977224395</v>
      </c>
      <c r="AJ40" s="6">
        <v>9.9822591404339107</v>
      </c>
      <c r="AK40" s="6">
        <v>93.415075759982201</v>
      </c>
      <c r="AL40" s="6">
        <v>100</v>
      </c>
      <c r="AM40" s="6">
        <v>100</v>
      </c>
      <c r="AN40" s="6">
        <v>100</v>
      </c>
      <c r="AO40" s="6">
        <v>8.6333838203641893</v>
      </c>
      <c r="AP40" s="7">
        <v>2.6855563673326799</v>
      </c>
      <c r="AQ40" s="7">
        <v>9.6897811378291703</v>
      </c>
      <c r="AR40" s="7">
        <v>10</v>
      </c>
      <c r="AS40" s="7">
        <v>10</v>
      </c>
      <c r="AT40" s="7">
        <v>88.801181665131395</v>
      </c>
      <c r="AU40" s="7">
        <v>99.7427019472062</v>
      </c>
      <c r="AV40" s="7">
        <v>100</v>
      </c>
      <c r="AW40" s="7">
        <v>100</v>
      </c>
      <c r="AX40" s="7">
        <v>8.3023288500119303</v>
      </c>
      <c r="AY40" s="7">
        <v>5.6004256535688199</v>
      </c>
      <c r="AZ40" s="7">
        <v>9.9779231917664593</v>
      </c>
      <c r="BA40" s="7">
        <v>10</v>
      </c>
      <c r="BB40" s="7">
        <v>10</v>
      </c>
      <c r="BC40" s="7">
        <v>96.450239827197393</v>
      </c>
      <c r="BD40" s="7">
        <v>100</v>
      </c>
      <c r="BE40" s="7">
        <v>100</v>
      </c>
      <c r="BF40" s="7">
        <v>100</v>
      </c>
      <c r="BG40" s="7">
        <v>6.7899496566006903</v>
      </c>
      <c r="BH40" s="7">
        <v>9.8082335376894001</v>
      </c>
      <c r="BI40" s="7">
        <v>10</v>
      </c>
      <c r="BJ40" s="7">
        <v>10</v>
      </c>
      <c r="BK40" s="7">
        <v>10</v>
      </c>
      <c r="BL40" s="7">
        <v>100</v>
      </c>
      <c r="BM40" s="7">
        <v>100</v>
      </c>
      <c r="BN40" s="7">
        <v>100</v>
      </c>
      <c r="BO40" s="7">
        <v>100</v>
      </c>
      <c r="BP40" s="6">
        <v>10.0074062474499</v>
      </c>
      <c r="BQ40" s="6">
        <v>1.79320860201391</v>
      </c>
      <c r="BR40" s="6">
        <v>5.3110129919634099</v>
      </c>
      <c r="BS40" s="6">
        <v>8.6177535656427704</v>
      </c>
      <c r="BT40" s="6">
        <v>9.5143419840538694</v>
      </c>
      <c r="BU40" s="6">
        <v>84.922651758203401</v>
      </c>
      <c r="BV40" s="6">
        <v>95.730758235125904</v>
      </c>
      <c r="BW40" s="6">
        <v>99.086750738540701</v>
      </c>
      <c r="BX40" s="6">
        <v>100</v>
      </c>
      <c r="BY40" s="6" t="str">
        <f>TRIM(Table1[[#This Row],[LA_Name]])</f>
        <v>Burnley</v>
      </c>
      <c r="BZ40" s="7">
        <v>23.493562816123202</v>
      </c>
      <c r="CA40" s="7">
        <v>0.10342746418474601</v>
      </c>
      <c r="CB40" s="7">
        <v>0.83553571995806997</v>
      </c>
      <c r="CC40" s="7">
        <v>1.0148978749086801</v>
      </c>
      <c r="CD40" s="7">
        <v>1.91779168387281</v>
      </c>
      <c r="CE40" s="7">
        <v>10.342746418474601</v>
      </c>
      <c r="CF40" s="7">
        <v>83.553571995807005</v>
      </c>
      <c r="CG40" s="7">
        <v>100</v>
      </c>
      <c r="CH40" s="7">
        <v>100</v>
      </c>
      <c r="CI40" s="7">
        <v>17.357014726787401</v>
      </c>
      <c r="CJ40" s="7">
        <v>0.387884755884502</v>
      </c>
      <c r="CK40" s="7">
        <v>0.95706934341348704</v>
      </c>
      <c r="CL40" s="7">
        <v>1</v>
      </c>
      <c r="CM40" s="7">
        <v>1.1378132842031701</v>
      </c>
      <c r="CN40" s="7">
        <v>38.788475588450197</v>
      </c>
      <c r="CO40" s="7">
        <v>95.706934341348699</v>
      </c>
      <c r="CP40" s="7">
        <v>100</v>
      </c>
      <c r="CQ40" s="7">
        <v>100</v>
      </c>
      <c r="CR40" s="7">
        <v>12.02815509181</v>
      </c>
      <c r="CS40" s="7">
        <v>0.80913884565293304</v>
      </c>
      <c r="CT40" s="7">
        <v>1.6815539531781101</v>
      </c>
      <c r="CU40" s="7">
        <v>8.7748165560179192</v>
      </c>
      <c r="CV40" s="7">
        <v>10</v>
      </c>
      <c r="CW40" s="7">
        <v>80.913884565293301</v>
      </c>
      <c r="CX40" s="7">
        <v>100</v>
      </c>
      <c r="CY40" s="7">
        <v>100</v>
      </c>
      <c r="CZ40" s="7">
        <v>100</v>
      </c>
      <c r="DA40" s="9">
        <v>36.504681942222902</v>
      </c>
      <c r="DB40" s="9">
        <v>9.9869762714017998E-2</v>
      </c>
      <c r="DC40" s="9">
        <v>0.43607255169784898</v>
      </c>
      <c r="DD40" s="9">
        <v>0.74700613068199895</v>
      </c>
      <c r="DE40" s="9">
        <v>0.84114227629363703</v>
      </c>
      <c r="DF40" s="9">
        <v>9.9869762714018009</v>
      </c>
      <c r="DG40" s="9">
        <v>43.607255169784899</v>
      </c>
      <c r="DH40" s="9">
        <v>74.7006130681999</v>
      </c>
      <c r="DI40" s="9">
        <v>84.114227629363796</v>
      </c>
    </row>
    <row r="41" spans="1:113">
      <c r="A41" s="5" t="s">
        <v>139</v>
      </c>
      <c r="B41" s="5" t="s">
        <v>192</v>
      </c>
      <c r="C41" s="5" t="s">
        <v>193</v>
      </c>
      <c r="D41" s="6">
        <v>86350</v>
      </c>
      <c r="E41" s="7">
        <v>9.3581009829981401</v>
      </c>
      <c r="F41" s="7">
        <v>2.6654082223509001</v>
      </c>
      <c r="G41" s="7">
        <v>9.17301679212507</v>
      </c>
      <c r="H41" s="7">
        <v>9.8354024319629403</v>
      </c>
      <c r="I41" s="7">
        <v>9.9962478286045204</v>
      </c>
      <c r="J41" s="7">
        <v>83.350318471337602</v>
      </c>
      <c r="K41" s="7">
        <v>99.701215981470796</v>
      </c>
      <c r="L41" s="7">
        <v>100</v>
      </c>
      <c r="M41" s="7">
        <v>100</v>
      </c>
      <c r="N41" s="7">
        <v>8.8787777860273707</v>
      </c>
      <c r="O41" s="7">
        <v>5.0735263462651998</v>
      </c>
      <c r="P41" s="7">
        <v>9.7148812970468992</v>
      </c>
      <c r="Q41" s="7">
        <v>10</v>
      </c>
      <c r="R41" s="7">
        <v>10</v>
      </c>
      <c r="S41" s="7">
        <v>91.4452808338159</v>
      </c>
      <c r="T41" s="7">
        <v>100</v>
      </c>
      <c r="U41" s="7">
        <v>100</v>
      </c>
      <c r="V41" s="7">
        <v>100</v>
      </c>
      <c r="W41" s="7">
        <v>7.1207346867438197</v>
      </c>
      <c r="X41" s="7">
        <v>9.6936074116965791</v>
      </c>
      <c r="Y41" s="7">
        <v>10</v>
      </c>
      <c r="Z41" s="7">
        <v>10</v>
      </c>
      <c r="AA41" s="7">
        <v>10</v>
      </c>
      <c r="AB41" s="7">
        <v>100</v>
      </c>
      <c r="AC41" s="7">
        <v>100</v>
      </c>
      <c r="AD41" s="7">
        <v>100</v>
      </c>
      <c r="AE41" s="7">
        <v>100</v>
      </c>
      <c r="AF41" s="6">
        <v>11.4356369652129</v>
      </c>
      <c r="AG41" s="6">
        <v>1.9673422119282</v>
      </c>
      <c r="AH41" s="6">
        <v>4.8134337000579004</v>
      </c>
      <c r="AI41" s="6">
        <v>7.6050492182976299</v>
      </c>
      <c r="AJ41" s="6">
        <v>8.9671800810654307</v>
      </c>
      <c r="AK41" s="6">
        <v>74.709901563404699</v>
      </c>
      <c r="AL41" s="6">
        <v>92.619571511291298</v>
      </c>
      <c r="AM41" s="6">
        <v>99.488129704690195</v>
      </c>
      <c r="AN41" s="6">
        <v>100</v>
      </c>
      <c r="AO41" s="6">
        <v>10.784047226814</v>
      </c>
      <c r="AP41" s="7">
        <v>1.7551013317892299</v>
      </c>
      <c r="AQ41" s="7">
        <v>8.5784134337000602</v>
      </c>
      <c r="AR41" s="7">
        <v>9.8224667052692496</v>
      </c>
      <c r="AS41" s="7">
        <v>9.9943717429067807</v>
      </c>
      <c r="AT41" s="7">
        <v>81.417486971627099</v>
      </c>
      <c r="AU41" s="7">
        <v>98.898668210770097</v>
      </c>
      <c r="AV41" s="7">
        <v>100</v>
      </c>
      <c r="AW41" s="7">
        <v>100</v>
      </c>
      <c r="AX41" s="7">
        <v>9.4458070793604705</v>
      </c>
      <c r="AY41" s="7">
        <v>3.7426056745801999</v>
      </c>
      <c r="AZ41" s="7">
        <v>9.4706079907353793</v>
      </c>
      <c r="BA41" s="7">
        <v>10</v>
      </c>
      <c r="BB41" s="7">
        <v>10</v>
      </c>
      <c r="BC41" s="7">
        <v>94.818760856977406</v>
      </c>
      <c r="BD41" s="7">
        <v>100</v>
      </c>
      <c r="BE41" s="7">
        <v>100</v>
      </c>
      <c r="BF41" s="7">
        <v>100</v>
      </c>
      <c r="BG41" s="7">
        <v>7.3138929032092204</v>
      </c>
      <c r="BH41" s="7">
        <v>9.1815170816444702</v>
      </c>
      <c r="BI41" s="7">
        <v>10</v>
      </c>
      <c r="BJ41" s="7">
        <v>10</v>
      </c>
      <c r="BK41" s="7">
        <v>10</v>
      </c>
      <c r="BL41" s="7">
        <v>100</v>
      </c>
      <c r="BM41" s="7">
        <v>100</v>
      </c>
      <c r="BN41" s="7">
        <v>100</v>
      </c>
      <c r="BO41" s="7">
        <v>100</v>
      </c>
      <c r="BP41" s="6">
        <v>13.582754372754501</v>
      </c>
      <c r="BQ41" s="6">
        <v>1.1531325998841899</v>
      </c>
      <c r="BR41" s="6">
        <v>3.66523451071222</v>
      </c>
      <c r="BS41" s="6">
        <v>6.0396873190503797</v>
      </c>
      <c r="BT41" s="6">
        <v>8.1305848291835492</v>
      </c>
      <c r="BU41" s="6">
        <v>64.528083381586598</v>
      </c>
      <c r="BV41" s="6">
        <v>94.298784018529204</v>
      </c>
      <c r="BW41" s="6">
        <v>99.819339895772998</v>
      </c>
      <c r="BX41" s="6">
        <v>100</v>
      </c>
      <c r="BY41" s="6" t="str">
        <f>TRIM(Table1[[#This Row],[LA_Name]])</f>
        <v>Chorley</v>
      </c>
      <c r="BZ41" s="7">
        <v>37.527121060564099</v>
      </c>
      <c r="CA41" s="7">
        <v>3.9143022582513003E-3</v>
      </c>
      <c r="CB41" s="7">
        <v>0.20929936305732499</v>
      </c>
      <c r="CC41" s="7">
        <v>3.2104342790967002</v>
      </c>
      <c r="CD41" s="7">
        <v>8.1097162709901607</v>
      </c>
      <c r="CE41" s="7">
        <v>0.39143022582512998</v>
      </c>
      <c r="CF41" s="7">
        <v>20.702953097857598</v>
      </c>
      <c r="CG41" s="7">
        <v>83.850607990735398</v>
      </c>
      <c r="CH41" s="7">
        <v>96.3393167342212</v>
      </c>
      <c r="CI41" s="7">
        <v>35.416356375760003</v>
      </c>
      <c r="CJ41" s="7">
        <v>3.9143022582513003E-3</v>
      </c>
      <c r="CK41" s="7">
        <v>0.42039374638100802</v>
      </c>
      <c r="CL41" s="7">
        <v>2.2391198610306899</v>
      </c>
      <c r="CM41" s="7">
        <v>6.9361667631731301</v>
      </c>
      <c r="CN41" s="7">
        <v>0.39143022582512998</v>
      </c>
      <c r="CO41" s="7">
        <v>28.755066589461499</v>
      </c>
      <c r="CP41" s="7">
        <v>90.7064273306312</v>
      </c>
      <c r="CQ41" s="7">
        <v>100</v>
      </c>
      <c r="CR41" s="7">
        <v>18.1609279420076</v>
      </c>
      <c r="CS41" s="7">
        <v>0.18096120440069499</v>
      </c>
      <c r="CT41" s="7">
        <v>9.4395136074116994</v>
      </c>
      <c r="CU41" s="7">
        <v>10</v>
      </c>
      <c r="CV41" s="7">
        <v>10</v>
      </c>
      <c r="CW41" s="7">
        <v>17.220613781123301</v>
      </c>
      <c r="CX41" s="7">
        <v>100</v>
      </c>
      <c r="CY41" s="7">
        <v>100</v>
      </c>
      <c r="CZ41" s="7">
        <v>100</v>
      </c>
      <c r="DA41" s="9">
        <v>96.763833809959195</v>
      </c>
      <c r="DB41" s="9">
        <v>0</v>
      </c>
      <c r="DC41" s="9">
        <v>3.9143022582513003E-3</v>
      </c>
      <c r="DD41" s="9">
        <v>4.86276780544296E-2</v>
      </c>
      <c r="DE41" s="9">
        <v>0.15888824551244901</v>
      </c>
      <c r="DF41" s="9">
        <v>0</v>
      </c>
      <c r="DG41" s="9">
        <v>0.39143022582512998</v>
      </c>
      <c r="DH41" s="9">
        <v>4.8627678054429602</v>
      </c>
      <c r="DI41" s="9">
        <v>14.182976259409401</v>
      </c>
    </row>
    <row r="42" spans="1:113">
      <c r="A42" s="5" t="s">
        <v>139</v>
      </c>
      <c r="B42" s="5" t="s">
        <v>194</v>
      </c>
      <c r="C42" s="5" t="s">
        <v>195</v>
      </c>
      <c r="D42" s="6">
        <v>57549</v>
      </c>
      <c r="E42" s="7">
        <v>9.1999548325659006</v>
      </c>
      <c r="F42" s="7">
        <v>2.53300665519818</v>
      </c>
      <c r="G42" s="7">
        <v>8.8972353993987703</v>
      </c>
      <c r="H42" s="7">
        <v>9.9446732349823606</v>
      </c>
      <c r="I42" s="7">
        <v>9.9515890806095708</v>
      </c>
      <c r="J42" s="7">
        <v>82.957132183009307</v>
      </c>
      <c r="K42" s="7">
        <v>99.308415437279507</v>
      </c>
      <c r="L42" s="7">
        <v>100</v>
      </c>
      <c r="M42" s="7">
        <v>100</v>
      </c>
      <c r="N42" s="7">
        <v>8.98035031249578</v>
      </c>
      <c r="O42" s="7">
        <v>5.2536794731446204</v>
      </c>
      <c r="P42" s="7">
        <v>8.13343411701333</v>
      </c>
      <c r="Q42" s="7">
        <v>10</v>
      </c>
      <c r="R42" s="7">
        <v>10</v>
      </c>
      <c r="S42" s="7">
        <v>90.524596430867604</v>
      </c>
      <c r="T42" s="7">
        <v>100</v>
      </c>
      <c r="U42" s="7">
        <v>100</v>
      </c>
      <c r="V42" s="7">
        <v>100</v>
      </c>
      <c r="W42" s="7">
        <v>7.03186919902992</v>
      </c>
      <c r="X42" s="7">
        <v>8.2184399381396709</v>
      </c>
      <c r="Y42" s="7">
        <v>10</v>
      </c>
      <c r="Z42" s="7">
        <v>10</v>
      </c>
      <c r="AA42" s="7">
        <v>10</v>
      </c>
      <c r="AB42" s="7">
        <v>100</v>
      </c>
      <c r="AC42" s="7">
        <v>100</v>
      </c>
      <c r="AD42" s="7">
        <v>100</v>
      </c>
      <c r="AE42" s="7">
        <v>100</v>
      </c>
      <c r="AF42" s="6">
        <v>12.4916818924082</v>
      </c>
      <c r="AG42" s="6">
        <v>1.89070183669569</v>
      </c>
      <c r="AH42" s="6">
        <v>5.0559001894038103</v>
      </c>
      <c r="AI42" s="6">
        <v>6.2878937948530798</v>
      </c>
      <c r="AJ42" s="6">
        <v>7.0774991746164098</v>
      </c>
      <c r="AK42" s="6">
        <v>72.976072564249606</v>
      </c>
      <c r="AL42" s="6">
        <v>89.817373021251498</v>
      </c>
      <c r="AM42" s="6">
        <v>97.5412257380667</v>
      </c>
      <c r="AN42" s="6">
        <v>99.569062885541001</v>
      </c>
      <c r="AO42" s="6">
        <v>11.3772051590401</v>
      </c>
      <c r="AP42" s="7">
        <v>1.67604997480408</v>
      </c>
      <c r="AQ42" s="7">
        <v>8.4928843246624606</v>
      </c>
      <c r="AR42" s="7">
        <v>9.9462892491615804</v>
      </c>
      <c r="AS42" s="7">
        <v>9.9654207718639807</v>
      </c>
      <c r="AT42" s="7">
        <v>71.726702462249605</v>
      </c>
      <c r="AU42" s="7">
        <v>99.581226433126602</v>
      </c>
      <c r="AV42" s="7">
        <v>100</v>
      </c>
      <c r="AW42" s="7">
        <v>100</v>
      </c>
      <c r="AX42" s="7">
        <v>9.9109989827479907</v>
      </c>
      <c r="AY42" s="7">
        <v>2.81205581330692</v>
      </c>
      <c r="AZ42" s="7">
        <v>9.0610783853759393</v>
      </c>
      <c r="BA42" s="7">
        <v>10</v>
      </c>
      <c r="BB42" s="7">
        <v>10</v>
      </c>
      <c r="BC42" s="7">
        <v>91.892126709412906</v>
      </c>
      <c r="BD42" s="7">
        <v>100</v>
      </c>
      <c r="BE42" s="7">
        <v>100</v>
      </c>
      <c r="BF42" s="7">
        <v>100</v>
      </c>
      <c r="BG42" s="7">
        <v>7.4309774375951596</v>
      </c>
      <c r="BH42" s="7">
        <v>8.7446002536968503</v>
      </c>
      <c r="BI42" s="7">
        <v>10</v>
      </c>
      <c r="BJ42" s="7">
        <v>10</v>
      </c>
      <c r="BK42" s="7">
        <v>10</v>
      </c>
      <c r="BL42" s="7">
        <v>100</v>
      </c>
      <c r="BM42" s="7">
        <v>100</v>
      </c>
      <c r="BN42" s="7">
        <v>100</v>
      </c>
      <c r="BO42" s="7">
        <v>100</v>
      </c>
      <c r="BP42" s="6">
        <v>15.253431333069599</v>
      </c>
      <c r="BQ42" s="6">
        <v>1.1412535404611699</v>
      </c>
      <c r="BR42" s="6">
        <v>2.6262315591930401</v>
      </c>
      <c r="BS42" s="6">
        <v>4.0712436358581403</v>
      </c>
      <c r="BT42" s="6">
        <v>6.2332620896974804</v>
      </c>
      <c r="BU42" s="6">
        <v>58.028810231281199</v>
      </c>
      <c r="BV42" s="6">
        <v>89.018054179916206</v>
      </c>
      <c r="BW42" s="6">
        <v>97.812299084258598</v>
      </c>
      <c r="BX42" s="6">
        <v>100</v>
      </c>
      <c r="BY42" s="6" t="str">
        <f>TRIM(Table1[[#This Row],[LA_Name]])</f>
        <v>Fylde</v>
      </c>
      <c r="BZ42" s="7">
        <v>29.416384950591699</v>
      </c>
      <c r="CA42" s="7">
        <v>5.8645675858833297E-2</v>
      </c>
      <c r="CB42" s="7">
        <v>0.75554744652383199</v>
      </c>
      <c r="CC42" s="7">
        <v>2.9206067872595498</v>
      </c>
      <c r="CD42" s="7">
        <v>6.0025195919998602</v>
      </c>
      <c r="CE42" s="7">
        <v>5.8645675858833304</v>
      </c>
      <c r="CF42" s="7">
        <v>54.259848129420099</v>
      </c>
      <c r="CG42" s="7">
        <v>93.763575387930302</v>
      </c>
      <c r="CH42" s="7">
        <v>98.981737302125197</v>
      </c>
      <c r="CI42" s="7">
        <v>30.3463586808477</v>
      </c>
      <c r="CJ42" s="7">
        <v>0.11543206658673499</v>
      </c>
      <c r="CK42" s="7">
        <v>0.48233679125614698</v>
      </c>
      <c r="CL42" s="7">
        <v>1.49651601244157</v>
      </c>
      <c r="CM42" s="7">
        <v>3.6178734643521202</v>
      </c>
      <c r="CN42" s="7">
        <v>11.543206658673499</v>
      </c>
      <c r="CO42" s="7">
        <v>48.2336791256147</v>
      </c>
      <c r="CP42" s="7">
        <v>98.907018366956905</v>
      </c>
      <c r="CQ42" s="7">
        <v>100</v>
      </c>
      <c r="CR42" s="7">
        <v>15.961885748270999</v>
      </c>
      <c r="CS42" s="7">
        <v>0.42952961823837099</v>
      </c>
      <c r="CT42" s="7">
        <v>5.4202853220733598</v>
      </c>
      <c r="CU42" s="7">
        <v>10</v>
      </c>
      <c r="CV42" s="7">
        <v>10</v>
      </c>
      <c r="CW42" s="7">
        <v>39.866896036421103</v>
      </c>
      <c r="CX42" s="7">
        <v>100</v>
      </c>
      <c r="CY42" s="7">
        <v>100</v>
      </c>
      <c r="CZ42" s="7">
        <v>100</v>
      </c>
      <c r="DA42" s="9">
        <v>81.879094070997894</v>
      </c>
      <c r="DB42" s="9">
        <v>5.8645675858833297E-2</v>
      </c>
      <c r="DC42" s="9">
        <v>0.121287945924343</v>
      </c>
      <c r="DD42" s="9">
        <v>0.15303480512259099</v>
      </c>
      <c r="DE42" s="9">
        <v>0.26151627308901998</v>
      </c>
      <c r="DF42" s="9">
        <v>5.8645675858833304</v>
      </c>
      <c r="DG42" s="9">
        <v>12.1287945924343</v>
      </c>
      <c r="DH42" s="9">
        <v>15.3034805122591</v>
      </c>
      <c r="DI42" s="9">
        <v>26.151627308902</v>
      </c>
    </row>
    <row r="43" spans="1:113">
      <c r="A43" s="5" t="s">
        <v>139</v>
      </c>
      <c r="B43" s="5" t="s">
        <v>196</v>
      </c>
      <c r="C43" s="5" t="s">
        <v>197</v>
      </c>
      <c r="D43" s="6">
        <v>57539</v>
      </c>
      <c r="E43" s="7">
        <v>7.1102563398099896</v>
      </c>
      <c r="F43" s="7">
        <v>3.2898381967013699</v>
      </c>
      <c r="G43" s="7">
        <v>9.9132240741062603</v>
      </c>
      <c r="H43" s="7">
        <v>10</v>
      </c>
      <c r="I43" s="7">
        <v>10</v>
      </c>
      <c r="J43" s="7">
        <v>95.335337770903195</v>
      </c>
      <c r="K43" s="7">
        <v>100</v>
      </c>
      <c r="L43" s="7">
        <v>100</v>
      </c>
      <c r="M43" s="7">
        <v>100</v>
      </c>
      <c r="N43" s="7">
        <v>7.5295479487207597</v>
      </c>
      <c r="O43" s="7">
        <v>7.0977771598394099</v>
      </c>
      <c r="P43" s="7">
        <v>10</v>
      </c>
      <c r="Q43" s="7">
        <v>10</v>
      </c>
      <c r="R43" s="7">
        <v>10</v>
      </c>
      <c r="S43" s="7">
        <v>99.038912737447603</v>
      </c>
      <c r="T43" s="7">
        <v>100</v>
      </c>
      <c r="U43" s="7">
        <v>100</v>
      </c>
      <c r="V43" s="7">
        <v>100</v>
      </c>
      <c r="W43" s="7">
        <v>6.3952887583542202</v>
      </c>
      <c r="X43" s="7">
        <v>10</v>
      </c>
      <c r="Y43" s="7">
        <v>10</v>
      </c>
      <c r="Z43" s="7">
        <v>10</v>
      </c>
      <c r="AA43" s="7">
        <v>10</v>
      </c>
      <c r="AB43" s="7">
        <v>100</v>
      </c>
      <c r="AC43" s="7">
        <v>100</v>
      </c>
      <c r="AD43" s="7">
        <v>100</v>
      </c>
      <c r="AE43" s="7">
        <v>100</v>
      </c>
      <c r="AF43" s="6">
        <v>7.5592761454150796</v>
      </c>
      <c r="AG43" s="6">
        <v>2.6551208745372699</v>
      </c>
      <c r="AH43" s="6">
        <v>7.1322928796120904</v>
      </c>
      <c r="AI43" s="6">
        <v>9.5422756738907495</v>
      </c>
      <c r="AJ43" s="6">
        <v>9.9641286779401792</v>
      </c>
      <c r="AK43" s="6">
        <v>91.569196544952106</v>
      </c>
      <c r="AL43" s="6">
        <v>99.038912737447603</v>
      </c>
      <c r="AM43" s="6">
        <v>100</v>
      </c>
      <c r="AN43" s="6">
        <v>100</v>
      </c>
      <c r="AO43" s="6">
        <v>8.3936740409997697</v>
      </c>
      <c r="AP43" s="7">
        <v>2.6805471071794802</v>
      </c>
      <c r="AQ43" s="7">
        <v>9.7230400250264992</v>
      </c>
      <c r="AR43" s="7">
        <v>10</v>
      </c>
      <c r="AS43" s="7">
        <v>10</v>
      </c>
      <c r="AT43" s="7">
        <v>89.176037122647202</v>
      </c>
      <c r="AU43" s="7">
        <v>100</v>
      </c>
      <c r="AV43" s="7">
        <v>100</v>
      </c>
      <c r="AW43" s="7">
        <v>100</v>
      </c>
      <c r="AX43" s="7">
        <v>8.1397643259596393</v>
      </c>
      <c r="AY43" s="7">
        <v>5.9360086202401803</v>
      </c>
      <c r="AZ43" s="7">
        <v>10</v>
      </c>
      <c r="BA43" s="7">
        <v>10</v>
      </c>
      <c r="BB43" s="7">
        <v>10</v>
      </c>
      <c r="BC43" s="7">
        <v>98.336780270772906</v>
      </c>
      <c r="BD43" s="7">
        <v>100</v>
      </c>
      <c r="BE43" s="7">
        <v>100</v>
      </c>
      <c r="BF43" s="7">
        <v>100</v>
      </c>
      <c r="BG43" s="7">
        <v>6.6101225195857696</v>
      </c>
      <c r="BH43" s="7">
        <v>10</v>
      </c>
      <c r="BI43" s="7">
        <v>10</v>
      </c>
      <c r="BJ43" s="7">
        <v>10</v>
      </c>
      <c r="BK43" s="7">
        <v>10</v>
      </c>
      <c r="BL43" s="7">
        <v>100</v>
      </c>
      <c r="BM43" s="7">
        <v>100</v>
      </c>
      <c r="BN43" s="7">
        <v>100</v>
      </c>
      <c r="BO43" s="7">
        <v>100</v>
      </c>
      <c r="BP43" s="6">
        <v>9.7172893321992309</v>
      </c>
      <c r="BQ43" s="6">
        <v>1.8548810372095399</v>
      </c>
      <c r="BR43" s="6">
        <v>5.6302160273901203</v>
      </c>
      <c r="BS43" s="6">
        <v>8.9521715705869092</v>
      </c>
      <c r="BT43" s="6">
        <v>9.9338709397104594</v>
      </c>
      <c r="BU43" s="6">
        <v>79.844974712803506</v>
      </c>
      <c r="BV43" s="6">
        <v>98.625280244703603</v>
      </c>
      <c r="BW43" s="6">
        <v>100</v>
      </c>
      <c r="BX43" s="6">
        <v>100</v>
      </c>
      <c r="BY43" s="6" t="str">
        <f>TRIM(Table1[[#This Row],[LA_Name]])</f>
        <v>Hyndburn</v>
      </c>
      <c r="BZ43" s="7">
        <v>40.775905834476397</v>
      </c>
      <c r="CA43" s="7">
        <v>0</v>
      </c>
      <c r="CB43" s="7">
        <v>4.0476893932810801E-2</v>
      </c>
      <c r="CC43" s="7">
        <v>1.3109195502181099</v>
      </c>
      <c r="CD43" s="7">
        <v>4.5604720276681903</v>
      </c>
      <c r="CE43" s="7">
        <v>0</v>
      </c>
      <c r="CF43" s="7">
        <v>4.0476893932810798</v>
      </c>
      <c r="CG43" s="7">
        <v>71.808686282347594</v>
      </c>
      <c r="CH43" s="7">
        <v>100</v>
      </c>
      <c r="CI43" s="7">
        <v>32.146452724478898</v>
      </c>
      <c r="CJ43" s="7">
        <v>6.8301499852274098E-3</v>
      </c>
      <c r="CK43" s="7">
        <v>0.32928969916056899</v>
      </c>
      <c r="CL43" s="7">
        <v>1.31696762196076</v>
      </c>
      <c r="CM43" s="7">
        <v>2.6401744903456801</v>
      </c>
      <c r="CN43" s="7">
        <v>0.68301499852274095</v>
      </c>
      <c r="CO43" s="7">
        <v>32.9289699160569</v>
      </c>
      <c r="CP43" s="7">
        <v>100</v>
      </c>
      <c r="CQ43" s="7">
        <v>100</v>
      </c>
      <c r="CR43" s="7">
        <v>18.313779279800698</v>
      </c>
      <c r="CS43" s="7">
        <v>0.11418342341716101</v>
      </c>
      <c r="CT43" s="7">
        <v>3.2168616069101001</v>
      </c>
      <c r="CU43" s="7">
        <v>9.99489042214846</v>
      </c>
      <c r="CV43" s="7">
        <v>10</v>
      </c>
      <c r="CW43" s="7">
        <v>11.4183423417161</v>
      </c>
      <c r="CX43" s="7">
        <v>100</v>
      </c>
      <c r="CY43" s="7">
        <v>100</v>
      </c>
      <c r="CZ43" s="7">
        <v>100</v>
      </c>
      <c r="DA43" s="9">
        <v>85.975840157547097</v>
      </c>
      <c r="DB43" s="9">
        <v>0</v>
      </c>
      <c r="DC43" s="9">
        <v>1.03060532855976E-2</v>
      </c>
      <c r="DD43" s="9">
        <v>2.8033160117485498E-2</v>
      </c>
      <c r="DE43" s="9">
        <v>9.8107370652948403E-2</v>
      </c>
      <c r="DF43" s="9">
        <v>0</v>
      </c>
      <c r="DG43" s="9">
        <v>1.0306053285597601</v>
      </c>
      <c r="DH43" s="9">
        <v>2.8033160117485498</v>
      </c>
      <c r="DI43" s="9">
        <v>9.8107370652948394</v>
      </c>
    </row>
    <row r="44" spans="1:113">
      <c r="A44" s="5" t="s">
        <v>139</v>
      </c>
      <c r="B44" s="5" t="s">
        <v>198</v>
      </c>
      <c r="C44" s="5" t="s">
        <v>199</v>
      </c>
      <c r="D44" s="6">
        <v>107985</v>
      </c>
      <c r="E44" s="7">
        <v>8.6130756900598993</v>
      </c>
      <c r="F44" s="7">
        <v>3.3956475436403202</v>
      </c>
      <c r="G44" s="7">
        <v>9.1835810529240192</v>
      </c>
      <c r="H44" s="7">
        <v>9.7337037551511791</v>
      </c>
      <c r="I44" s="7">
        <v>9.9134972449877292</v>
      </c>
      <c r="J44" s="7">
        <v>85.580404685836001</v>
      </c>
      <c r="K44" s="7">
        <v>97.745983238412705</v>
      </c>
      <c r="L44" s="7">
        <v>99.666620363939401</v>
      </c>
      <c r="M44" s="7">
        <v>100</v>
      </c>
      <c r="N44" s="7">
        <v>8.7265976440223696</v>
      </c>
      <c r="O44" s="7">
        <v>6.6877436681020503</v>
      </c>
      <c r="P44" s="7">
        <v>9.3015789229985604</v>
      </c>
      <c r="Q44" s="7">
        <v>9.83104134833542</v>
      </c>
      <c r="R44" s="7">
        <v>9.9404454322359594</v>
      </c>
      <c r="S44" s="7">
        <v>89.993980645459999</v>
      </c>
      <c r="T44" s="7">
        <v>99.589757836736595</v>
      </c>
      <c r="U44" s="7">
        <v>100</v>
      </c>
      <c r="V44" s="7">
        <v>100</v>
      </c>
      <c r="W44" s="7">
        <v>6.9111547979452101</v>
      </c>
      <c r="X44" s="7">
        <v>9.2691855350280097</v>
      </c>
      <c r="Y44" s="7">
        <v>9.9892577672824903</v>
      </c>
      <c r="Z44" s="7">
        <v>10</v>
      </c>
      <c r="AA44" s="7">
        <v>10</v>
      </c>
      <c r="AB44" s="7">
        <v>99.306385146085105</v>
      </c>
      <c r="AC44" s="7">
        <v>100</v>
      </c>
      <c r="AD44" s="7">
        <v>100</v>
      </c>
      <c r="AE44" s="7">
        <v>100</v>
      </c>
      <c r="AF44" s="6">
        <v>11.1570481580574</v>
      </c>
      <c r="AG44" s="6">
        <v>2.4721766912071099</v>
      </c>
      <c r="AH44" s="6">
        <v>6.6686947261193703</v>
      </c>
      <c r="AI44" s="6">
        <v>8.1400009260545403</v>
      </c>
      <c r="AJ44" s="6">
        <v>8.8772144279298093</v>
      </c>
      <c r="AK44" s="6">
        <v>82.780015742927304</v>
      </c>
      <c r="AL44" s="6">
        <v>93.454646478677603</v>
      </c>
      <c r="AM44" s="6">
        <v>95.458628513219395</v>
      </c>
      <c r="AN44" s="6">
        <v>98.340510256054102</v>
      </c>
      <c r="AO44" s="6">
        <v>12.175172100266099</v>
      </c>
      <c r="AP44" s="7">
        <v>1.5049960642681901</v>
      </c>
      <c r="AQ44" s="7">
        <v>7.0709079964809902</v>
      </c>
      <c r="AR44" s="7">
        <v>9.5753947307496396</v>
      </c>
      <c r="AS44" s="7">
        <v>9.92504514515905</v>
      </c>
      <c r="AT44" s="7">
        <v>68.408575265083101</v>
      </c>
      <c r="AU44" s="7">
        <v>98.675742001203901</v>
      </c>
      <c r="AV44" s="7">
        <v>99.846274945594303</v>
      </c>
      <c r="AW44" s="7">
        <v>100</v>
      </c>
      <c r="AX44" s="7">
        <v>10.905917144529299</v>
      </c>
      <c r="AY44" s="7">
        <v>3.4395517896004102</v>
      </c>
      <c r="AZ44" s="7">
        <v>8.2453581515951306</v>
      </c>
      <c r="BA44" s="7">
        <v>9.6502940223179206</v>
      </c>
      <c r="BB44" s="7">
        <v>9.9049682826318506</v>
      </c>
      <c r="BC44" s="7">
        <v>81.716905125711904</v>
      </c>
      <c r="BD44" s="7">
        <v>99.636060563967206</v>
      </c>
      <c r="BE44" s="7">
        <v>100</v>
      </c>
      <c r="BF44" s="7">
        <v>100</v>
      </c>
      <c r="BG44" s="7">
        <v>7.9740578612348596</v>
      </c>
      <c r="BH44" s="7">
        <v>7.3785710978376597</v>
      </c>
      <c r="BI44" s="7">
        <v>9.99239709218873</v>
      </c>
      <c r="BJ44" s="7">
        <v>10</v>
      </c>
      <c r="BK44" s="7">
        <v>10</v>
      </c>
      <c r="BL44" s="7">
        <v>99.472148909570805</v>
      </c>
      <c r="BM44" s="7">
        <v>100</v>
      </c>
      <c r="BN44" s="7">
        <v>100</v>
      </c>
      <c r="BO44" s="7">
        <v>100</v>
      </c>
      <c r="BP44" s="6">
        <v>18.641758550218601</v>
      </c>
      <c r="BQ44" s="6">
        <v>1.0684724730286601</v>
      </c>
      <c r="BR44" s="6">
        <v>3.33986201787285</v>
      </c>
      <c r="BS44" s="6">
        <v>5.0837523730147698</v>
      </c>
      <c r="BT44" s="6">
        <v>6.4786498124739502</v>
      </c>
      <c r="BU44" s="6">
        <v>55.046534240866798</v>
      </c>
      <c r="BV44" s="6">
        <v>81.545585034958606</v>
      </c>
      <c r="BW44" s="6">
        <v>89.418900773255501</v>
      </c>
      <c r="BX44" s="6">
        <v>98.181228874380693</v>
      </c>
      <c r="BY44" s="6" t="str">
        <f>TRIM(Table1[[#This Row],[LA_Name]])</f>
        <v>Lancaster</v>
      </c>
      <c r="BZ44" s="7">
        <v>24.4051734719005</v>
      </c>
      <c r="CA44" s="7">
        <v>0.25189609668009399</v>
      </c>
      <c r="CB44" s="7">
        <v>0.90561652081307598</v>
      </c>
      <c r="CC44" s="7">
        <v>1.9215446589804099</v>
      </c>
      <c r="CD44" s="7">
        <v>4.1937306107329704</v>
      </c>
      <c r="CE44" s="7">
        <v>25.1896096680094</v>
      </c>
      <c r="CF44" s="7">
        <v>66.709265175718798</v>
      </c>
      <c r="CG44" s="7">
        <v>94.986340695467007</v>
      </c>
      <c r="CH44" s="7">
        <v>99.0072695281752</v>
      </c>
      <c r="CI44" s="7">
        <v>23.916645113843501</v>
      </c>
      <c r="CJ44" s="7">
        <v>0.41530768162244802</v>
      </c>
      <c r="CK44" s="7">
        <v>1.0622123443070799</v>
      </c>
      <c r="CL44" s="7">
        <v>1.55783673658378</v>
      </c>
      <c r="CM44" s="7">
        <v>1.8630272723063399</v>
      </c>
      <c r="CN44" s="7">
        <v>41.335370653331502</v>
      </c>
      <c r="CO44" s="7">
        <v>68.663240264851595</v>
      </c>
      <c r="CP44" s="7">
        <v>93.189794878918406</v>
      </c>
      <c r="CQ44" s="7">
        <v>96.108718803537499</v>
      </c>
      <c r="CR44" s="7">
        <v>14.018826950018701</v>
      </c>
      <c r="CS44" s="7">
        <v>0.75144696022595703</v>
      </c>
      <c r="CT44" s="7">
        <v>1.96741214057508</v>
      </c>
      <c r="CU44" s="7">
        <v>4.0697967310274601</v>
      </c>
      <c r="CV44" s="7">
        <v>9.9286289762466993</v>
      </c>
      <c r="CW44" s="7">
        <v>53.227763115247498</v>
      </c>
      <c r="CX44" s="7">
        <v>97.825623929249403</v>
      </c>
      <c r="CY44" s="7">
        <v>100</v>
      </c>
      <c r="CZ44" s="7">
        <v>100</v>
      </c>
      <c r="DA44" s="9">
        <v>55.193135182954798</v>
      </c>
      <c r="DB44" s="9">
        <v>0.189757836736584</v>
      </c>
      <c r="DC44" s="9">
        <v>0.39672176691207101</v>
      </c>
      <c r="DD44" s="9">
        <v>0.51320090753345404</v>
      </c>
      <c r="DE44" s="9">
        <v>0.71723850534796496</v>
      </c>
      <c r="DF44" s="9">
        <v>18.975783673658398</v>
      </c>
      <c r="DG44" s="9">
        <v>39.672176691207099</v>
      </c>
      <c r="DH44" s="9">
        <v>46.800944575635498</v>
      </c>
      <c r="DI44" s="9">
        <v>52.8564152428578</v>
      </c>
    </row>
    <row r="45" spans="1:113">
      <c r="A45" s="5" t="s">
        <v>139</v>
      </c>
      <c r="B45" s="5" t="s">
        <v>200</v>
      </c>
      <c r="C45" s="5" t="s">
        <v>201</v>
      </c>
      <c r="D45" s="6">
        <v>65214</v>
      </c>
      <c r="E45" s="7">
        <v>7.5968555836101004</v>
      </c>
      <c r="F45" s="7">
        <v>3.8306805287208299</v>
      </c>
      <c r="G45" s="7">
        <v>9.2615082650964506</v>
      </c>
      <c r="H45" s="7">
        <v>9.9826724322998093</v>
      </c>
      <c r="I45" s="7">
        <v>9.9945410494679106</v>
      </c>
      <c r="J45" s="7">
        <v>91.501824761554303</v>
      </c>
      <c r="K45" s="7">
        <v>99.842058453706301</v>
      </c>
      <c r="L45" s="7">
        <v>100</v>
      </c>
      <c r="M45" s="7">
        <v>100</v>
      </c>
      <c r="N45" s="7">
        <v>7.8620745433112802</v>
      </c>
      <c r="O45" s="7">
        <v>6.4493206980096298</v>
      </c>
      <c r="P45" s="7">
        <v>9.1313981660379699</v>
      </c>
      <c r="Q45" s="7">
        <v>9.9918115742018596</v>
      </c>
      <c r="R45" s="7">
        <v>10</v>
      </c>
      <c r="S45" s="7">
        <v>97.768883981967093</v>
      </c>
      <c r="T45" s="7">
        <v>100</v>
      </c>
      <c r="U45" s="7">
        <v>100</v>
      </c>
      <c r="V45" s="7">
        <v>100</v>
      </c>
      <c r="W45" s="7">
        <v>6.4850142489515896</v>
      </c>
      <c r="X45" s="7">
        <v>9.1369184530928909</v>
      </c>
      <c r="Y45" s="7">
        <v>10</v>
      </c>
      <c r="Z45" s="7">
        <v>10</v>
      </c>
      <c r="AA45" s="7">
        <v>10</v>
      </c>
      <c r="AB45" s="7">
        <v>100</v>
      </c>
      <c r="AC45" s="7">
        <v>100</v>
      </c>
      <c r="AD45" s="7">
        <v>100</v>
      </c>
      <c r="AE45" s="7">
        <v>100</v>
      </c>
      <c r="AF45" s="6">
        <v>8.8434388332538401</v>
      </c>
      <c r="AG45" s="6">
        <v>2.6222896923973402</v>
      </c>
      <c r="AH45" s="6">
        <v>6.2894163829852499</v>
      </c>
      <c r="AI45" s="6">
        <v>7.8409697304259804</v>
      </c>
      <c r="AJ45" s="6">
        <v>8.6261232250743696</v>
      </c>
      <c r="AK45" s="6">
        <v>84.233446805900599</v>
      </c>
      <c r="AL45" s="6">
        <v>97.853221700861795</v>
      </c>
      <c r="AM45" s="6">
        <v>99.682583494341699</v>
      </c>
      <c r="AN45" s="6">
        <v>100</v>
      </c>
      <c r="AO45" s="6">
        <v>8.0727688721451205</v>
      </c>
      <c r="AP45" s="7">
        <v>3.1518538964026099</v>
      </c>
      <c r="AQ45" s="7">
        <v>9.3757015364798999</v>
      </c>
      <c r="AR45" s="7">
        <v>9.98161437728095</v>
      </c>
      <c r="AS45" s="7">
        <v>10</v>
      </c>
      <c r="AT45" s="7">
        <v>91.429754347226094</v>
      </c>
      <c r="AU45" s="7">
        <v>99.727052473395304</v>
      </c>
      <c r="AV45" s="7">
        <v>100</v>
      </c>
      <c r="AW45" s="7">
        <v>100</v>
      </c>
      <c r="AX45" s="7">
        <v>8.2075681402700305</v>
      </c>
      <c r="AY45" s="7">
        <v>5.5873278743828001</v>
      </c>
      <c r="AZ45" s="7">
        <v>9.0067470175115805</v>
      </c>
      <c r="BA45" s="7">
        <v>9.9822890790321104</v>
      </c>
      <c r="BB45" s="7">
        <v>10</v>
      </c>
      <c r="BC45" s="7">
        <v>93.748274910295294</v>
      </c>
      <c r="BD45" s="7">
        <v>100</v>
      </c>
      <c r="BE45" s="7">
        <v>100</v>
      </c>
      <c r="BF45" s="7">
        <v>100</v>
      </c>
      <c r="BG45" s="7">
        <v>6.6269074141180404</v>
      </c>
      <c r="BH45" s="7">
        <v>9.0017634250314291</v>
      </c>
      <c r="BI45" s="7">
        <v>10</v>
      </c>
      <c r="BJ45" s="7">
        <v>10</v>
      </c>
      <c r="BK45" s="7">
        <v>10</v>
      </c>
      <c r="BL45" s="7">
        <v>100</v>
      </c>
      <c r="BM45" s="7">
        <v>100</v>
      </c>
      <c r="BN45" s="7">
        <v>100</v>
      </c>
      <c r="BO45" s="7">
        <v>100</v>
      </c>
      <c r="BP45" s="6">
        <v>9.9557471017567405</v>
      </c>
      <c r="BQ45" s="6">
        <v>1.9163063145950301</v>
      </c>
      <c r="BR45" s="6">
        <v>5.2312233569478899</v>
      </c>
      <c r="BS45" s="6">
        <v>7.4645014874106801</v>
      </c>
      <c r="BT45" s="6">
        <v>8.3145336890851596</v>
      </c>
      <c r="BU45" s="6">
        <v>84.560063789983701</v>
      </c>
      <c r="BV45" s="6">
        <v>92.777624436470703</v>
      </c>
      <c r="BW45" s="6">
        <v>99.179624007114995</v>
      </c>
      <c r="BX45" s="6">
        <v>100</v>
      </c>
      <c r="BY45" s="6" t="str">
        <f>TRIM(Table1[[#This Row],[LA_Name]])</f>
        <v>Pendle</v>
      </c>
      <c r="BZ45" s="7">
        <v>34.4874582763875</v>
      </c>
      <c r="CA45" s="7">
        <v>0</v>
      </c>
      <c r="CB45" s="7">
        <v>0.33567945533167698</v>
      </c>
      <c r="CC45" s="7">
        <v>0.99858925997485204</v>
      </c>
      <c r="CD45" s="7">
        <v>1.7982335081424199</v>
      </c>
      <c r="CE45" s="7">
        <v>0</v>
      </c>
      <c r="CF45" s="7">
        <v>33.567945533167702</v>
      </c>
      <c r="CG45" s="7">
        <v>91.346950041402195</v>
      </c>
      <c r="CH45" s="7">
        <v>98.472720581470199</v>
      </c>
      <c r="CI45" s="7">
        <v>35.868859709608898</v>
      </c>
      <c r="CJ45" s="7">
        <v>0</v>
      </c>
      <c r="CK45" s="7">
        <v>0.398426718189346</v>
      </c>
      <c r="CL45" s="7">
        <v>0.72196154200018403</v>
      </c>
      <c r="CM45" s="7">
        <v>1.0250713037077901</v>
      </c>
      <c r="CN45" s="7">
        <v>0</v>
      </c>
      <c r="CO45" s="7">
        <v>39.842671818934598</v>
      </c>
      <c r="CP45" s="7">
        <v>72.196154200018398</v>
      </c>
      <c r="CQ45" s="7">
        <v>100</v>
      </c>
      <c r="CR45" s="7">
        <v>14.410079146307501</v>
      </c>
      <c r="CS45" s="7">
        <v>0.63262489649461795</v>
      </c>
      <c r="CT45" s="7">
        <v>1.85659520961757</v>
      </c>
      <c r="CU45" s="7">
        <v>7.3465360198730298</v>
      </c>
      <c r="CV45" s="7">
        <v>10</v>
      </c>
      <c r="CW45" s="7">
        <v>63.262489649461799</v>
      </c>
      <c r="CX45" s="7">
        <v>100</v>
      </c>
      <c r="CY45" s="7">
        <v>100</v>
      </c>
      <c r="CZ45" s="7">
        <v>100</v>
      </c>
      <c r="DA45" s="9">
        <v>91.769001392094594</v>
      </c>
      <c r="DB45" s="9">
        <v>0</v>
      </c>
      <c r="DC45" s="9">
        <v>0</v>
      </c>
      <c r="DD45" s="9">
        <v>4.5573036464562802E-2</v>
      </c>
      <c r="DE45" s="9">
        <v>0.13849786855583199</v>
      </c>
      <c r="DF45" s="9">
        <v>0</v>
      </c>
      <c r="DG45" s="9">
        <v>0</v>
      </c>
      <c r="DH45" s="9">
        <v>4.5573036464562797</v>
      </c>
      <c r="DI45" s="9">
        <v>13.849786855583201</v>
      </c>
    </row>
    <row r="46" spans="1:113">
      <c r="A46" s="5" t="s">
        <v>139</v>
      </c>
      <c r="B46" s="5" t="s">
        <v>202</v>
      </c>
      <c r="C46" s="5" t="s">
        <v>203</v>
      </c>
      <c r="D46" s="6">
        <v>104166</v>
      </c>
      <c r="E46" s="7">
        <v>8.34054122405316</v>
      </c>
      <c r="F46" s="7">
        <v>3.6620970374210402</v>
      </c>
      <c r="G46" s="7">
        <v>9.6212103757464007</v>
      </c>
      <c r="H46" s="7">
        <v>9.9116986348712608</v>
      </c>
      <c r="I46" s="7">
        <v>9.9556093158996202</v>
      </c>
      <c r="J46" s="7">
        <v>89.783614615133502</v>
      </c>
      <c r="K46" s="7">
        <v>98.532150605763903</v>
      </c>
      <c r="L46" s="7">
        <v>99.695678052339503</v>
      </c>
      <c r="M46" s="7">
        <v>100</v>
      </c>
      <c r="N46" s="7">
        <v>8.5255282768087106</v>
      </c>
      <c r="O46" s="7">
        <v>8.2218766200103701</v>
      </c>
      <c r="P46" s="7">
        <v>9.7497071981260692</v>
      </c>
      <c r="Q46" s="7">
        <v>9.9690398018547306</v>
      </c>
      <c r="R46" s="7">
        <v>10</v>
      </c>
      <c r="S46" s="7">
        <v>93.812760401666594</v>
      </c>
      <c r="T46" s="7">
        <v>99.135034464220595</v>
      </c>
      <c r="U46" s="7">
        <v>100</v>
      </c>
      <c r="V46" s="7">
        <v>100</v>
      </c>
      <c r="W46" s="7">
        <v>6.9618076913114102</v>
      </c>
      <c r="X46" s="7">
        <v>9.6173991513545705</v>
      </c>
      <c r="Y46" s="7">
        <v>10</v>
      </c>
      <c r="Z46" s="7">
        <v>10</v>
      </c>
      <c r="AA46" s="7">
        <v>10</v>
      </c>
      <c r="AB46" s="7">
        <v>98.837432559568398</v>
      </c>
      <c r="AC46" s="7">
        <v>100</v>
      </c>
      <c r="AD46" s="7">
        <v>100</v>
      </c>
      <c r="AE46" s="7">
        <v>100</v>
      </c>
      <c r="AF46" s="6">
        <v>10.8030831669235</v>
      </c>
      <c r="AG46" s="6">
        <v>2.5216577386095298</v>
      </c>
      <c r="AH46" s="6">
        <v>8.3051187527600199</v>
      </c>
      <c r="AI46" s="6">
        <v>9.3572086861355892</v>
      </c>
      <c r="AJ46" s="6">
        <v>9.5867269550525105</v>
      </c>
      <c r="AK46" s="6">
        <v>82.315726820651605</v>
      </c>
      <c r="AL46" s="6">
        <v>93.599639037689798</v>
      </c>
      <c r="AM46" s="6">
        <v>96.287656240999894</v>
      </c>
      <c r="AN46" s="6">
        <v>97.4972639824895</v>
      </c>
      <c r="AO46" s="6">
        <v>8.8918271877487101</v>
      </c>
      <c r="AP46" s="7">
        <v>3.0433250772804898</v>
      </c>
      <c r="AQ46" s="7">
        <v>9.5527811377992808</v>
      </c>
      <c r="AR46" s="7">
        <v>9.9314555613155893</v>
      </c>
      <c r="AS46" s="7">
        <v>9.9793406677802707</v>
      </c>
      <c r="AT46" s="7">
        <v>87.146477737457502</v>
      </c>
      <c r="AU46" s="7">
        <v>99.411516233703907</v>
      </c>
      <c r="AV46" s="7">
        <v>100</v>
      </c>
      <c r="AW46" s="7">
        <v>100</v>
      </c>
      <c r="AX46" s="7">
        <v>8.6708803380952197</v>
      </c>
      <c r="AY46" s="7">
        <v>6.8014131290440298</v>
      </c>
      <c r="AZ46" s="7">
        <v>9.8503830424514707</v>
      </c>
      <c r="BA46" s="7">
        <v>10</v>
      </c>
      <c r="BB46" s="7">
        <v>10</v>
      </c>
      <c r="BC46" s="7">
        <v>96.942380431234795</v>
      </c>
      <c r="BD46" s="7">
        <v>100</v>
      </c>
      <c r="BE46" s="7">
        <v>100</v>
      </c>
      <c r="BF46" s="7">
        <v>100</v>
      </c>
      <c r="BG46" s="7">
        <v>7.1409388792564501</v>
      </c>
      <c r="BH46" s="7">
        <v>9.6636426473129404</v>
      </c>
      <c r="BI46" s="7">
        <v>10</v>
      </c>
      <c r="BJ46" s="7">
        <v>10</v>
      </c>
      <c r="BK46" s="7">
        <v>10</v>
      </c>
      <c r="BL46" s="7">
        <v>100</v>
      </c>
      <c r="BM46" s="7">
        <v>100</v>
      </c>
      <c r="BN46" s="7">
        <v>100</v>
      </c>
      <c r="BO46" s="7">
        <v>100</v>
      </c>
      <c r="BP46" s="6">
        <v>10.829385692133201</v>
      </c>
      <c r="BQ46" s="6">
        <v>2.1723883032851399</v>
      </c>
      <c r="BR46" s="6">
        <v>6.5994278363381502</v>
      </c>
      <c r="BS46" s="6">
        <v>8.7274926559530002</v>
      </c>
      <c r="BT46" s="6">
        <v>9.6001286408233</v>
      </c>
      <c r="BU46" s="6">
        <v>75.847205422114698</v>
      </c>
      <c r="BV46" s="6">
        <v>97.340782981011102</v>
      </c>
      <c r="BW46" s="6">
        <v>99.180154752990404</v>
      </c>
      <c r="BX46" s="6">
        <v>99.768638519286498</v>
      </c>
      <c r="BY46" s="6" t="str">
        <f>TRIM(Table1[[#This Row],[LA_Name]])</f>
        <v>Preston</v>
      </c>
      <c r="BZ46" s="7">
        <v>18.433966096303202</v>
      </c>
      <c r="CA46" s="7">
        <v>0.59587581360520703</v>
      </c>
      <c r="CB46" s="7">
        <v>4.1405832997331196</v>
      </c>
      <c r="CC46" s="7">
        <v>7.2304590749380804</v>
      </c>
      <c r="CD46" s="7">
        <v>9.0866021542537894</v>
      </c>
      <c r="CE46" s="7">
        <v>34.080218113395901</v>
      </c>
      <c r="CF46" s="7">
        <v>93.089875775205002</v>
      </c>
      <c r="CG46" s="7">
        <v>97.378223220628598</v>
      </c>
      <c r="CH46" s="7">
        <v>99.237755121632802</v>
      </c>
      <c r="CI46" s="7">
        <v>14.2419564912843</v>
      </c>
      <c r="CJ46" s="7">
        <v>2.0007776049766699</v>
      </c>
      <c r="CK46" s="7">
        <v>5.8254420828293298</v>
      </c>
      <c r="CL46" s="7">
        <v>7.6489449532476996</v>
      </c>
      <c r="CM46" s="7">
        <v>9.2742353551062706</v>
      </c>
      <c r="CN46" s="7">
        <v>65.105696676458706</v>
      </c>
      <c r="CO46" s="7">
        <v>95.147168941881205</v>
      </c>
      <c r="CP46" s="7">
        <v>99.514236891116099</v>
      </c>
      <c r="CQ46" s="7">
        <v>100</v>
      </c>
      <c r="CR46" s="7">
        <v>10.0635302143021</v>
      </c>
      <c r="CS46" s="7">
        <v>4.3819576445289297</v>
      </c>
      <c r="CT46" s="7">
        <v>9.68185396386537</v>
      </c>
      <c r="CU46" s="7">
        <v>10</v>
      </c>
      <c r="CV46" s="7">
        <v>10</v>
      </c>
      <c r="CW46" s="7">
        <v>93.570838853368699</v>
      </c>
      <c r="CX46" s="7">
        <v>100</v>
      </c>
      <c r="CY46" s="7">
        <v>100</v>
      </c>
      <c r="CZ46" s="7">
        <v>100</v>
      </c>
      <c r="DA46" s="9">
        <v>28.448997510543101</v>
      </c>
      <c r="DB46" s="9">
        <v>0.43546838699767698</v>
      </c>
      <c r="DC46" s="9">
        <v>1.7987155117792799</v>
      </c>
      <c r="DD46" s="9">
        <v>3.2116909548221102</v>
      </c>
      <c r="DE46" s="9">
        <v>4.6956780523395398</v>
      </c>
      <c r="DF46" s="9">
        <v>25.3998425589924</v>
      </c>
      <c r="DG46" s="9">
        <v>64.013209684542005</v>
      </c>
      <c r="DH46" s="9">
        <v>83.493654359387904</v>
      </c>
      <c r="DI46" s="9">
        <v>93.547798705911703</v>
      </c>
    </row>
    <row r="47" spans="1:113">
      <c r="A47" s="5" t="s">
        <v>139</v>
      </c>
      <c r="B47" s="5" t="s">
        <v>204</v>
      </c>
      <c r="C47" s="5" t="s">
        <v>205</v>
      </c>
      <c r="D47" s="6">
        <v>43933</v>
      </c>
      <c r="E47" s="7">
        <v>14.658980390180499</v>
      </c>
      <c r="F47" s="7">
        <v>1.11437871304031</v>
      </c>
      <c r="G47" s="7">
        <v>6.02064507317961</v>
      </c>
      <c r="H47" s="7">
        <v>9.0572462613525104</v>
      </c>
      <c r="I47" s="7">
        <v>9.6566590034825808</v>
      </c>
      <c r="J47" s="7">
        <v>61.122618532765799</v>
      </c>
      <c r="K47" s="7">
        <v>93.055334258985297</v>
      </c>
      <c r="L47" s="7">
        <v>98.154007238294696</v>
      </c>
      <c r="M47" s="7">
        <v>98.154007238294696</v>
      </c>
      <c r="N47" s="7">
        <v>12.7808540373999</v>
      </c>
      <c r="O47" s="7">
        <v>1.9327384881524099</v>
      </c>
      <c r="P47" s="7">
        <v>6.13518311975053</v>
      </c>
      <c r="Q47" s="7">
        <v>9.0704937063255393</v>
      </c>
      <c r="R47" s="7">
        <v>9.8606059226549494</v>
      </c>
      <c r="S47" s="7">
        <v>69.130266542234807</v>
      </c>
      <c r="T47" s="7">
        <v>95.784490018892399</v>
      </c>
      <c r="U47" s="7">
        <v>99.433227869710706</v>
      </c>
      <c r="V47" s="7">
        <v>100</v>
      </c>
      <c r="W47" s="7">
        <v>8.5435285375692001</v>
      </c>
      <c r="X47" s="7">
        <v>5.7606582751007203</v>
      </c>
      <c r="Y47" s="7">
        <v>9.9278219106366503</v>
      </c>
      <c r="Z47" s="7">
        <v>10</v>
      </c>
      <c r="AA47" s="7">
        <v>10</v>
      </c>
      <c r="AB47" s="7">
        <v>95.124393963535397</v>
      </c>
      <c r="AC47" s="7">
        <v>100</v>
      </c>
      <c r="AD47" s="7">
        <v>100</v>
      </c>
      <c r="AE47" s="7">
        <v>100</v>
      </c>
      <c r="AF47" s="6">
        <v>24.9757699914021</v>
      </c>
      <c r="AG47" s="6">
        <v>0.90890674436073104</v>
      </c>
      <c r="AH47" s="6">
        <v>1.85924020667835</v>
      </c>
      <c r="AI47" s="6">
        <v>2.89222224751326</v>
      </c>
      <c r="AJ47" s="6">
        <v>4.0581339767372997</v>
      </c>
      <c r="AK47" s="6">
        <v>50.900234447909298</v>
      </c>
      <c r="AL47" s="6">
        <v>67.912503129765796</v>
      </c>
      <c r="AM47" s="6">
        <v>77.224409896888403</v>
      </c>
      <c r="AN47" s="6">
        <v>88.876243370587005</v>
      </c>
      <c r="AO47" s="6">
        <v>12.6715507899666</v>
      </c>
      <c r="AP47" s="7">
        <v>1.8410534222566199</v>
      </c>
      <c r="AQ47" s="7">
        <v>7.2558668882161497</v>
      </c>
      <c r="AR47" s="7">
        <v>9.4524617030478204</v>
      </c>
      <c r="AS47" s="7">
        <v>9.7728814330912996</v>
      </c>
      <c r="AT47" s="7">
        <v>69.883686522659502</v>
      </c>
      <c r="AU47" s="7">
        <v>92.777638677076496</v>
      </c>
      <c r="AV47" s="7">
        <v>99.160084674390504</v>
      </c>
      <c r="AW47" s="7">
        <v>99.160084674390504</v>
      </c>
      <c r="AX47" s="7">
        <v>11.777668778772</v>
      </c>
      <c r="AY47" s="7">
        <v>2.70243325063164</v>
      </c>
      <c r="AZ47" s="7">
        <v>7.3541756765984596</v>
      </c>
      <c r="BA47" s="7">
        <v>9.5525914460656001</v>
      </c>
      <c r="BB47" s="7">
        <v>9.9043088339061693</v>
      </c>
      <c r="BC47" s="7">
        <v>74.766121139007097</v>
      </c>
      <c r="BD47" s="7">
        <v>96.342157376004394</v>
      </c>
      <c r="BE47" s="7">
        <v>100</v>
      </c>
      <c r="BF47" s="7">
        <v>100</v>
      </c>
      <c r="BG47" s="7">
        <v>8.1182405094395698</v>
      </c>
      <c r="BH47" s="7">
        <v>6.9327384881524097</v>
      </c>
      <c r="BI47" s="7">
        <v>9.9612591901304306</v>
      </c>
      <c r="BJ47" s="7">
        <v>10</v>
      </c>
      <c r="BK47" s="7">
        <v>10</v>
      </c>
      <c r="BL47" s="7">
        <v>96.191928618578302</v>
      </c>
      <c r="BM47" s="7">
        <v>100</v>
      </c>
      <c r="BN47" s="7">
        <v>100</v>
      </c>
      <c r="BO47" s="7">
        <v>100</v>
      </c>
      <c r="BP47" s="6">
        <v>21.163220545687398</v>
      </c>
      <c r="BQ47" s="6">
        <v>1.30735438053399</v>
      </c>
      <c r="BR47" s="6">
        <v>2.6097011358204498</v>
      </c>
      <c r="BS47" s="6">
        <v>3.44959369949696</v>
      </c>
      <c r="BT47" s="6">
        <v>5.0411990986274597</v>
      </c>
      <c r="BU47" s="6">
        <v>59.8638836409988</v>
      </c>
      <c r="BV47" s="6">
        <v>74.151548949536803</v>
      </c>
      <c r="BW47" s="6">
        <v>86.024173172785794</v>
      </c>
      <c r="BX47" s="6">
        <v>91.277627296109998</v>
      </c>
      <c r="BY47" s="6" t="str">
        <f>TRIM(Table1[[#This Row],[LA_Name]])</f>
        <v>Ribble Valley</v>
      </c>
      <c r="BZ47" s="7">
        <v>45.537353756089502</v>
      </c>
      <c r="CA47" s="7">
        <v>1.75722122322628E-2</v>
      </c>
      <c r="CB47" s="7">
        <v>0.14467484578790399</v>
      </c>
      <c r="CC47" s="7">
        <v>0.72128013110873401</v>
      </c>
      <c r="CD47" s="7">
        <v>2.6490565178795</v>
      </c>
      <c r="CE47" s="7">
        <v>1.75722122322628</v>
      </c>
      <c r="CF47" s="7">
        <v>14.467484578790399</v>
      </c>
      <c r="CG47" s="7">
        <v>58.596043976054403</v>
      </c>
      <c r="CH47" s="7">
        <v>86.741174060501194</v>
      </c>
      <c r="CI47" s="7">
        <v>52.948254297772401</v>
      </c>
      <c r="CJ47" s="7">
        <v>4.4408531172467201E-2</v>
      </c>
      <c r="CK47" s="7">
        <v>0.133316641249175</v>
      </c>
      <c r="CL47" s="7">
        <v>0.56872965652243201</v>
      </c>
      <c r="CM47" s="7">
        <v>2.0366239501058399</v>
      </c>
      <c r="CN47" s="7">
        <v>4.4408531172467196</v>
      </c>
      <c r="CO47" s="7">
        <v>11.3195092527257</v>
      </c>
      <c r="CP47" s="7">
        <v>39.3622106389275</v>
      </c>
      <c r="CQ47" s="7">
        <v>57.232604192747999</v>
      </c>
      <c r="CR47" s="7">
        <v>21.798884906707599</v>
      </c>
      <c r="CS47" s="7">
        <v>0.134841690756379</v>
      </c>
      <c r="CT47" s="7">
        <v>3.12578244144493</v>
      </c>
      <c r="CU47" s="7">
        <v>9.5249129356064905</v>
      </c>
      <c r="CV47" s="7">
        <v>10</v>
      </c>
      <c r="CW47" s="7">
        <v>13.484169075637899</v>
      </c>
      <c r="CX47" s="7">
        <v>93.943049643775794</v>
      </c>
      <c r="CY47" s="7">
        <v>100</v>
      </c>
      <c r="CZ47" s="7">
        <v>100</v>
      </c>
      <c r="DA47" s="9">
        <v>109.303390810731</v>
      </c>
      <c r="DB47" s="9">
        <v>1.75722122322628E-2</v>
      </c>
      <c r="DC47" s="9">
        <v>4.4408531172467201E-2</v>
      </c>
      <c r="DD47" s="9">
        <v>4.9552728017663299E-2</v>
      </c>
      <c r="DE47" s="9">
        <v>6.7580178908792907E-2</v>
      </c>
      <c r="DF47" s="9">
        <v>1.75722122322628</v>
      </c>
      <c r="DG47" s="9">
        <v>4.4408531172467196</v>
      </c>
      <c r="DH47" s="9">
        <v>4.9552728017663297</v>
      </c>
      <c r="DI47" s="9">
        <v>6.7580178908792901</v>
      </c>
    </row>
    <row r="48" spans="1:113">
      <c r="A48" s="5" t="s">
        <v>139</v>
      </c>
      <c r="B48" s="5" t="s">
        <v>206</v>
      </c>
      <c r="C48" s="5" t="s">
        <v>207</v>
      </c>
      <c r="D48" s="6">
        <v>51953</v>
      </c>
      <c r="E48" s="7">
        <v>7.9800057835446596</v>
      </c>
      <c r="F48" s="7">
        <v>2.5583893134179001</v>
      </c>
      <c r="G48" s="7">
        <v>9.7178796219660093</v>
      </c>
      <c r="H48" s="7">
        <v>10</v>
      </c>
      <c r="I48" s="7">
        <v>10</v>
      </c>
      <c r="J48" s="7">
        <v>93.524916751679399</v>
      </c>
      <c r="K48" s="7">
        <v>100</v>
      </c>
      <c r="L48" s="7">
        <v>100</v>
      </c>
      <c r="M48" s="7">
        <v>100</v>
      </c>
      <c r="N48" s="7">
        <v>8.2931551671892301</v>
      </c>
      <c r="O48" s="7">
        <v>4.1529651800665999</v>
      </c>
      <c r="P48" s="7">
        <v>9.8932881643023496</v>
      </c>
      <c r="Q48" s="7">
        <v>10</v>
      </c>
      <c r="R48" s="7">
        <v>10</v>
      </c>
      <c r="S48" s="7">
        <v>96.931842242026406</v>
      </c>
      <c r="T48" s="7">
        <v>100</v>
      </c>
      <c r="U48" s="7">
        <v>100</v>
      </c>
      <c r="V48" s="7">
        <v>100</v>
      </c>
      <c r="W48" s="7">
        <v>6.8673578164617499</v>
      </c>
      <c r="X48" s="7">
        <v>9.4323138221084406</v>
      </c>
      <c r="Y48" s="7">
        <v>10</v>
      </c>
      <c r="Z48" s="7">
        <v>10</v>
      </c>
      <c r="AA48" s="7">
        <v>10</v>
      </c>
      <c r="AB48" s="7">
        <v>100</v>
      </c>
      <c r="AC48" s="7">
        <v>100</v>
      </c>
      <c r="AD48" s="7">
        <v>100</v>
      </c>
      <c r="AE48" s="7">
        <v>100</v>
      </c>
      <c r="AF48" s="6">
        <v>9.5183446841988104</v>
      </c>
      <c r="AG48" s="6">
        <v>1.7547398610282401</v>
      </c>
      <c r="AH48" s="6">
        <v>4.1000712182164696</v>
      </c>
      <c r="AI48" s="6">
        <v>6.9694916559197697</v>
      </c>
      <c r="AJ48" s="6">
        <v>9.0913902950743903</v>
      </c>
      <c r="AK48" s="6">
        <v>80.424614555463606</v>
      </c>
      <c r="AL48" s="6">
        <v>97.782611206282596</v>
      </c>
      <c r="AM48" s="6">
        <v>100</v>
      </c>
      <c r="AN48" s="6">
        <v>100</v>
      </c>
      <c r="AO48" s="6">
        <v>10.1288901373947</v>
      </c>
      <c r="AP48" s="7">
        <v>1.6186553230804801</v>
      </c>
      <c r="AQ48" s="7">
        <v>8.5382172348083802</v>
      </c>
      <c r="AR48" s="7">
        <v>10</v>
      </c>
      <c r="AS48" s="7">
        <v>10</v>
      </c>
      <c r="AT48" s="7">
        <v>84.039420245221606</v>
      </c>
      <c r="AU48" s="7">
        <v>100</v>
      </c>
      <c r="AV48" s="7">
        <v>100</v>
      </c>
      <c r="AW48" s="7">
        <v>100</v>
      </c>
      <c r="AX48" s="7">
        <v>9.1477264172876698</v>
      </c>
      <c r="AY48" s="7">
        <v>2.8080572825438401</v>
      </c>
      <c r="AZ48" s="7">
        <v>8.7107193039862896</v>
      </c>
      <c r="BA48" s="7">
        <v>10</v>
      </c>
      <c r="BB48" s="7">
        <v>10</v>
      </c>
      <c r="BC48" s="7">
        <v>96.387119126903201</v>
      </c>
      <c r="BD48" s="7">
        <v>100</v>
      </c>
      <c r="BE48" s="7">
        <v>100</v>
      </c>
      <c r="BF48" s="7">
        <v>100</v>
      </c>
      <c r="BG48" s="7">
        <v>7.2627954065055098</v>
      </c>
      <c r="BH48" s="7">
        <v>7.4862664331222497</v>
      </c>
      <c r="BI48" s="7">
        <v>10</v>
      </c>
      <c r="BJ48" s="7">
        <v>10</v>
      </c>
      <c r="BK48" s="7">
        <v>10</v>
      </c>
      <c r="BL48" s="7">
        <v>100</v>
      </c>
      <c r="BM48" s="7">
        <v>100</v>
      </c>
      <c r="BN48" s="7">
        <v>100</v>
      </c>
      <c r="BO48" s="7">
        <v>100</v>
      </c>
      <c r="BP48" s="6">
        <v>12.934786225581</v>
      </c>
      <c r="BQ48" s="6">
        <v>1.02461840509691</v>
      </c>
      <c r="BR48" s="6">
        <v>2.73033318576406</v>
      </c>
      <c r="BS48" s="6">
        <v>4.5515177179373696</v>
      </c>
      <c r="BT48" s="6">
        <v>6.9637557022693599</v>
      </c>
      <c r="BU48" s="6">
        <v>68.561969472407796</v>
      </c>
      <c r="BV48" s="6">
        <v>95.865493811714401</v>
      </c>
      <c r="BW48" s="6">
        <v>99.068388735972903</v>
      </c>
      <c r="BX48" s="6">
        <v>100</v>
      </c>
      <c r="BY48" s="6" t="str">
        <f>TRIM(Table1[[#This Row],[LA_Name]])</f>
        <v>Rossendale</v>
      </c>
      <c r="BZ48" s="7">
        <v>41.695001262284201</v>
      </c>
      <c r="CA48" s="7">
        <v>0</v>
      </c>
      <c r="CB48" s="7">
        <v>6.6560160144746194E-2</v>
      </c>
      <c r="CC48" s="7">
        <v>0.70400169383866196</v>
      </c>
      <c r="CD48" s="7">
        <v>2.59176563432333</v>
      </c>
      <c r="CE48" s="7">
        <v>0</v>
      </c>
      <c r="CF48" s="7">
        <v>6.6560160144746199</v>
      </c>
      <c r="CG48" s="7">
        <v>65.449540931226295</v>
      </c>
      <c r="CH48" s="7">
        <v>100</v>
      </c>
      <c r="CI48" s="7">
        <v>47.468594259163297</v>
      </c>
      <c r="CJ48" s="7">
        <v>0</v>
      </c>
      <c r="CK48" s="7">
        <v>8.9176755913999206E-2</v>
      </c>
      <c r="CL48" s="7">
        <v>0.31674782976921501</v>
      </c>
      <c r="CM48" s="7">
        <v>2.2204492522087298</v>
      </c>
      <c r="CN48" s="7">
        <v>0</v>
      </c>
      <c r="CO48" s="7">
        <v>8.9176755913999202</v>
      </c>
      <c r="CP48" s="7">
        <v>27.363193655804299</v>
      </c>
      <c r="CQ48" s="7">
        <v>99.083787269262601</v>
      </c>
      <c r="CR48" s="7">
        <v>23.784090186836799</v>
      </c>
      <c r="CS48" s="7">
        <v>2.09227571073855E-2</v>
      </c>
      <c r="CT48" s="7">
        <v>2.8878216849845102</v>
      </c>
      <c r="CU48" s="7">
        <v>9.0632687236540708</v>
      </c>
      <c r="CV48" s="7">
        <v>10</v>
      </c>
      <c r="CW48" s="7">
        <v>2.0922757107385501</v>
      </c>
      <c r="CX48" s="7">
        <v>100</v>
      </c>
      <c r="CY48" s="7">
        <v>100</v>
      </c>
      <c r="CZ48" s="7">
        <v>100</v>
      </c>
      <c r="DA48" s="9">
        <v>113.78681365104499</v>
      </c>
      <c r="DB48" s="9">
        <v>0</v>
      </c>
      <c r="DC48" s="9">
        <v>0</v>
      </c>
      <c r="DD48" s="9">
        <v>4.6195599869112503E-3</v>
      </c>
      <c r="DE48" s="9">
        <v>1.8285758281523699E-2</v>
      </c>
      <c r="DF48" s="9">
        <v>0</v>
      </c>
      <c r="DG48" s="9">
        <v>0</v>
      </c>
      <c r="DH48" s="9">
        <v>0.46195599869112502</v>
      </c>
      <c r="DI48" s="9">
        <v>1.8285758281523701</v>
      </c>
    </row>
    <row r="49" spans="1:113">
      <c r="A49" s="5" t="s">
        <v>139</v>
      </c>
      <c r="B49" s="5" t="s">
        <v>208</v>
      </c>
      <c r="C49" s="5" t="s">
        <v>209</v>
      </c>
      <c r="D49" s="6">
        <v>79902</v>
      </c>
      <c r="E49" s="7">
        <v>7.7757591994522199</v>
      </c>
      <c r="F49" s="7">
        <v>3.0430151936121699</v>
      </c>
      <c r="G49" s="7">
        <v>9.8537458386523493</v>
      </c>
      <c r="H49" s="7">
        <v>10</v>
      </c>
      <c r="I49" s="7">
        <v>10</v>
      </c>
      <c r="J49" s="7">
        <v>93.166629120672795</v>
      </c>
      <c r="K49" s="7">
        <v>100</v>
      </c>
      <c r="L49" s="7">
        <v>100</v>
      </c>
      <c r="M49" s="7">
        <v>100</v>
      </c>
      <c r="N49" s="7">
        <v>7.9386050503787002</v>
      </c>
      <c r="O49" s="7">
        <v>6.9190258066131003</v>
      </c>
      <c r="P49" s="7">
        <v>9.9943305549297907</v>
      </c>
      <c r="Q49" s="7">
        <v>10</v>
      </c>
      <c r="R49" s="7">
        <v>10</v>
      </c>
      <c r="S49" s="7">
        <v>98.991264298765998</v>
      </c>
      <c r="T49" s="7">
        <v>100</v>
      </c>
      <c r="U49" s="7">
        <v>100</v>
      </c>
      <c r="V49" s="7">
        <v>100</v>
      </c>
      <c r="W49" s="7">
        <v>6.6844466986224997</v>
      </c>
      <c r="X49" s="7">
        <v>9.9758203799654606</v>
      </c>
      <c r="Y49" s="7">
        <v>10</v>
      </c>
      <c r="Z49" s="7">
        <v>10</v>
      </c>
      <c r="AA49" s="7">
        <v>10</v>
      </c>
      <c r="AB49" s="7">
        <v>100</v>
      </c>
      <c r="AC49" s="7">
        <v>100</v>
      </c>
      <c r="AD49" s="7">
        <v>100</v>
      </c>
      <c r="AE49" s="7">
        <v>100</v>
      </c>
      <c r="AF49" s="6">
        <v>8.7092509765530206</v>
      </c>
      <c r="AG49" s="6">
        <v>2.3374133313308798</v>
      </c>
      <c r="AH49" s="6">
        <v>6.7203198918675398</v>
      </c>
      <c r="AI49" s="6">
        <v>9.0525018147230405</v>
      </c>
      <c r="AJ49" s="6">
        <v>9.6795574578859096</v>
      </c>
      <c r="AK49" s="6">
        <v>87.415834397136507</v>
      </c>
      <c r="AL49" s="6">
        <v>98.723436209356507</v>
      </c>
      <c r="AM49" s="6">
        <v>99.236564791869995</v>
      </c>
      <c r="AN49" s="6">
        <v>100</v>
      </c>
      <c r="AO49" s="6">
        <v>13.6129633750681</v>
      </c>
      <c r="AP49" s="7">
        <v>1.2157392806187599</v>
      </c>
      <c r="AQ49" s="7">
        <v>7.5054566844384398</v>
      </c>
      <c r="AR49" s="7">
        <v>9.9592375660183698</v>
      </c>
      <c r="AS49" s="7">
        <v>9.9960076093214205</v>
      </c>
      <c r="AT49" s="7">
        <v>58.726940502115099</v>
      </c>
      <c r="AU49" s="7">
        <v>99.406773297289206</v>
      </c>
      <c r="AV49" s="7">
        <v>100</v>
      </c>
      <c r="AW49" s="7">
        <v>100</v>
      </c>
      <c r="AX49" s="7">
        <v>11.1751496973499</v>
      </c>
      <c r="AY49" s="7">
        <v>2.9285750043803702</v>
      </c>
      <c r="AZ49" s="7">
        <v>9.3627819078370997</v>
      </c>
      <c r="BA49" s="7">
        <v>10</v>
      </c>
      <c r="BB49" s="7">
        <v>10</v>
      </c>
      <c r="BC49" s="7">
        <v>79.195764811894605</v>
      </c>
      <c r="BD49" s="7">
        <v>100</v>
      </c>
      <c r="BE49" s="7">
        <v>100</v>
      </c>
      <c r="BF49" s="7">
        <v>100</v>
      </c>
      <c r="BG49" s="7">
        <v>8.1013312346168203</v>
      </c>
      <c r="BH49" s="7">
        <v>8.6212860754424199</v>
      </c>
      <c r="BI49" s="7">
        <v>10</v>
      </c>
      <c r="BJ49" s="7">
        <v>10</v>
      </c>
      <c r="BK49" s="7">
        <v>10</v>
      </c>
      <c r="BL49" s="7">
        <v>100</v>
      </c>
      <c r="BM49" s="7">
        <v>100</v>
      </c>
      <c r="BN49" s="7">
        <v>100</v>
      </c>
      <c r="BO49" s="7">
        <v>100</v>
      </c>
      <c r="BP49" s="6">
        <v>19.3452862364094</v>
      </c>
      <c r="BQ49" s="6">
        <v>0.84805136291957695</v>
      </c>
      <c r="BR49" s="6">
        <v>2.7803934820154699</v>
      </c>
      <c r="BS49" s="6">
        <v>5.4649695877449904</v>
      </c>
      <c r="BT49" s="6">
        <v>8.2952491802458006</v>
      </c>
      <c r="BU49" s="6">
        <v>48.148982503566899</v>
      </c>
      <c r="BV49" s="6">
        <v>76.8516432629972</v>
      </c>
      <c r="BW49" s="6">
        <v>94.473229706390299</v>
      </c>
      <c r="BX49" s="6">
        <v>99.753447973767905</v>
      </c>
      <c r="BY49" s="6" t="str">
        <f>TRIM(Table1[[#This Row],[LA_Name]])</f>
        <v>South Ribble</v>
      </c>
      <c r="BZ49" s="7">
        <v>21.801573909280702</v>
      </c>
      <c r="CA49" s="7">
        <v>0.15362569147205299</v>
      </c>
      <c r="CB49" s="7">
        <v>2.09633050486846</v>
      </c>
      <c r="CC49" s="7">
        <v>6.0185352056268897</v>
      </c>
      <c r="CD49" s="7">
        <v>9.5662811944632207</v>
      </c>
      <c r="CE49" s="7">
        <v>15.362569147205299</v>
      </c>
      <c r="CF49" s="7">
        <v>86.926484944056497</v>
      </c>
      <c r="CG49" s="7">
        <v>99.600760932141895</v>
      </c>
      <c r="CH49" s="7">
        <v>100</v>
      </c>
      <c r="CI49" s="7">
        <v>17.421066269534801</v>
      </c>
      <c r="CJ49" s="7">
        <v>0.40663562864509001</v>
      </c>
      <c r="CK49" s="7">
        <v>3.9126304723285998</v>
      </c>
      <c r="CL49" s="7">
        <v>7.2781282070536397</v>
      </c>
      <c r="CM49" s="7">
        <v>8.4645065204875998</v>
      </c>
      <c r="CN49" s="7">
        <v>35.123025706490502</v>
      </c>
      <c r="CO49" s="7">
        <v>93.647217841856303</v>
      </c>
      <c r="CP49" s="7">
        <v>100</v>
      </c>
      <c r="CQ49" s="7">
        <v>100</v>
      </c>
      <c r="CR49" s="7">
        <v>10.9388171776266</v>
      </c>
      <c r="CS49" s="7">
        <v>2.3951215238667398</v>
      </c>
      <c r="CT49" s="7">
        <v>9.5597982528597498</v>
      </c>
      <c r="CU49" s="7">
        <v>10</v>
      </c>
      <c r="CV49" s="7">
        <v>10</v>
      </c>
      <c r="CW49" s="7">
        <v>90.071587694926293</v>
      </c>
      <c r="CX49" s="7">
        <v>100</v>
      </c>
      <c r="CY49" s="7">
        <v>100</v>
      </c>
      <c r="CZ49" s="7">
        <v>100</v>
      </c>
      <c r="DA49" s="9">
        <v>39.4173994198106</v>
      </c>
      <c r="DB49" s="9">
        <v>6.7344997622087094E-2</v>
      </c>
      <c r="DC49" s="9">
        <v>0.367400065079723</v>
      </c>
      <c r="DD49" s="9">
        <v>1.3728192035243201</v>
      </c>
      <c r="DE49" s="9">
        <v>2.4703887261895798</v>
      </c>
      <c r="DF49" s="9">
        <v>6.7344997622087099</v>
      </c>
      <c r="DG49" s="9">
        <v>31.0017271157168</v>
      </c>
      <c r="DH49" s="9">
        <v>74.090761182448503</v>
      </c>
      <c r="DI49" s="9">
        <v>86.817601561913307</v>
      </c>
    </row>
    <row r="50" spans="1:113">
      <c r="A50" s="5" t="s">
        <v>139</v>
      </c>
      <c r="B50" s="5" t="s">
        <v>210</v>
      </c>
      <c r="C50" s="5" t="s">
        <v>211</v>
      </c>
      <c r="D50" s="6">
        <v>82718</v>
      </c>
      <c r="E50" s="7">
        <v>10.1051779788215</v>
      </c>
      <c r="F50" s="7">
        <v>2.3099204526221602</v>
      </c>
      <c r="G50" s="7">
        <v>9.2922943011194707</v>
      </c>
      <c r="H50" s="7">
        <v>9.9564302811963508</v>
      </c>
      <c r="I50" s="7">
        <v>10</v>
      </c>
      <c r="J50" s="7">
        <v>79.165356996058904</v>
      </c>
      <c r="K50" s="7">
        <v>99.403999129572796</v>
      </c>
      <c r="L50" s="7">
        <v>100</v>
      </c>
      <c r="M50" s="7">
        <v>100</v>
      </c>
      <c r="N50" s="7">
        <v>9.47050613529081</v>
      </c>
      <c r="O50" s="7">
        <v>4.3797238811383297</v>
      </c>
      <c r="P50" s="7">
        <v>9.2510336323412101</v>
      </c>
      <c r="Q50" s="7">
        <v>10</v>
      </c>
      <c r="R50" s="7">
        <v>10</v>
      </c>
      <c r="S50" s="7">
        <v>91.821610773954902</v>
      </c>
      <c r="T50" s="7">
        <v>100</v>
      </c>
      <c r="U50" s="7">
        <v>100</v>
      </c>
      <c r="V50" s="7">
        <v>100</v>
      </c>
      <c r="W50" s="7">
        <v>7.3278553621627003</v>
      </c>
      <c r="X50" s="7">
        <v>9.1119345245291203</v>
      </c>
      <c r="Y50" s="7">
        <v>10</v>
      </c>
      <c r="Z50" s="7">
        <v>10</v>
      </c>
      <c r="AA50" s="7">
        <v>10</v>
      </c>
      <c r="AB50" s="7">
        <v>100</v>
      </c>
      <c r="AC50" s="7">
        <v>100</v>
      </c>
      <c r="AD50" s="7">
        <v>100</v>
      </c>
      <c r="AE50" s="7">
        <v>100</v>
      </c>
      <c r="AF50" s="6">
        <v>13.7149748018682</v>
      </c>
      <c r="AG50" s="6">
        <v>1.52677772673421</v>
      </c>
      <c r="AH50" s="6">
        <v>4.3302787785004497</v>
      </c>
      <c r="AI50" s="6">
        <v>6.8058221910587804</v>
      </c>
      <c r="AJ50" s="6">
        <v>8.0721729248772895</v>
      </c>
      <c r="AK50" s="6">
        <v>70.458666795618896</v>
      </c>
      <c r="AL50" s="6">
        <v>89.996131434512407</v>
      </c>
      <c r="AM50" s="6">
        <v>95.033729055344693</v>
      </c>
      <c r="AN50" s="6">
        <v>98.291786551899193</v>
      </c>
      <c r="AO50" s="6">
        <v>11.482635808843</v>
      </c>
      <c r="AP50" s="7">
        <v>1.43833264827486</v>
      </c>
      <c r="AQ50" s="7">
        <v>7.6305761744723002</v>
      </c>
      <c r="AR50" s="7">
        <v>9.8760003868565498</v>
      </c>
      <c r="AS50" s="7">
        <v>10</v>
      </c>
      <c r="AT50" s="7">
        <v>73.976643535868902</v>
      </c>
      <c r="AU50" s="7">
        <v>98.444111317971903</v>
      </c>
      <c r="AV50" s="7">
        <v>100</v>
      </c>
      <c r="AW50" s="7">
        <v>100</v>
      </c>
      <c r="AX50" s="7">
        <v>10.5086451425391</v>
      </c>
      <c r="AY50" s="7">
        <v>2.40571580550787</v>
      </c>
      <c r="AZ50" s="7">
        <v>8.72634734882371</v>
      </c>
      <c r="BA50" s="7">
        <v>9.8215986846877303</v>
      </c>
      <c r="BB50" s="7">
        <v>10</v>
      </c>
      <c r="BC50" s="7">
        <v>85.658502381585606</v>
      </c>
      <c r="BD50" s="7">
        <v>100</v>
      </c>
      <c r="BE50" s="7">
        <v>100</v>
      </c>
      <c r="BF50" s="7">
        <v>100</v>
      </c>
      <c r="BG50" s="7">
        <v>7.82849898248159</v>
      </c>
      <c r="BH50" s="7">
        <v>8.1535699605889906</v>
      </c>
      <c r="BI50" s="7">
        <v>10</v>
      </c>
      <c r="BJ50" s="7">
        <v>10</v>
      </c>
      <c r="BK50" s="7">
        <v>10</v>
      </c>
      <c r="BL50" s="7">
        <v>100</v>
      </c>
      <c r="BM50" s="7">
        <v>100</v>
      </c>
      <c r="BN50" s="7">
        <v>100</v>
      </c>
      <c r="BO50" s="7">
        <v>100</v>
      </c>
      <c r="BP50" s="6">
        <v>16.575885874666699</v>
      </c>
      <c r="BQ50" s="6">
        <v>0.87369133683116096</v>
      </c>
      <c r="BR50" s="6">
        <v>2.4203800865591498</v>
      </c>
      <c r="BS50" s="6">
        <v>4.0472206774825299</v>
      </c>
      <c r="BT50" s="6">
        <v>6.2204477864551899</v>
      </c>
      <c r="BU50" s="6">
        <v>58.816702531492503</v>
      </c>
      <c r="BV50" s="6">
        <v>84.803791194177805</v>
      </c>
      <c r="BW50" s="6">
        <v>95.659953093643495</v>
      </c>
      <c r="BX50" s="6">
        <v>99.397954495998405</v>
      </c>
      <c r="BY50" s="6" t="str">
        <f>TRIM(Table1[[#This Row],[LA_Name]])</f>
        <v>West Lancashire</v>
      </c>
      <c r="BZ50" s="7">
        <v>33.770195706894398</v>
      </c>
      <c r="CA50" s="7">
        <v>7.4324814429749295E-2</v>
      </c>
      <c r="CB50" s="7">
        <v>0.35473536594211702</v>
      </c>
      <c r="CC50" s="7">
        <v>1.62663507338185</v>
      </c>
      <c r="CD50" s="7">
        <v>5.7834691361009698</v>
      </c>
      <c r="CE50" s="7">
        <v>7.4324814429749297</v>
      </c>
      <c r="CF50" s="7">
        <v>34.915012451945202</v>
      </c>
      <c r="CG50" s="7">
        <v>89.500471481418799</v>
      </c>
      <c r="CH50" s="7">
        <v>99.057037162407198</v>
      </c>
      <c r="CI50" s="7">
        <v>34.5901291438011</v>
      </c>
      <c r="CJ50" s="7">
        <v>0.151756570516695</v>
      </c>
      <c r="CK50" s="7">
        <v>0.41842162528107502</v>
      </c>
      <c r="CL50" s="7">
        <v>1.10362919799802</v>
      </c>
      <c r="CM50" s="7">
        <v>3.50934500350589</v>
      </c>
      <c r="CN50" s="7">
        <v>15.1756570516695</v>
      </c>
      <c r="CO50" s="7">
        <v>40.6888464421287</v>
      </c>
      <c r="CP50" s="7">
        <v>63.990908871104203</v>
      </c>
      <c r="CQ50" s="7">
        <v>98.151551052975194</v>
      </c>
      <c r="CR50" s="7">
        <v>17.192618705326002</v>
      </c>
      <c r="CS50" s="7">
        <v>0.406042215720883</v>
      </c>
      <c r="CT50" s="7">
        <v>6.7377475277448697</v>
      </c>
      <c r="CU50" s="7">
        <v>10</v>
      </c>
      <c r="CV50" s="7">
        <v>10</v>
      </c>
      <c r="CW50" s="7">
        <v>40.604221572088299</v>
      </c>
      <c r="CX50" s="7">
        <v>100</v>
      </c>
      <c r="CY50" s="7">
        <v>100</v>
      </c>
      <c r="CZ50" s="7">
        <v>100</v>
      </c>
      <c r="DA50" s="9">
        <v>84.417591838536495</v>
      </c>
      <c r="DB50" s="9">
        <v>5.4740201648976E-2</v>
      </c>
      <c r="DC50" s="9">
        <v>0.16244348267608</v>
      </c>
      <c r="DD50" s="9">
        <v>0.21899707439735</v>
      </c>
      <c r="DE50" s="9">
        <v>0.32926328005996303</v>
      </c>
      <c r="DF50" s="9">
        <v>5.4740201648975999</v>
      </c>
      <c r="DG50" s="9">
        <v>16.244348267608</v>
      </c>
      <c r="DH50" s="9">
        <v>21.899707439735</v>
      </c>
      <c r="DI50" s="9">
        <v>32.926328005996297</v>
      </c>
    </row>
    <row r="51" spans="1:113">
      <c r="A51" s="5" t="s">
        <v>139</v>
      </c>
      <c r="B51" s="5" t="s">
        <v>212</v>
      </c>
      <c r="C51" s="5" t="s">
        <v>213</v>
      </c>
      <c r="D51" s="6">
        <v>79453</v>
      </c>
      <c r="E51" s="7">
        <v>9.0676305314764605</v>
      </c>
      <c r="F51" s="7">
        <v>3.1170503316426101</v>
      </c>
      <c r="G51" s="7">
        <v>8.4228411765446207</v>
      </c>
      <c r="H51" s="7">
        <v>9.5534592778120402</v>
      </c>
      <c r="I51" s="7">
        <v>9.7791021106817908</v>
      </c>
      <c r="J51" s="7">
        <v>89.036285602809201</v>
      </c>
      <c r="K51" s="7">
        <v>97.854077253218904</v>
      </c>
      <c r="L51" s="7">
        <v>98.821945049274404</v>
      </c>
      <c r="M51" s="7">
        <v>99.413489736070403</v>
      </c>
      <c r="N51" s="7">
        <v>8.8411138972907395</v>
      </c>
      <c r="O51" s="7">
        <v>6.4770115665865404</v>
      </c>
      <c r="P51" s="7">
        <v>8.1529457666796699</v>
      </c>
      <c r="Q51" s="7">
        <v>8.9556719066618005</v>
      </c>
      <c r="R51" s="7">
        <v>9.9619523491875697</v>
      </c>
      <c r="S51" s="7">
        <v>90.498785445483506</v>
      </c>
      <c r="T51" s="7">
        <v>99.413489736070403</v>
      </c>
      <c r="U51" s="7">
        <v>100</v>
      </c>
      <c r="V51" s="7">
        <v>100</v>
      </c>
      <c r="W51" s="7">
        <v>6.9141598053158999</v>
      </c>
      <c r="X51" s="7">
        <v>8.0577825884485197</v>
      </c>
      <c r="Y51" s="7">
        <v>9.8048657697003296</v>
      </c>
      <c r="Z51" s="7">
        <v>10</v>
      </c>
      <c r="AA51" s="7">
        <v>10</v>
      </c>
      <c r="AB51" s="7">
        <v>99.413489736070403</v>
      </c>
      <c r="AC51" s="7">
        <v>100</v>
      </c>
      <c r="AD51" s="7">
        <v>100</v>
      </c>
      <c r="AE51" s="7">
        <v>100</v>
      </c>
      <c r="AF51" s="6">
        <v>12.2081595184875</v>
      </c>
      <c r="AG51" s="6">
        <v>2.1248033428567799</v>
      </c>
      <c r="AH51" s="6">
        <v>6.0306973934275598</v>
      </c>
      <c r="AI51" s="6">
        <v>7.56078436308258</v>
      </c>
      <c r="AJ51" s="6">
        <v>7.8140913496029096</v>
      </c>
      <c r="AK51" s="6">
        <v>84.420978440084099</v>
      </c>
      <c r="AL51" s="6">
        <v>90.498785445483506</v>
      </c>
      <c r="AM51" s="6">
        <v>91.589996601764597</v>
      </c>
      <c r="AN51" s="6">
        <v>96.197752130190196</v>
      </c>
      <c r="AO51" s="6">
        <v>11.8310485132758</v>
      </c>
      <c r="AP51" s="7">
        <v>1.51809245717594</v>
      </c>
      <c r="AQ51" s="7">
        <v>7.9348923262809503</v>
      </c>
      <c r="AR51" s="7">
        <v>9.3889972688255892</v>
      </c>
      <c r="AS51" s="7">
        <v>9.7550753275521398</v>
      </c>
      <c r="AT51" s="7">
        <v>74.756145142411199</v>
      </c>
      <c r="AU51" s="7">
        <v>97.329238669402002</v>
      </c>
      <c r="AV51" s="7">
        <v>98.821945049274404</v>
      </c>
      <c r="AW51" s="7">
        <v>99.602280593558504</v>
      </c>
      <c r="AX51" s="7">
        <v>10.5662407902908</v>
      </c>
      <c r="AY51" s="7">
        <v>3.16122739229482</v>
      </c>
      <c r="AZ51" s="7">
        <v>7.85820547996929</v>
      </c>
      <c r="BA51" s="7">
        <v>9.1114117780323003</v>
      </c>
      <c r="BB51" s="7">
        <v>9.9561250047197696</v>
      </c>
      <c r="BC51" s="7">
        <v>88.015556366656995</v>
      </c>
      <c r="BD51" s="7">
        <v>97.028431903137701</v>
      </c>
      <c r="BE51" s="7">
        <v>100</v>
      </c>
      <c r="BF51" s="7">
        <v>100</v>
      </c>
      <c r="BG51" s="7">
        <v>7.6355879719126296</v>
      </c>
      <c r="BH51" s="7">
        <v>7.95864221615295</v>
      </c>
      <c r="BI51" s="7">
        <v>9.6334940153298199</v>
      </c>
      <c r="BJ51" s="7">
        <v>10</v>
      </c>
      <c r="BK51" s="7">
        <v>10</v>
      </c>
      <c r="BL51" s="7">
        <v>96.730142348306501</v>
      </c>
      <c r="BM51" s="7">
        <v>100</v>
      </c>
      <c r="BN51" s="7">
        <v>100</v>
      </c>
      <c r="BO51" s="7">
        <v>100</v>
      </c>
      <c r="BP51" s="6">
        <v>17.6128666064422</v>
      </c>
      <c r="BQ51" s="6">
        <v>1.02824311228022</v>
      </c>
      <c r="BR51" s="6">
        <v>2.9928259474154499</v>
      </c>
      <c r="BS51" s="6">
        <v>5.2063232351201298</v>
      </c>
      <c r="BT51" s="6">
        <v>6.8913193963727002</v>
      </c>
      <c r="BU51" s="6">
        <v>61.9322114961046</v>
      </c>
      <c r="BV51" s="6">
        <v>86.895397278894393</v>
      </c>
      <c r="BW51" s="6">
        <v>91.438963915774096</v>
      </c>
      <c r="BX51" s="6">
        <v>93.908348331718102</v>
      </c>
      <c r="BY51" s="6" t="str">
        <f>TRIM(Table1[[#This Row],[LA_Name]])</f>
        <v>Wyre</v>
      </c>
      <c r="BZ51" s="7">
        <v>45.750869757182102</v>
      </c>
      <c r="CA51" s="7">
        <v>1.3429322995985E-2</v>
      </c>
      <c r="CB51" s="7">
        <v>0.15857173423281701</v>
      </c>
      <c r="CC51" s="7">
        <v>0.96944105320126395</v>
      </c>
      <c r="CD51" s="7">
        <v>2.6573697657734798</v>
      </c>
      <c r="CE51" s="7">
        <v>1.3429322995985</v>
      </c>
      <c r="CF51" s="7">
        <v>15.1951468163568</v>
      </c>
      <c r="CG51" s="7">
        <v>46.957320680150502</v>
      </c>
      <c r="CH51" s="7">
        <v>82.947151145960504</v>
      </c>
      <c r="CI51" s="7">
        <v>40.374002342996597</v>
      </c>
      <c r="CJ51" s="7">
        <v>2.75760512504248E-2</v>
      </c>
      <c r="CK51" s="7">
        <v>0.21324556656136301</v>
      </c>
      <c r="CL51" s="7">
        <v>0.577045548940883</v>
      </c>
      <c r="CM51" s="7">
        <v>1.09185304519653</v>
      </c>
      <c r="CN51" s="7">
        <v>2.7576051250424798</v>
      </c>
      <c r="CO51" s="7">
        <v>21.324556656136298</v>
      </c>
      <c r="CP51" s="7">
        <v>56.4874831661485</v>
      </c>
      <c r="CQ51" s="7">
        <v>92.196644557159601</v>
      </c>
      <c r="CR51" s="7">
        <v>21.0969801492773</v>
      </c>
      <c r="CS51" s="7">
        <v>0.177186512781141</v>
      </c>
      <c r="CT51" s="7">
        <v>1.67862761632663</v>
      </c>
      <c r="CU51" s="7">
        <v>7.7609278441342697</v>
      </c>
      <c r="CV51" s="7">
        <v>10</v>
      </c>
      <c r="CW51" s="7">
        <v>17.718651278114098</v>
      </c>
      <c r="CX51" s="7">
        <v>90.197978679219204</v>
      </c>
      <c r="CY51" s="7">
        <v>100</v>
      </c>
      <c r="CZ51" s="7">
        <v>100</v>
      </c>
      <c r="DA51" s="9">
        <v>97.928116355190099</v>
      </c>
      <c r="DB51" s="9">
        <v>9.2381659597497896E-3</v>
      </c>
      <c r="DC51" s="9">
        <v>2.75760512504248E-2</v>
      </c>
      <c r="DD51" s="9">
        <v>8.4427271468667006E-2</v>
      </c>
      <c r="DE51" s="9">
        <v>0.15962896303474999</v>
      </c>
      <c r="DF51" s="9">
        <v>0.923816595974979</v>
      </c>
      <c r="DG51" s="9">
        <v>2.7576051250424798</v>
      </c>
      <c r="DH51" s="9">
        <v>8.4427271468666998</v>
      </c>
      <c r="DI51" s="9">
        <v>15.962896303475</v>
      </c>
    </row>
    <row r="52" spans="1:113">
      <c r="A52" s="5" t="s">
        <v>139</v>
      </c>
      <c r="B52" s="5" t="s">
        <v>214</v>
      </c>
      <c r="C52" s="5" t="s">
        <v>215</v>
      </c>
      <c r="D52" s="6">
        <v>1044750</v>
      </c>
      <c r="E52" s="7">
        <v>6.72826387390778</v>
      </c>
      <c r="F52" s="7">
        <v>4.6451122278056998</v>
      </c>
      <c r="G52" s="7">
        <v>9.9437674084709293</v>
      </c>
      <c r="H52" s="7">
        <v>9.9989576453697104</v>
      </c>
      <c r="I52" s="7">
        <v>10</v>
      </c>
      <c r="J52" s="7">
        <v>96.169705671213194</v>
      </c>
      <c r="K52" s="7">
        <v>100</v>
      </c>
      <c r="L52" s="7">
        <v>100</v>
      </c>
      <c r="M52" s="7">
        <v>100</v>
      </c>
      <c r="N52" s="7">
        <v>7.35955917523665</v>
      </c>
      <c r="O52" s="7">
        <v>8.6500799234266594</v>
      </c>
      <c r="P52" s="7">
        <v>9.9985786073223295</v>
      </c>
      <c r="Q52" s="7">
        <v>10</v>
      </c>
      <c r="R52" s="7">
        <v>10</v>
      </c>
      <c r="S52" s="7">
        <v>99.600478583393198</v>
      </c>
      <c r="T52" s="7">
        <v>100</v>
      </c>
      <c r="U52" s="7">
        <v>100</v>
      </c>
      <c r="V52" s="7">
        <v>100</v>
      </c>
      <c r="W52" s="7">
        <v>6.4748380382252098</v>
      </c>
      <c r="X52" s="7">
        <v>9.9938913615697498</v>
      </c>
      <c r="Y52" s="7">
        <v>10</v>
      </c>
      <c r="Z52" s="7">
        <v>10</v>
      </c>
      <c r="AA52" s="7">
        <v>10</v>
      </c>
      <c r="AB52" s="7">
        <v>100</v>
      </c>
      <c r="AC52" s="7">
        <v>100</v>
      </c>
      <c r="AD52" s="7">
        <v>100</v>
      </c>
      <c r="AE52" s="7">
        <v>100</v>
      </c>
      <c r="AF52" s="6">
        <v>7.0442685767097402</v>
      </c>
      <c r="AG52" s="6">
        <v>3.54381048097631</v>
      </c>
      <c r="AH52" s="6">
        <v>8.5039119406556605</v>
      </c>
      <c r="AI52" s="6">
        <v>9.7317597511366394</v>
      </c>
      <c r="AJ52" s="6">
        <v>9.9633242402488609</v>
      </c>
      <c r="AK52" s="6">
        <v>94.148265135199793</v>
      </c>
      <c r="AL52" s="6">
        <v>99.522373773630093</v>
      </c>
      <c r="AM52" s="6">
        <v>99.962096195262006</v>
      </c>
      <c r="AN52" s="6">
        <v>100</v>
      </c>
      <c r="AO52" s="6">
        <v>10.234831783340599</v>
      </c>
      <c r="AP52" s="7">
        <v>2.0076439339554901</v>
      </c>
      <c r="AQ52" s="7">
        <v>9.2550370902129693</v>
      </c>
      <c r="AR52" s="7">
        <v>9.9901249102656102</v>
      </c>
      <c r="AS52" s="7">
        <v>10</v>
      </c>
      <c r="AT52" s="7">
        <v>80.572768604929394</v>
      </c>
      <c r="AU52" s="7">
        <v>99.988513998564301</v>
      </c>
      <c r="AV52" s="7">
        <v>100</v>
      </c>
      <c r="AW52" s="7">
        <v>100</v>
      </c>
      <c r="AX52" s="7">
        <v>8.9490791304767008</v>
      </c>
      <c r="AY52" s="7">
        <v>5.5147097391720497</v>
      </c>
      <c r="AZ52" s="7">
        <v>9.7494376645130405</v>
      </c>
      <c r="BA52" s="7">
        <v>9.9872869107441993</v>
      </c>
      <c r="BB52" s="7">
        <v>10</v>
      </c>
      <c r="BC52" s="7">
        <v>96.196219191194103</v>
      </c>
      <c r="BD52" s="7">
        <v>100</v>
      </c>
      <c r="BE52" s="7">
        <v>100</v>
      </c>
      <c r="BF52" s="7">
        <v>100</v>
      </c>
      <c r="BG52" s="7">
        <v>7.2666152367223296</v>
      </c>
      <c r="BH52" s="7">
        <v>9.6099516630772897</v>
      </c>
      <c r="BI52" s="7">
        <v>10</v>
      </c>
      <c r="BJ52" s="7">
        <v>10</v>
      </c>
      <c r="BK52" s="7">
        <v>10</v>
      </c>
      <c r="BL52" s="7">
        <v>100</v>
      </c>
      <c r="BM52" s="7">
        <v>100</v>
      </c>
      <c r="BN52" s="7">
        <v>100</v>
      </c>
      <c r="BO52" s="7">
        <v>100</v>
      </c>
      <c r="BP52" s="6">
        <v>12.129360280197201</v>
      </c>
      <c r="BQ52" s="6">
        <v>1.51406843742522</v>
      </c>
      <c r="BR52" s="6">
        <v>5.1970442689638698</v>
      </c>
      <c r="BS52" s="6">
        <v>7.7961904761904801</v>
      </c>
      <c r="BT52" s="6">
        <v>9.18466905958363</v>
      </c>
      <c r="BU52" s="6">
        <v>71.983153864560904</v>
      </c>
      <c r="BV52" s="6">
        <v>95.940081359176801</v>
      </c>
      <c r="BW52" s="6">
        <v>99.149653027040003</v>
      </c>
      <c r="BX52" s="6">
        <v>99.939219909069195</v>
      </c>
      <c r="BY52" s="6" t="str">
        <f>TRIM(Table1[[#This Row],[LA_Name]])</f>
        <v>Merseyside (Met County)</v>
      </c>
      <c r="BZ52" s="7">
        <v>21.1141981871728</v>
      </c>
      <c r="CA52" s="7">
        <v>0.29935008375209399</v>
      </c>
      <c r="CB52" s="7">
        <v>2.6366173725771702</v>
      </c>
      <c r="CC52" s="7">
        <v>6.9188274706867698</v>
      </c>
      <c r="CD52" s="7">
        <v>9.3386264656616405</v>
      </c>
      <c r="CE52" s="7">
        <v>20.564345537209899</v>
      </c>
      <c r="CF52" s="7">
        <v>86.649724814548904</v>
      </c>
      <c r="CG52" s="7">
        <v>99.370471404642302</v>
      </c>
      <c r="CH52" s="7">
        <v>99.980090930844696</v>
      </c>
      <c r="CI52" s="7">
        <v>17.0981763361196</v>
      </c>
      <c r="CJ52" s="7">
        <v>0.798675281167743</v>
      </c>
      <c r="CK52" s="7">
        <v>4.3409533381191698</v>
      </c>
      <c r="CL52" s="7">
        <v>7.5968327351040896</v>
      </c>
      <c r="CM52" s="7">
        <v>9.11710935630534</v>
      </c>
      <c r="CN52" s="7">
        <v>43.301651112706402</v>
      </c>
      <c r="CO52" s="7">
        <v>93.890978703038996</v>
      </c>
      <c r="CP52" s="7">
        <v>98.471308925580303</v>
      </c>
      <c r="CQ52" s="7">
        <v>100</v>
      </c>
      <c r="CR52" s="7">
        <v>11.020214687700699</v>
      </c>
      <c r="CS52" s="7">
        <v>2.5823383584589599</v>
      </c>
      <c r="CT52" s="7">
        <v>9.1722450346972995</v>
      </c>
      <c r="CU52" s="7">
        <v>10</v>
      </c>
      <c r="CV52" s="7">
        <v>10</v>
      </c>
      <c r="CW52" s="7">
        <v>89.420148360851897</v>
      </c>
      <c r="CX52" s="7">
        <v>100</v>
      </c>
      <c r="CY52" s="7">
        <v>100</v>
      </c>
      <c r="CZ52" s="7">
        <v>100</v>
      </c>
      <c r="DA52" s="9">
        <v>38.126226825061899</v>
      </c>
      <c r="DB52" s="9">
        <v>0.21218090452261301</v>
      </c>
      <c r="DC52" s="9">
        <v>0.72961282603493705</v>
      </c>
      <c r="DD52" s="9">
        <v>1.53085331419</v>
      </c>
      <c r="DE52" s="9">
        <v>2.58196219191194</v>
      </c>
      <c r="DF52" s="9">
        <v>14.0618329743958</v>
      </c>
      <c r="DG52" s="9">
        <v>40.303421871261101</v>
      </c>
      <c r="DH52" s="9">
        <v>69.835367312754201</v>
      </c>
      <c r="DI52" s="9">
        <v>84.562335486958602</v>
      </c>
    </row>
    <row r="53" spans="1:113">
      <c r="A53" s="5" t="s">
        <v>139</v>
      </c>
      <c r="B53" s="5" t="s">
        <v>216</v>
      </c>
      <c r="C53" s="5" t="s">
        <v>217</v>
      </c>
      <c r="D53" s="6">
        <v>108757</v>
      </c>
      <c r="E53" s="7">
        <v>7.3836049251627101</v>
      </c>
      <c r="F53" s="7">
        <v>3.2928363231792002</v>
      </c>
      <c r="G53" s="7">
        <v>9.8387689987770894</v>
      </c>
      <c r="H53" s="7">
        <v>10</v>
      </c>
      <c r="I53" s="7">
        <v>10</v>
      </c>
      <c r="J53" s="7">
        <v>95.432018168945405</v>
      </c>
      <c r="K53" s="7">
        <v>100</v>
      </c>
      <c r="L53" s="7">
        <v>100</v>
      </c>
      <c r="M53" s="7">
        <v>100</v>
      </c>
      <c r="N53" s="7">
        <v>7.7262438561218598</v>
      </c>
      <c r="O53" s="7">
        <v>7.9919453460466903</v>
      </c>
      <c r="P53" s="7">
        <v>10</v>
      </c>
      <c r="Q53" s="7">
        <v>10</v>
      </c>
      <c r="R53" s="7">
        <v>10</v>
      </c>
      <c r="S53" s="7">
        <v>97.901744255542198</v>
      </c>
      <c r="T53" s="7">
        <v>100</v>
      </c>
      <c r="U53" s="7">
        <v>100</v>
      </c>
      <c r="V53" s="7">
        <v>100</v>
      </c>
      <c r="W53" s="7">
        <v>6.7389421345027802</v>
      </c>
      <c r="X53" s="7">
        <v>10</v>
      </c>
      <c r="Y53" s="7">
        <v>10</v>
      </c>
      <c r="Z53" s="7">
        <v>10</v>
      </c>
      <c r="AA53" s="7">
        <v>10</v>
      </c>
      <c r="AB53" s="7">
        <v>100</v>
      </c>
      <c r="AC53" s="7">
        <v>100</v>
      </c>
      <c r="AD53" s="7">
        <v>100</v>
      </c>
      <c r="AE53" s="7">
        <v>100</v>
      </c>
      <c r="AF53" s="6">
        <v>7.8576662523071903</v>
      </c>
      <c r="AG53" s="6">
        <v>2.61529832562502</v>
      </c>
      <c r="AH53" s="6">
        <v>7.8918414446886196</v>
      </c>
      <c r="AI53" s="6">
        <v>9.7436394898719207</v>
      </c>
      <c r="AJ53" s="6">
        <v>9.9981886223415497</v>
      </c>
      <c r="AK53" s="6">
        <v>94.417830576422702</v>
      </c>
      <c r="AL53" s="6">
        <v>97.901744255542198</v>
      </c>
      <c r="AM53" s="6">
        <v>100</v>
      </c>
      <c r="AN53" s="6">
        <v>100</v>
      </c>
      <c r="AO53" s="6">
        <v>13.090486483372</v>
      </c>
      <c r="AP53" s="7">
        <v>0.91845122612797303</v>
      </c>
      <c r="AQ53" s="7">
        <v>8.6549463482810296</v>
      </c>
      <c r="AR53" s="7">
        <v>9.9896006693822006</v>
      </c>
      <c r="AS53" s="7">
        <v>10</v>
      </c>
      <c r="AT53" s="7">
        <v>61.006647847954603</v>
      </c>
      <c r="AU53" s="7">
        <v>100</v>
      </c>
      <c r="AV53" s="7">
        <v>100</v>
      </c>
      <c r="AW53" s="7">
        <v>100</v>
      </c>
      <c r="AX53" s="7">
        <v>10.2162112867003</v>
      </c>
      <c r="AY53" s="7">
        <v>2.8689831459124502</v>
      </c>
      <c r="AZ53" s="7">
        <v>9.9084196879281308</v>
      </c>
      <c r="BA53" s="7">
        <v>10</v>
      </c>
      <c r="BB53" s="7">
        <v>10</v>
      </c>
      <c r="BC53" s="7">
        <v>93.198598710887595</v>
      </c>
      <c r="BD53" s="7">
        <v>100</v>
      </c>
      <c r="BE53" s="7">
        <v>100</v>
      </c>
      <c r="BF53" s="7">
        <v>100</v>
      </c>
      <c r="BG53" s="7">
        <v>7.9403771521128599</v>
      </c>
      <c r="BH53" s="7">
        <v>9.6200796270584892</v>
      </c>
      <c r="BI53" s="7">
        <v>10</v>
      </c>
      <c r="BJ53" s="7">
        <v>10</v>
      </c>
      <c r="BK53" s="7">
        <v>10</v>
      </c>
      <c r="BL53" s="7">
        <v>100</v>
      </c>
      <c r="BM53" s="7">
        <v>100</v>
      </c>
      <c r="BN53" s="7">
        <v>100</v>
      </c>
      <c r="BO53" s="7">
        <v>100</v>
      </c>
      <c r="BP53" s="6">
        <v>15.6179365911598</v>
      </c>
      <c r="BQ53" s="6">
        <v>0.679560855852957</v>
      </c>
      <c r="BR53" s="6">
        <v>2.7021525051261102</v>
      </c>
      <c r="BS53" s="6">
        <v>5.95877966475721</v>
      </c>
      <c r="BT53" s="6">
        <v>9.0188585562308603</v>
      </c>
      <c r="BU53" s="6">
        <v>52.769017166711102</v>
      </c>
      <c r="BV53" s="6">
        <v>92.932868688911995</v>
      </c>
      <c r="BW53" s="6">
        <v>100</v>
      </c>
      <c r="BX53" s="6">
        <v>100</v>
      </c>
      <c r="BY53" s="6" t="str">
        <f>TRIM(Table1[[#This Row],[LA_Name]])</f>
        <v>Knowsley</v>
      </c>
      <c r="BZ53" s="7">
        <v>18.292399812878301</v>
      </c>
      <c r="CA53" s="7">
        <v>0.29967726215324098</v>
      </c>
      <c r="CB53" s="7">
        <v>2.0587916180107899</v>
      </c>
      <c r="CC53" s="7">
        <v>6.7275945456384401</v>
      </c>
      <c r="CD53" s="7">
        <v>9.9530145186057002</v>
      </c>
      <c r="CE53" s="7">
        <v>29.967726215324099</v>
      </c>
      <c r="CF53" s="7">
        <v>94.856423034839096</v>
      </c>
      <c r="CG53" s="7">
        <v>100</v>
      </c>
      <c r="CH53" s="7">
        <v>100</v>
      </c>
      <c r="CI53" s="7">
        <v>12.731274955643601</v>
      </c>
      <c r="CJ53" s="7">
        <v>0.86981067885285501</v>
      </c>
      <c r="CK53" s="7">
        <v>2.7238522577857101</v>
      </c>
      <c r="CL53" s="7">
        <v>7.5641108158555301</v>
      </c>
      <c r="CM53" s="7">
        <v>9.9201338764401399</v>
      </c>
      <c r="CN53" s="7">
        <v>72.296036117215493</v>
      </c>
      <c r="CO53" s="7">
        <v>100</v>
      </c>
      <c r="CP53" s="7">
        <v>100</v>
      </c>
      <c r="CQ53" s="7">
        <v>100</v>
      </c>
      <c r="CR53" s="7">
        <v>9.0590988180777394</v>
      </c>
      <c r="CS53" s="7">
        <v>2.21305295291338</v>
      </c>
      <c r="CT53" s="7">
        <v>10</v>
      </c>
      <c r="CU53" s="7">
        <v>10</v>
      </c>
      <c r="CV53" s="7">
        <v>10</v>
      </c>
      <c r="CW53" s="7">
        <v>100</v>
      </c>
      <c r="CX53" s="7">
        <v>100</v>
      </c>
      <c r="CY53" s="7">
        <v>100</v>
      </c>
      <c r="CZ53" s="7">
        <v>100</v>
      </c>
      <c r="DA53" s="9">
        <v>23.9480664992283</v>
      </c>
      <c r="DB53" s="9">
        <v>0.21893763160072499</v>
      </c>
      <c r="DC53" s="9">
        <v>0.82450784777071795</v>
      </c>
      <c r="DD53" s="9">
        <v>1.42618865912079</v>
      </c>
      <c r="DE53" s="9">
        <v>1.9365190286602201</v>
      </c>
      <c r="DF53" s="9">
        <v>21.893763160072499</v>
      </c>
      <c r="DG53" s="9">
        <v>70.8690015355333</v>
      </c>
      <c r="DH53" s="9">
        <v>95.552470185827104</v>
      </c>
      <c r="DI53" s="9">
        <v>99.319584026775303</v>
      </c>
    </row>
    <row r="54" spans="1:113">
      <c r="A54" s="5" t="s">
        <v>139</v>
      </c>
      <c r="B54" s="5" t="s">
        <v>218</v>
      </c>
      <c r="C54" s="5" t="s">
        <v>219</v>
      </c>
      <c r="D54" s="6">
        <v>378163</v>
      </c>
      <c r="E54" s="7">
        <v>6.7575154782653897</v>
      </c>
      <c r="F54" s="7">
        <v>5.1371286984712903</v>
      </c>
      <c r="G54" s="7">
        <v>9.9738128796312697</v>
      </c>
      <c r="H54" s="7">
        <v>10</v>
      </c>
      <c r="I54" s="7">
        <v>10</v>
      </c>
      <c r="J54" s="7">
        <v>94.558960025174301</v>
      </c>
      <c r="K54" s="7">
        <v>100</v>
      </c>
      <c r="L54" s="7">
        <v>100</v>
      </c>
      <c r="M54" s="7">
        <v>100</v>
      </c>
      <c r="N54" s="7">
        <v>7.3502594859887802</v>
      </c>
      <c r="O54" s="7">
        <v>9.2556067092761598</v>
      </c>
      <c r="P54" s="7">
        <v>10</v>
      </c>
      <c r="Q54" s="7">
        <v>10</v>
      </c>
      <c r="R54" s="7">
        <v>10</v>
      </c>
      <c r="S54" s="7">
        <v>99.994446839061496</v>
      </c>
      <c r="T54" s="7">
        <v>100</v>
      </c>
      <c r="U54" s="7">
        <v>100</v>
      </c>
      <c r="V54" s="7">
        <v>100</v>
      </c>
      <c r="W54" s="7">
        <v>6.5282505942856597</v>
      </c>
      <c r="X54" s="7">
        <v>10</v>
      </c>
      <c r="Y54" s="7">
        <v>10</v>
      </c>
      <c r="Z54" s="7">
        <v>10</v>
      </c>
      <c r="AA54" s="7">
        <v>10</v>
      </c>
      <c r="AB54" s="7">
        <v>100</v>
      </c>
      <c r="AC54" s="7">
        <v>100</v>
      </c>
      <c r="AD54" s="7">
        <v>100</v>
      </c>
      <c r="AE54" s="7">
        <v>100</v>
      </c>
      <c r="AF54" s="6">
        <v>7.0842814904529403</v>
      </c>
      <c r="AG54" s="6">
        <v>4.10273876608764</v>
      </c>
      <c r="AH54" s="6">
        <v>9.1285953411624092</v>
      </c>
      <c r="AI54" s="6">
        <v>9.9161446254657406</v>
      </c>
      <c r="AJ54" s="6">
        <v>10</v>
      </c>
      <c r="AK54" s="6">
        <v>92.339017830935305</v>
      </c>
      <c r="AL54" s="6">
        <v>99.907447317691094</v>
      </c>
      <c r="AM54" s="6">
        <v>100</v>
      </c>
      <c r="AN54" s="6">
        <v>100</v>
      </c>
      <c r="AO54" s="6">
        <v>8.8169115342556292</v>
      </c>
      <c r="AP54" s="7">
        <v>2.6421675309324302</v>
      </c>
      <c r="AQ54" s="7">
        <v>9.89149387962334</v>
      </c>
      <c r="AR54" s="7">
        <v>10</v>
      </c>
      <c r="AS54" s="7">
        <v>10</v>
      </c>
      <c r="AT54" s="7">
        <v>87.479473137245094</v>
      </c>
      <c r="AU54" s="7">
        <v>100</v>
      </c>
      <c r="AV54" s="7">
        <v>100</v>
      </c>
      <c r="AW54" s="7">
        <v>100</v>
      </c>
      <c r="AX54" s="7">
        <v>8.0743659724332701</v>
      </c>
      <c r="AY54" s="7">
        <v>7.6604136311590496</v>
      </c>
      <c r="AZ54" s="7">
        <v>9.9962397167359107</v>
      </c>
      <c r="BA54" s="7">
        <v>10</v>
      </c>
      <c r="BB54" s="7">
        <v>10</v>
      </c>
      <c r="BC54" s="7">
        <v>98.760058493295205</v>
      </c>
      <c r="BD54" s="7">
        <v>100</v>
      </c>
      <c r="BE54" s="7">
        <v>100</v>
      </c>
      <c r="BF54" s="7">
        <v>100</v>
      </c>
      <c r="BG54" s="7">
        <v>6.9244058985651202</v>
      </c>
      <c r="BH54" s="7">
        <v>9.9656867541245404</v>
      </c>
      <c r="BI54" s="7">
        <v>10</v>
      </c>
      <c r="BJ54" s="7">
        <v>10</v>
      </c>
      <c r="BK54" s="7">
        <v>10</v>
      </c>
      <c r="BL54" s="7">
        <v>100</v>
      </c>
      <c r="BM54" s="7">
        <v>100</v>
      </c>
      <c r="BN54" s="7">
        <v>100</v>
      </c>
      <c r="BO54" s="7">
        <v>100</v>
      </c>
      <c r="BP54" s="6">
        <v>9.5291825776561208</v>
      </c>
      <c r="BQ54" s="6">
        <v>2.14383215703281</v>
      </c>
      <c r="BR54" s="6">
        <v>7.2823729449999099</v>
      </c>
      <c r="BS54" s="6">
        <v>9.3283028746863099</v>
      </c>
      <c r="BT54" s="6">
        <v>9.8761222012730006</v>
      </c>
      <c r="BU54" s="6">
        <v>83.584062956978897</v>
      </c>
      <c r="BV54" s="6">
        <v>98.829605223144497</v>
      </c>
      <c r="BW54" s="6">
        <v>100</v>
      </c>
      <c r="BX54" s="6">
        <v>100</v>
      </c>
      <c r="BY54" s="6" t="str">
        <f>TRIM(Table1[[#This Row],[LA_Name]])</f>
        <v>Liverpool</v>
      </c>
      <c r="BZ54" s="7">
        <v>17.939673570735</v>
      </c>
      <c r="CA54" s="7">
        <v>0.54502952430565699</v>
      </c>
      <c r="CB54" s="7">
        <v>4.5965945901634999</v>
      </c>
      <c r="CC54" s="7">
        <v>9.5214946993756708</v>
      </c>
      <c r="CD54" s="7">
        <v>9.9990110084804709</v>
      </c>
      <c r="CE54" s="7">
        <v>29.597025621226798</v>
      </c>
      <c r="CF54" s="7">
        <v>97.100192245143006</v>
      </c>
      <c r="CG54" s="7">
        <v>100</v>
      </c>
      <c r="CH54" s="7">
        <v>100</v>
      </c>
      <c r="CI54" s="7">
        <v>14.2076480388774</v>
      </c>
      <c r="CJ54" s="7">
        <v>1.48204610181324</v>
      </c>
      <c r="CK54" s="7">
        <v>7.2573361222541601</v>
      </c>
      <c r="CL54" s="7">
        <v>9.8328868768229594</v>
      </c>
      <c r="CM54" s="7">
        <v>10</v>
      </c>
      <c r="CN54" s="7">
        <v>55.511512231498102</v>
      </c>
      <c r="CO54" s="7">
        <v>100</v>
      </c>
      <c r="CP54" s="7">
        <v>100</v>
      </c>
      <c r="CQ54" s="7">
        <v>100</v>
      </c>
      <c r="CR54" s="7">
        <v>10.0879785961327</v>
      </c>
      <c r="CS54" s="7">
        <v>4.4967752001121202</v>
      </c>
      <c r="CT54" s="7">
        <v>10</v>
      </c>
      <c r="CU54" s="7">
        <v>10</v>
      </c>
      <c r="CV54" s="7">
        <v>10</v>
      </c>
      <c r="CW54" s="7">
        <v>97.513770516946394</v>
      </c>
      <c r="CX54" s="7">
        <v>100</v>
      </c>
      <c r="CY54" s="7">
        <v>100</v>
      </c>
      <c r="CZ54" s="7">
        <v>100</v>
      </c>
      <c r="DA54" s="9">
        <v>29.1142853134326</v>
      </c>
      <c r="DB54" s="9">
        <v>0.42017595587088102</v>
      </c>
      <c r="DC54" s="9">
        <v>1.36049534195572</v>
      </c>
      <c r="DD54" s="9">
        <v>2.7628006970539198</v>
      </c>
      <c r="DE54" s="9">
        <v>4.6149887746818203</v>
      </c>
      <c r="DF54" s="9">
        <v>22.390609340416699</v>
      </c>
      <c r="DG54" s="9">
        <v>52.368687576521197</v>
      </c>
      <c r="DH54" s="9">
        <v>81.685939660939894</v>
      </c>
      <c r="DI54" s="9">
        <v>97.616636212426897</v>
      </c>
    </row>
    <row r="55" spans="1:113">
      <c r="A55" s="5" t="s">
        <v>139</v>
      </c>
      <c r="B55" s="5" t="s">
        <v>220</v>
      </c>
      <c r="C55" s="5" t="s">
        <v>221</v>
      </c>
      <c r="D55" s="6">
        <v>196254</v>
      </c>
      <c r="E55" s="7">
        <v>6.3212205143552804</v>
      </c>
      <c r="F55" s="7">
        <v>4.9099330459506598</v>
      </c>
      <c r="G55" s="7">
        <v>9.9894575397189396</v>
      </c>
      <c r="H55" s="7">
        <v>10</v>
      </c>
      <c r="I55" s="7">
        <v>10</v>
      </c>
      <c r="J55" s="7">
        <v>98.217615946681306</v>
      </c>
      <c r="K55" s="7">
        <v>100</v>
      </c>
      <c r="L55" s="7">
        <v>100</v>
      </c>
      <c r="M55" s="7">
        <v>100</v>
      </c>
      <c r="N55" s="7">
        <v>7.1927788378306099</v>
      </c>
      <c r="O55" s="7">
        <v>9.1090270771551207</v>
      </c>
      <c r="P55" s="7">
        <v>9.9924332752453395</v>
      </c>
      <c r="Q55" s="7">
        <v>10</v>
      </c>
      <c r="R55" s="7">
        <v>10</v>
      </c>
      <c r="S55" s="7">
        <v>99.7380945101756</v>
      </c>
      <c r="T55" s="7">
        <v>100</v>
      </c>
      <c r="U55" s="7">
        <v>100</v>
      </c>
      <c r="V55" s="7">
        <v>100</v>
      </c>
      <c r="W55" s="7">
        <v>6.3397171541249504</v>
      </c>
      <c r="X55" s="7">
        <v>9.9825277446574301</v>
      </c>
      <c r="Y55" s="7">
        <v>10</v>
      </c>
      <c r="Z55" s="7">
        <v>10</v>
      </c>
      <c r="AA55" s="7">
        <v>10</v>
      </c>
      <c r="AB55" s="7">
        <v>100</v>
      </c>
      <c r="AC55" s="7">
        <v>100</v>
      </c>
      <c r="AD55" s="7">
        <v>100</v>
      </c>
      <c r="AE55" s="7">
        <v>100</v>
      </c>
      <c r="AF55" s="6">
        <v>6.5434207219369203</v>
      </c>
      <c r="AG55" s="6">
        <v>3.7124797456357599</v>
      </c>
      <c r="AH55" s="6">
        <v>8.8876456021278507</v>
      </c>
      <c r="AI55" s="6">
        <v>9.8144445463532008</v>
      </c>
      <c r="AJ55" s="6">
        <v>9.9610097119039605</v>
      </c>
      <c r="AK55" s="6">
        <v>96.477014481233496</v>
      </c>
      <c r="AL55" s="6">
        <v>99.7380945101756</v>
      </c>
      <c r="AM55" s="6">
        <v>99.928663874366904</v>
      </c>
      <c r="AN55" s="6">
        <v>100</v>
      </c>
      <c r="AO55" s="6">
        <v>9.7967267498854902</v>
      </c>
      <c r="AP55" s="7">
        <v>2.0396628858520098</v>
      </c>
      <c r="AQ55" s="7">
        <v>9.1195134876231805</v>
      </c>
      <c r="AR55" s="7">
        <v>9.9982216922967204</v>
      </c>
      <c r="AS55" s="7">
        <v>10</v>
      </c>
      <c r="AT55" s="7">
        <v>84.251531178982304</v>
      </c>
      <c r="AU55" s="7">
        <v>100</v>
      </c>
      <c r="AV55" s="7">
        <v>100</v>
      </c>
      <c r="AW55" s="7">
        <v>100</v>
      </c>
      <c r="AX55" s="7">
        <v>8.6582367846559194</v>
      </c>
      <c r="AY55" s="7">
        <v>5.51639711802052</v>
      </c>
      <c r="AZ55" s="7">
        <v>9.4997248463725601</v>
      </c>
      <c r="BA55" s="7">
        <v>9.9323223985243594</v>
      </c>
      <c r="BB55" s="7">
        <v>10</v>
      </c>
      <c r="BC55" s="7">
        <v>97.332028901321706</v>
      </c>
      <c r="BD55" s="7">
        <v>100</v>
      </c>
      <c r="BE55" s="7">
        <v>100</v>
      </c>
      <c r="BF55" s="7">
        <v>100</v>
      </c>
      <c r="BG55" s="7">
        <v>7.13080375594744</v>
      </c>
      <c r="BH55" s="7">
        <v>9.3523189336268295</v>
      </c>
      <c r="BI55" s="7">
        <v>10</v>
      </c>
      <c r="BJ55" s="7">
        <v>10</v>
      </c>
      <c r="BK55" s="7">
        <v>10</v>
      </c>
      <c r="BL55" s="7">
        <v>100</v>
      </c>
      <c r="BM55" s="7">
        <v>100</v>
      </c>
      <c r="BN55" s="7">
        <v>100</v>
      </c>
      <c r="BO55" s="7">
        <v>100</v>
      </c>
      <c r="BP55" s="6">
        <v>11.2898433169709</v>
      </c>
      <c r="BQ55" s="6">
        <v>1.4970446462237701</v>
      </c>
      <c r="BR55" s="6">
        <v>5.2371467587921803</v>
      </c>
      <c r="BS55" s="6">
        <v>7.7567438115911003</v>
      </c>
      <c r="BT55" s="6">
        <v>8.9162717702569108</v>
      </c>
      <c r="BU55" s="6">
        <v>76.937540126570696</v>
      </c>
      <c r="BV55" s="6">
        <v>97.244387375543894</v>
      </c>
      <c r="BW55" s="6">
        <v>99.089954854423297</v>
      </c>
      <c r="BX55" s="6">
        <v>99.676439715878402</v>
      </c>
      <c r="BY55" s="6" t="str">
        <f>TRIM(Table1[[#This Row],[LA_Name]])</f>
        <v>Sefton</v>
      </c>
      <c r="BZ55" s="7">
        <v>26.334032063838801</v>
      </c>
      <c r="CA55" s="7">
        <v>0.13500871319820201</v>
      </c>
      <c r="CB55" s="7">
        <v>1.1488733987587501</v>
      </c>
      <c r="CC55" s="7">
        <v>4.1554465131920901</v>
      </c>
      <c r="CD55" s="7">
        <v>7.7909647701448099</v>
      </c>
      <c r="CE55" s="7">
        <v>12.1011546261477</v>
      </c>
      <c r="CF55" s="7">
        <v>65.037655283459202</v>
      </c>
      <c r="CG55" s="7">
        <v>97.475210696342501</v>
      </c>
      <c r="CH55" s="7">
        <v>100</v>
      </c>
      <c r="CI55" s="7">
        <v>23.3526020688718</v>
      </c>
      <c r="CJ55" s="7">
        <v>0.30673514934727403</v>
      </c>
      <c r="CK55" s="7">
        <v>1.80466640170391</v>
      </c>
      <c r="CL55" s="7">
        <v>4.6769747368206502</v>
      </c>
      <c r="CM55" s="7">
        <v>6.1696322113179898</v>
      </c>
      <c r="CN55" s="7">
        <v>26.2664710018649</v>
      </c>
      <c r="CO55" s="7">
        <v>77.476127875100602</v>
      </c>
      <c r="CP55" s="7">
        <v>91.862076696525904</v>
      </c>
      <c r="CQ55" s="7">
        <v>100</v>
      </c>
      <c r="CR55" s="7">
        <v>13.253508115167801</v>
      </c>
      <c r="CS55" s="7">
        <v>0.97195980718864305</v>
      </c>
      <c r="CT55" s="7">
        <v>6.3924709814831804</v>
      </c>
      <c r="CU55" s="7">
        <v>10</v>
      </c>
      <c r="CV55" s="7">
        <v>10</v>
      </c>
      <c r="CW55" s="7">
        <v>67.250094265594598</v>
      </c>
      <c r="CX55" s="7">
        <v>100</v>
      </c>
      <c r="CY55" s="7">
        <v>100</v>
      </c>
      <c r="CZ55" s="7">
        <v>100</v>
      </c>
      <c r="DA55" s="9">
        <v>57.045751842261197</v>
      </c>
      <c r="DB55" s="9">
        <v>7.6039214487348003E-2</v>
      </c>
      <c r="DC55" s="9">
        <v>0.27550011719506401</v>
      </c>
      <c r="DD55" s="9">
        <v>0.50787754644491301</v>
      </c>
      <c r="DE55" s="9">
        <v>0.85700164073089002</v>
      </c>
      <c r="DF55" s="9">
        <v>7.3272391900292497</v>
      </c>
      <c r="DG55" s="9">
        <v>24.052503388466</v>
      </c>
      <c r="DH55" s="9">
        <v>41.670997788580102</v>
      </c>
      <c r="DI55" s="9">
        <v>55.349190334974097</v>
      </c>
    </row>
    <row r="56" spans="1:113">
      <c r="A56" s="5" t="s">
        <v>139</v>
      </c>
      <c r="B56" s="5" t="s">
        <v>222</v>
      </c>
      <c r="C56" s="5" t="s">
        <v>223</v>
      </c>
      <c r="D56" s="6">
        <v>130698</v>
      </c>
      <c r="E56" s="7">
        <v>7.30714946759546</v>
      </c>
      <c r="F56" s="7">
        <v>3.4052625135809298</v>
      </c>
      <c r="G56" s="7">
        <v>9.8504261733155793</v>
      </c>
      <c r="H56" s="7">
        <v>9.9916678143506399</v>
      </c>
      <c r="I56" s="7">
        <v>10</v>
      </c>
      <c r="J56" s="7">
        <v>96.061913724770093</v>
      </c>
      <c r="K56" s="7">
        <v>100</v>
      </c>
      <c r="L56" s="7">
        <v>100</v>
      </c>
      <c r="M56" s="7">
        <v>100</v>
      </c>
      <c r="N56" s="7">
        <v>7.6206748409167897</v>
      </c>
      <c r="O56" s="7">
        <v>6.6849607492081002</v>
      </c>
      <c r="P56" s="7">
        <v>10</v>
      </c>
      <c r="Q56" s="7">
        <v>10</v>
      </c>
      <c r="R56" s="7">
        <v>10</v>
      </c>
      <c r="S56" s="7">
        <v>99.455232673797596</v>
      </c>
      <c r="T56" s="7">
        <v>100</v>
      </c>
      <c r="U56" s="7">
        <v>100</v>
      </c>
      <c r="V56" s="7">
        <v>100</v>
      </c>
      <c r="W56" s="7">
        <v>6.5352181343516502</v>
      </c>
      <c r="X56" s="7">
        <v>9.97740592817029</v>
      </c>
      <c r="Y56" s="7">
        <v>10</v>
      </c>
      <c r="Z56" s="7">
        <v>10</v>
      </c>
      <c r="AA56" s="7">
        <v>10</v>
      </c>
      <c r="AB56" s="7">
        <v>100</v>
      </c>
      <c r="AC56" s="7">
        <v>100</v>
      </c>
      <c r="AD56" s="7">
        <v>100</v>
      </c>
      <c r="AE56" s="7">
        <v>100</v>
      </c>
      <c r="AF56" s="6">
        <v>7.7994663408592304</v>
      </c>
      <c r="AG56" s="6">
        <v>2.2708763714823501</v>
      </c>
      <c r="AH56" s="6">
        <v>6.5334129060888504</v>
      </c>
      <c r="AI56" s="6">
        <v>8.9378567384351708</v>
      </c>
      <c r="AJ56" s="6">
        <v>9.77050146138426</v>
      </c>
      <c r="AK56" s="6">
        <v>92.208756063596994</v>
      </c>
      <c r="AL56" s="6">
        <v>99.257065907664995</v>
      </c>
      <c r="AM56" s="6">
        <v>100</v>
      </c>
      <c r="AN56" s="6">
        <v>100</v>
      </c>
      <c r="AO56" s="6">
        <v>11.251073457174799</v>
      </c>
      <c r="AP56" s="7">
        <v>1.5255703989349501</v>
      </c>
      <c r="AQ56" s="7">
        <v>8.7731793906563205</v>
      </c>
      <c r="AR56" s="7">
        <v>9.9864343754303793</v>
      </c>
      <c r="AS56" s="7">
        <v>10</v>
      </c>
      <c r="AT56" s="7">
        <v>77.575785398399404</v>
      </c>
      <c r="AU56" s="7">
        <v>99.908185282100703</v>
      </c>
      <c r="AV56" s="7">
        <v>100</v>
      </c>
      <c r="AW56" s="7">
        <v>100</v>
      </c>
      <c r="AX56" s="7">
        <v>10.029234414498401</v>
      </c>
      <c r="AY56" s="7">
        <v>3.33396838513214</v>
      </c>
      <c r="AZ56" s="7">
        <v>9.7546175151876806</v>
      </c>
      <c r="BA56" s="7">
        <v>10</v>
      </c>
      <c r="BB56" s="7">
        <v>10</v>
      </c>
      <c r="BC56" s="7">
        <v>91.367121149520301</v>
      </c>
      <c r="BD56" s="7">
        <v>100</v>
      </c>
      <c r="BE56" s="7">
        <v>100</v>
      </c>
      <c r="BF56" s="7">
        <v>100</v>
      </c>
      <c r="BG56" s="7">
        <v>7.6169031837921999</v>
      </c>
      <c r="BH56" s="7">
        <v>9.7094370227547504</v>
      </c>
      <c r="BI56" s="7">
        <v>10</v>
      </c>
      <c r="BJ56" s="7">
        <v>10</v>
      </c>
      <c r="BK56" s="7">
        <v>10</v>
      </c>
      <c r="BL56" s="7">
        <v>100</v>
      </c>
      <c r="BM56" s="7">
        <v>100</v>
      </c>
      <c r="BN56" s="7">
        <v>100</v>
      </c>
      <c r="BO56" s="7">
        <v>100</v>
      </c>
      <c r="BP56" s="6">
        <v>15.4442265416311</v>
      </c>
      <c r="BQ56" s="6">
        <v>0.89165098165235901</v>
      </c>
      <c r="BR56" s="6">
        <v>3.0525868796768099</v>
      </c>
      <c r="BS56" s="6">
        <v>6.6646773477788503</v>
      </c>
      <c r="BT56" s="6">
        <v>9.2041500252490493</v>
      </c>
      <c r="BU56" s="6">
        <v>61.964987987574403</v>
      </c>
      <c r="BV56" s="6">
        <v>90.896570720286505</v>
      </c>
      <c r="BW56" s="6">
        <v>96.084867404244903</v>
      </c>
      <c r="BX56" s="6">
        <v>100</v>
      </c>
      <c r="BY56" s="6" t="str">
        <f>TRIM(Table1[[#This Row],[LA_Name]])</f>
        <v>St. Helens</v>
      </c>
      <c r="BZ56" s="7">
        <v>19.812913835710901</v>
      </c>
      <c r="CA56" s="7">
        <v>0.19209934352476701</v>
      </c>
      <c r="CB56" s="7">
        <v>1.8062403403265499</v>
      </c>
      <c r="CC56" s="7">
        <v>5.3688120705749096</v>
      </c>
      <c r="CD56" s="7">
        <v>9.4451024499227199</v>
      </c>
      <c r="CE56" s="7">
        <v>18.6804694792575</v>
      </c>
      <c r="CF56" s="7">
        <v>94.898162175396706</v>
      </c>
      <c r="CG56" s="7">
        <v>99.908185282100703</v>
      </c>
      <c r="CH56" s="7">
        <v>100</v>
      </c>
      <c r="CI56" s="7">
        <v>16.092655383075201</v>
      </c>
      <c r="CJ56" s="7">
        <v>0.471866440190363</v>
      </c>
      <c r="CK56" s="7">
        <v>2.69742459716293</v>
      </c>
      <c r="CL56" s="7">
        <v>6.3586512417940604</v>
      </c>
      <c r="CM56" s="7">
        <v>9.9469999540926395</v>
      </c>
      <c r="CN56" s="7">
        <v>42.893540834595797</v>
      </c>
      <c r="CO56" s="7">
        <v>97.452141578294999</v>
      </c>
      <c r="CP56" s="7">
        <v>100</v>
      </c>
      <c r="CQ56" s="7">
        <v>100</v>
      </c>
      <c r="CR56" s="7">
        <v>10.484307410180699</v>
      </c>
      <c r="CS56" s="7">
        <v>2.2057108754533399</v>
      </c>
      <c r="CT56" s="7">
        <v>10</v>
      </c>
      <c r="CU56" s="7">
        <v>10</v>
      </c>
      <c r="CV56" s="7">
        <v>10</v>
      </c>
      <c r="CW56" s="7">
        <v>93.849944146046596</v>
      </c>
      <c r="CX56" s="7">
        <v>100</v>
      </c>
      <c r="CY56" s="7">
        <v>100</v>
      </c>
      <c r="CZ56" s="7">
        <v>100</v>
      </c>
      <c r="DA56" s="9">
        <v>34.582467874461301</v>
      </c>
      <c r="DB56" s="9">
        <v>9.4071829714303196E-2</v>
      </c>
      <c r="DC56" s="9">
        <v>0.44291419914612301</v>
      </c>
      <c r="DD56" s="9">
        <v>1.14194555387229</v>
      </c>
      <c r="DE56" s="9">
        <v>1.7950925033282801</v>
      </c>
      <c r="DF56" s="9">
        <v>9.4071829714303199</v>
      </c>
      <c r="DG56" s="9">
        <v>40.460450810264902</v>
      </c>
      <c r="DH56" s="9">
        <v>79.495478125143507</v>
      </c>
      <c r="DI56" s="9">
        <v>92.325054706269398</v>
      </c>
    </row>
    <row r="57" spans="1:113">
      <c r="A57" s="5" t="s">
        <v>139</v>
      </c>
      <c r="B57" s="5" t="s">
        <v>224</v>
      </c>
      <c r="C57" s="5" t="s">
        <v>225</v>
      </c>
      <c r="D57" s="6">
        <v>230878</v>
      </c>
      <c r="E57" s="7">
        <v>6.3899462212592102</v>
      </c>
      <c r="F57" s="7">
        <v>4.9529838269562303</v>
      </c>
      <c r="G57" s="7">
        <v>9.9580167880872192</v>
      </c>
      <c r="H57" s="7">
        <v>10</v>
      </c>
      <c r="I57" s="7">
        <v>10</v>
      </c>
      <c r="J57" s="7">
        <v>97.475723109174496</v>
      </c>
      <c r="K57" s="7">
        <v>100</v>
      </c>
      <c r="L57" s="7">
        <v>100</v>
      </c>
      <c r="M57" s="7">
        <v>100</v>
      </c>
      <c r="N57" s="7">
        <v>7.19601516329198</v>
      </c>
      <c r="O57" s="7">
        <v>8.6906028291998396</v>
      </c>
      <c r="P57" s="7">
        <v>10</v>
      </c>
      <c r="Q57" s="7">
        <v>10</v>
      </c>
      <c r="R57" s="7">
        <v>10</v>
      </c>
      <c r="S57" s="7">
        <v>99.720631675603599</v>
      </c>
      <c r="T57" s="7">
        <v>100</v>
      </c>
      <c r="U57" s="7">
        <v>100</v>
      </c>
      <c r="V57" s="7">
        <v>100</v>
      </c>
      <c r="W57" s="7">
        <v>6.3436199687180901</v>
      </c>
      <c r="X57" s="7">
        <v>10</v>
      </c>
      <c r="Y57" s="7">
        <v>10</v>
      </c>
      <c r="Z57" s="7">
        <v>10</v>
      </c>
      <c r="AA57" s="7">
        <v>10</v>
      </c>
      <c r="AB57" s="7">
        <v>100</v>
      </c>
      <c r="AC57" s="7">
        <v>100</v>
      </c>
      <c r="AD57" s="7">
        <v>100</v>
      </c>
      <c r="AE57" s="7">
        <v>100</v>
      </c>
      <c r="AF57" s="6">
        <v>6.5937989044454204</v>
      </c>
      <c r="AG57" s="6">
        <v>3.6429282997947001</v>
      </c>
      <c r="AH57" s="6">
        <v>8.5583381699425694</v>
      </c>
      <c r="AI57" s="6">
        <v>9.8032900492900996</v>
      </c>
      <c r="AJ57" s="6">
        <v>9.9979512989544297</v>
      </c>
      <c r="AK57" s="6">
        <v>96.103136721558599</v>
      </c>
      <c r="AL57" s="6">
        <v>99.621878221398305</v>
      </c>
      <c r="AM57" s="6">
        <v>99.889118928611694</v>
      </c>
      <c r="AN57" s="6">
        <v>100</v>
      </c>
      <c r="AO57" s="6">
        <v>11.0092305909026</v>
      </c>
      <c r="AP57" s="7">
        <v>1.72708963175357</v>
      </c>
      <c r="AQ57" s="7">
        <v>8.8832153778185905</v>
      </c>
      <c r="AR57" s="7">
        <v>9.9694037543637801</v>
      </c>
      <c r="AS57" s="7">
        <v>10</v>
      </c>
      <c r="AT57" s="7">
        <v>77.0463188350557</v>
      </c>
      <c r="AU57" s="7">
        <v>100</v>
      </c>
      <c r="AV57" s="7">
        <v>100</v>
      </c>
      <c r="AW57" s="7">
        <v>100</v>
      </c>
      <c r="AX57" s="7">
        <v>9.42066801506685</v>
      </c>
      <c r="AY57" s="7">
        <v>4.4795433085872203</v>
      </c>
      <c r="AZ57" s="7">
        <v>9.4796342657160899</v>
      </c>
      <c r="BA57" s="7">
        <v>10</v>
      </c>
      <c r="BB57" s="7">
        <v>10</v>
      </c>
      <c r="BC57" s="7">
        <v>95.177106523791807</v>
      </c>
      <c r="BD57" s="7">
        <v>100</v>
      </c>
      <c r="BE57" s="7">
        <v>100</v>
      </c>
      <c r="BF57" s="7">
        <v>100</v>
      </c>
      <c r="BG57" s="7">
        <v>7.4268998786339697</v>
      </c>
      <c r="BH57" s="7">
        <v>9.1851887143859496</v>
      </c>
      <c r="BI57" s="7">
        <v>10</v>
      </c>
      <c r="BJ57" s="7">
        <v>10</v>
      </c>
      <c r="BK57" s="7">
        <v>10</v>
      </c>
      <c r="BL57" s="7">
        <v>100</v>
      </c>
      <c r="BM57" s="7">
        <v>100</v>
      </c>
      <c r="BN57" s="7">
        <v>100</v>
      </c>
      <c r="BO57" s="7">
        <v>100</v>
      </c>
      <c r="BP57" s="6">
        <v>13.582058580332999</v>
      </c>
      <c r="BQ57" s="6">
        <v>1.2424743804087</v>
      </c>
      <c r="BR57" s="6">
        <v>4.13652231914691</v>
      </c>
      <c r="BS57" s="6">
        <v>6.82628920901948</v>
      </c>
      <c r="BT57" s="6">
        <v>8.3473392874158705</v>
      </c>
      <c r="BU57" s="6">
        <v>63.492407245385003</v>
      </c>
      <c r="BV57" s="6">
        <v>94.370186851930498</v>
      </c>
      <c r="BW57" s="6">
        <v>99.141971084295605</v>
      </c>
      <c r="BX57" s="6">
        <v>100</v>
      </c>
      <c r="BY57" s="6" t="str">
        <f>TRIM(Table1[[#This Row],[LA_Name]])</f>
        <v>Wirral</v>
      </c>
      <c r="BZ57" s="7">
        <v>23.942705289864801</v>
      </c>
      <c r="CA57" s="7">
        <v>9.7198520430703705E-2</v>
      </c>
      <c r="CB57" s="7">
        <v>1.4331941544885201</v>
      </c>
      <c r="CC57" s="7">
        <v>5.9723273763632703</v>
      </c>
      <c r="CD57" s="7">
        <v>9.2228363031557805</v>
      </c>
      <c r="CE57" s="7">
        <v>9.6003083879797995</v>
      </c>
      <c r="CF57" s="7">
        <v>79.368324396434502</v>
      </c>
      <c r="CG57" s="7">
        <v>99.349439963963604</v>
      </c>
      <c r="CH57" s="7">
        <v>99.909909129496995</v>
      </c>
      <c r="CI57" s="7">
        <v>19.1424830941124</v>
      </c>
      <c r="CJ57" s="7">
        <v>0.24901896239572399</v>
      </c>
      <c r="CK57" s="7">
        <v>3.4121743951350898</v>
      </c>
      <c r="CL57" s="7">
        <v>7.1326371503564703</v>
      </c>
      <c r="CM57" s="7">
        <v>9.3283812229835696</v>
      </c>
      <c r="CN57" s="7">
        <v>24.356153466332898</v>
      </c>
      <c r="CO57" s="7">
        <v>92.9443255745459</v>
      </c>
      <c r="CP57" s="7">
        <v>100</v>
      </c>
      <c r="CQ57" s="7">
        <v>100</v>
      </c>
      <c r="CR57" s="7">
        <v>11.8759545883035</v>
      </c>
      <c r="CS57" s="7">
        <v>1.2026524831296199</v>
      </c>
      <c r="CT57" s="7">
        <v>9.3208317812870902</v>
      </c>
      <c r="CU57" s="7">
        <v>10</v>
      </c>
      <c r="CV57" s="7">
        <v>10</v>
      </c>
      <c r="CW57" s="7">
        <v>87.517216885108198</v>
      </c>
      <c r="CX57" s="7">
        <v>100</v>
      </c>
      <c r="CY57" s="7">
        <v>100</v>
      </c>
      <c r="CZ57" s="7">
        <v>100</v>
      </c>
      <c r="DA57" s="9">
        <v>45.489798776564697</v>
      </c>
      <c r="DB57" s="9">
        <v>5.0901341834215498E-2</v>
      </c>
      <c r="DC57" s="9">
        <v>0.19987612505305799</v>
      </c>
      <c r="DD57" s="9">
        <v>0.65202834397387399</v>
      </c>
      <c r="DE57" s="9">
        <v>1.4677535321685</v>
      </c>
      <c r="DF57" s="9">
        <v>5.0901341834215499</v>
      </c>
      <c r="DG57" s="9">
        <v>19.868068850215298</v>
      </c>
      <c r="DH57" s="9">
        <v>56.782803038834402</v>
      </c>
      <c r="DI57" s="9">
        <v>76.666464539713601</v>
      </c>
    </row>
    <row r="58" spans="1:113">
      <c r="A58" s="5" t="s">
        <v>226</v>
      </c>
      <c r="B58" s="5" t="s">
        <v>227</v>
      </c>
      <c r="C58" s="5" t="s">
        <v>228</v>
      </c>
      <c r="D58" s="6">
        <v>244899</v>
      </c>
      <c r="E58" s="7">
        <v>12.8724261598095</v>
      </c>
      <c r="F58" s="7">
        <v>1.68741399515719</v>
      </c>
      <c r="G58" s="7">
        <v>5.9620782445007903</v>
      </c>
      <c r="H58" s="7">
        <v>8.3069061123156906</v>
      </c>
      <c r="I58" s="7">
        <v>9.2069914536196595</v>
      </c>
      <c r="J58" s="7">
        <v>74.836565277930902</v>
      </c>
      <c r="K58" s="7">
        <v>94.190666356334603</v>
      </c>
      <c r="L58" s="7">
        <v>96.908113140519106</v>
      </c>
      <c r="M58" s="7">
        <v>97.774184459716096</v>
      </c>
      <c r="N58" s="7">
        <v>10.758068384893701</v>
      </c>
      <c r="O58" s="7">
        <v>3.8212814262206098</v>
      </c>
      <c r="P58" s="7">
        <v>6.3741011600700697</v>
      </c>
      <c r="Q58" s="7">
        <v>7.9152099436910701</v>
      </c>
      <c r="R58" s="7">
        <v>9.4094381765544206</v>
      </c>
      <c r="S58" s="7">
        <v>82.946847475898196</v>
      </c>
      <c r="T58" s="7">
        <v>96.249065941469794</v>
      </c>
      <c r="U58" s="7">
        <v>99.9297669651571</v>
      </c>
      <c r="V58" s="7">
        <v>100</v>
      </c>
      <c r="W58" s="7">
        <v>7.7374397295554296</v>
      </c>
      <c r="X58" s="7">
        <v>6.3736193287845202</v>
      </c>
      <c r="Y58" s="7">
        <v>9.9252916508438194</v>
      </c>
      <c r="Z58" s="7">
        <v>9.9979746752742997</v>
      </c>
      <c r="AA58" s="7">
        <v>9.9979746752742997</v>
      </c>
      <c r="AB58" s="7">
        <v>96.702314015165399</v>
      </c>
      <c r="AC58" s="7">
        <v>100</v>
      </c>
      <c r="AD58" s="7">
        <v>100</v>
      </c>
      <c r="AE58" s="7">
        <v>100</v>
      </c>
      <c r="AF58" s="6">
        <v>18.343011337385398</v>
      </c>
      <c r="AG58" s="6">
        <v>1.38996484264942</v>
      </c>
      <c r="AH58" s="6">
        <v>3.6583816185447899</v>
      </c>
      <c r="AI58" s="6">
        <v>4.8443725780832096</v>
      </c>
      <c r="AJ58" s="6">
        <v>5.5287812526796802</v>
      </c>
      <c r="AK58" s="6">
        <v>71.718136864585006</v>
      </c>
      <c r="AL58" s="6">
        <v>82.059951245207202</v>
      </c>
      <c r="AM58" s="6">
        <v>87.788435232483593</v>
      </c>
      <c r="AN58" s="6">
        <v>90.739447690680606</v>
      </c>
      <c r="AO58" s="6">
        <v>16.1716643829097</v>
      </c>
      <c r="AP58" s="7">
        <v>1.29573415979649</v>
      </c>
      <c r="AQ58" s="7">
        <v>4.9610614988219597</v>
      </c>
      <c r="AR58" s="7">
        <v>7.9186113459017804</v>
      </c>
      <c r="AS58" s="7">
        <v>8.9824294913413301</v>
      </c>
      <c r="AT58" s="7">
        <v>61.060273827169603</v>
      </c>
      <c r="AU58" s="7">
        <v>91.879509512084596</v>
      </c>
      <c r="AV58" s="7">
        <v>95.263761795679002</v>
      </c>
      <c r="AW58" s="7">
        <v>96.433631823731403</v>
      </c>
      <c r="AX58" s="7">
        <v>12.7978382188849</v>
      </c>
      <c r="AY58" s="7">
        <v>2.6457519222210002</v>
      </c>
      <c r="AZ58" s="7">
        <v>5.5228359446138997</v>
      </c>
      <c r="BA58" s="7">
        <v>7.3497564302018397</v>
      </c>
      <c r="BB58" s="7">
        <v>8.9156223586049794</v>
      </c>
      <c r="BC58" s="7">
        <v>75.865969236297403</v>
      </c>
      <c r="BD58" s="7">
        <v>92.619814699120894</v>
      </c>
      <c r="BE58" s="7">
        <v>99.253978170592802</v>
      </c>
      <c r="BF58" s="7">
        <v>99.930175296754996</v>
      </c>
      <c r="BG58" s="7">
        <v>8.5914733819478393</v>
      </c>
      <c r="BH58" s="7">
        <v>5.5123377392312696</v>
      </c>
      <c r="BI58" s="7">
        <v>9.4773559712371203</v>
      </c>
      <c r="BJ58" s="7">
        <v>9.9636217379409509</v>
      </c>
      <c r="BK58" s="7">
        <v>10</v>
      </c>
      <c r="BL58" s="7">
        <v>92.002825654657599</v>
      </c>
      <c r="BM58" s="7">
        <v>100</v>
      </c>
      <c r="BN58" s="7">
        <v>100</v>
      </c>
      <c r="BO58" s="7">
        <v>100</v>
      </c>
      <c r="BP58" s="6">
        <v>24.7798216690421</v>
      </c>
      <c r="BQ58" s="6">
        <v>1.08083740644102</v>
      </c>
      <c r="BR58" s="6">
        <v>2.5272132593436498</v>
      </c>
      <c r="BS58" s="6">
        <v>3.6503783192254802</v>
      </c>
      <c r="BT58" s="6">
        <v>4.5110024949060596</v>
      </c>
      <c r="BU58" s="6">
        <v>56.464093360936602</v>
      </c>
      <c r="BV58" s="6">
        <v>74.460900207840794</v>
      </c>
      <c r="BW58" s="6">
        <v>82.2245088791706</v>
      </c>
      <c r="BX58" s="6">
        <v>87.567936169604593</v>
      </c>
      <c r="BY58" s="6" t="str">
        <f>TRIM(Table1[[#This Row],[LA_Name]])</f>
        <v>East Riding of Yorkshire</v>
      </c>
      <c r="BZ58" s="7">
        <v>50.2156016348778</v>
      </c>
      <c r="CA58" s="7">
        <v>3.6737593865226098E-2</v>
      </c>
      <c r="CB58" s="7">
        <v>0.28662019853082299</v>
      </c>
      <c r="CC58" s="7">
        <v>1.4881685919501499</v>
      </c>
      <c r="CD58" s="7">
        <v>3.4850040220662399</v>
      </c>
      <c r="CE58" s="7">
        <v>3.6737593865226099</v>
      </c>
      <c r="CF58" s="7">
        <v>22.5758373860244</v>
      </c>
      <c r="CG58" s="7">
        <v>48.010812620712997</v>
      </c>
      <c r="CH58" s="7">
        <v>71.841861338756004</v>
      </c>
      <c r="CI58" s="7">
        <v>66.003337458822699</v>
      </c>
      <c r="CJ58" s="7">
        <v>9.0192283349462402E-2</v>
      </c>
      <c r="CK58" s="7">
        <v>0.46901784000751301</v>
      </c>
      <c r="CL58" s="7">
        <v>1.6059559246873201</v>
      </c>
      <c r="CM58" s="7">
        <v>2.8735274541749898</v>
      </c>
      <c r="CN58" s="7">
        <v>9.0192283349462397</v>
      </c>
      <c r="CO58" s="7">
        <v>26.517053969187302</v>
      </c>
      <c r="CP58" s="7">
        <v>36.900518172797803</v>
      </c>
      <c r="CQ58" s="7">
        <v>46.3966778141193</v>
      </c>
      <c r="CR58" s="7">
        <v>26.688326124643599</v>
      </c>
      <c r="CS58" s="7">
        <v>0.19380642632268799</v>
      </c>
      <c r="CT58" s="7">
        <v>3.6121666482917401</v>
      </c>
      <c r="CU58" s="7">
        <v>7.2529859248098196</v>
      </c>
      <c r="CV58" s="7">
        <v>8.7514567229755897</v>
      </c>
      <c r="CW58" s="7">
        <v>19.216084998305401</v>
      </c>
      <c r="CX58" s="7">
        <v>59.502488781089298</v>
      </c>
      <c r="CY58" s="7">
        <v>88.703098011833404</v>
      </c>
      <c r="CZ58" s="7">
        <v>99.763167673204094</v>
      </c>
      <c r="DA58" s="9">
        <v>98.901055968347706</v>
      </c>
      <c r="DB58" s="9">
        <v>3.2462362034961403E-2</v>
      </c>
      <c r="DC58" s="9">
        <v>8.8501790534056907E-2</v>
      </c>
      <c r="DD58" s="9">
        <v>9.5431177750827906E-2</v>
      </c>
      <c r="DE58" s="9">
        <v>0.15111535775973001</v>
      </c>
      <c r="DF58" s="9">
        <v>3.2462362034961401</v>
      </c>
      <c r="DG58" s="9">
        <v>8.8501790534056894</v>
      </c>
      <c r="DH58" s="9">
        <v>9.5431177750827896</v>
      </c>
      <c r="DI58" s="9">
        <v>13.480251042266399</v>
      </c>
    </row>
    <row r="59" spans="1:113">
      <c r="A59" s="5" t="s">
        <v>226</v>
      </c>
      <c r="B59" s="5" t="s">
        <v>229</v>
      </c>
      <c r="C59" s="5" t="s">
        <v>230</v>
      </c>
      <c r="D59" s="6">
        <v>190556</v>
      </c>
      <c r="E59" s="7">
        <v>6.9463706893799699</v>
      </c>
      <c r="F59" s="7">
        <v>4.6429605995088101</v>
      </c>
      <c r="G59" s="7">
        <v>9.9993440248535901</v>
      </c>
      <c r="H59" s="7">
        <v>10</v>
      </c>
      <c r="I59" s="7">
        <v>10</v>
      </c>
      <c r="J59" s="7">
        <v>94.919078905938406</v>
      </c>
      <c r="K59" s="7">
        <v>100</v>
      </c>
      <c r="L59" s="7">
        <v>100</v>
      </c>
      <c r="M59" s="7">
        <v>100</v>
      </c>
      <c r="N59" s="7">
        <v>7.5746920087650302</v>
      </c>
      <c r="O59" s="7">
        <v>9.2802535737525993</v>
      </c>
      <c r="P59" s="7">
        <v>10</v>
      </c>
      <c r="Q59" s="7">
        <v>10</v>
      </c>
      <c r="R59" s="7">
        <v>10</v>
      </c>
      <c r="S59" s="7">
        <v>100</v>
      </c>
      <c r="T59" s="7">
        <v>100</v>
      </c>
      <c r="U59" s="7">
        <v>100</v>
      </c>
      <c r="V59" s="7">
        <v>100</v>
      </c>
      <c r="W59" s="7">
        <v>6.7423333311819604</v>
      </c>
      <c r="X59" s="7">
        <v>10</v>
      </c>
      <c r="Y59" s="7">
        <v>10</v>
      </c>
      <c r="Z59" s="7">
        <v>10</v>
      </c>
      <c r="AA59" s="7">
        <v>10</v>
      </c>
      <c r="AB59" s="7">
        <v>100</v>
      </c>
      <c r="AC59" s="7">
        <v>100</v>
      </c>
      <c r="AD59" s="7">
        <v>100</v>
      </c>
      <c r="AE59" s="7">
        <v>100</v>
      </c>
      <c r="AF59" s="6">
        <v>7.2792629537762297</v>
      </c>
      <c r="AG59" s="6">
        <v>3.4576712357522199</v>
      </c>
      <c r="AH59" s="6">
        <v>9.2382239341715806</v>
      </c>
      <c r="AI59" s="6">
        <v>9.9876676672474201</v>
      </c>
      <c r="AJ59" s="6">
        <v>10</v>
      </c>
      <c r="AK59" s="6">
        <v>92.949579126346094</v>
      </c>
      <c r="AL59" s="6">
        <v>99.900291777745096</v>
      </c>
      <c r="AM59" s="6">
        <v>100</v>
      </c>
      <c r="AN59" s="6">
        <v>100</v>
      </c>
      <c r="AO59" s="6">
        <v>10.832333306417</v>
      </c>
      <c r="AP59" s="7">
        <v>1.67377568798673</v>
      </c>
      <c r="AQ59" s="7">
        <v>8.8538015071684999</v>
      </c>
      <c r="AR59" s="7">
        <v>9.9896198492831498</v>
      </c>
      <c r="AS59" s="7">
        <v>10</v>
      </c>
      <c r="AT59" s="7">
        <v>74.972186653792093</v>
      </c>
      <c r="AU59" s="7">
        <v>100</v>
      </c>
      <c r="AV59" s="7">
        <v>100</v>
      </c>
      <c r="AW59" s="7">
        <v>100</v>
      </c>
      <c r="AX59" s="7">
        <v>9.1820309968420997</v>
      </c>
      <c r="AY59" s="7">
        <v>5.27479061273326</v>
      </c>
      <c r="AZ59" s="7">
        <v>9.95875228279351</v>
      </c>
      <c r="BA59" s="7">
        <v>10</v>
      </c>
      <c r="BB59" s="7">
        <v>10</v>
      </c>
      <c r="BC59" s="7">
        <v>98.959885807846504</v>
      </c>
      <c r="BD59" s="7">
        <v>100</v>
      </c>
      <c r="BE59" s="7">
        <v>100</v>
      </c>
      <c r="BF59" s="7">
        <v>100</v>
      </c>
      <c r="BG59" s="7">
        <v>7.5684717597547797</v>
      </c>
      <c r="BH59" s="7">
        <v>9.5799240118390401</v>
      </c>
      <c r="BI59" s="7">
        <v>10</v>
      </c>
      <c r="BJ59" s="7">
        <v>10</v>
      </c>
      <c r="BK59" s="7">
        <v>10</v>
      </c>
      <c r="BL59" s="7">
        <v>100</v>
      </c>
      <c r="BM59" s="7">
        <v>100</v>
      </c>
      <c r="BN59" s="7">
        <v>100</v>
      </c>
      <c r="BO59" s="7">
        <v>100</v>
      </c>
      <c r="BP59" s="6">
        <v>11.8543084656992</v>
      </c>
      <c r="BQ59" s="6">
        <v>1.2975818132202599</v>
      </c>
      <c r="BR59" s="6">
        <v>5.0714698041520601</v>
      </c>
      <c r="BS59" s="6">
        <v>8.4298946241524799</v>
      </c>
      <c r="BT59" s="6">
        <v>9.4930204244421592</v>
      </c>
      <c r="BU59" s="6">
        <v>67.540775415101095</v>
      </c>
      <c r="BV59" s="6">
        <v>98.995046075694304</v>
      </c>
      <c r="BW59" s="6">
        <v>100</v>
      </c>
      <c r="BX59" s="6">
        <v>100</v>
      </c>
      <c r="BY59" s="6" t="str">
        <f>TRIM(Table1[[#This Row],[LA_Name]])</f>
        <v>Kingston upon Hull</v>
      </c>
      <c r="BZ59" s="7">
        <v>21.993861897035401</v>
      </c>
      <c r="CA59" s="7">
        <v>0.30039988244925397</v>
      </c>
      <c r="CB59" s="7">
        <v>3.0405182728436801</v>
      </c>
      <c r="CC59" s="7">
        <v>6.7912162303994599</v>
      </c>
      <c r="CD59" s="7">
        <v>8.5847834757236701</v>
      </c>
      <c r="CE59" s="7">
        <v>20.8825752009908</v>
      </c>
      <c r="CF59" s="7">
        <v>81.233863011398199</v>
      </c>
      <c r="CG59" s="7">
        <v>100</v>
      </c>
      <c r="CH59" s="7">
        <v>100</v>
      </c>
      <c r="CI59" s="7">
        <v>15.6717324977273</v>
      </c>
      <c r="CJ59" s="7">
        <v>1.1671214761015101</v>
      </c>
      <c r="CK59" s="7">
        <v>6.1429658473099797</v>
      </c>
      <c r="CL59" s="7">
        <v>8.1001647809567796</v>
      </c>
      <c r="CM59" s="7">
        <v>8.7093505321270399</v>
      </c>
      <c r="CN59" s="7">
        <v>47.2805894330276</v>
      </c>
      <c r="CO59" s="7">
        <v>100</v>
      </c>
      <c r="CP59" s="7">
        <v>100</v>
      </c>
      <c r="CQ59" s="7">
        <v>100</v>
      </c>
      <c r="CR59" s="7">
        <v>11.1145207743848</v>
      </c>
      <c r="CS59" s="7">
        <v>4.1097892483049598</v>
      </c>
      <c r="CT59" s="7">
        <v>8.7721037385335503</v>
      </c>
      <c r="CU59" s="7">
        <v>9.7912739562123505</v>
      </c>
      <c r="CV59" s="7">
        <v>10</v>
      </c>
      <c r="CW59" s="7">
        <v>91.133839921073104</v>
      </c>
      <c r="CX59" s="7">
        <v>100</v>
      </c>
      <c r="CY59" s="7">
        <v>100</v>
      </c>
      <c r="CZ59" s="7">
        <v>100</v>
      </c>
      <c r="DA59" s="9">
        <v>32.942416339590302</v>
      </c>
      <c r="DB59" s="9">
        <v>0.237006444299838</v>
      </c>
      <c r="DC59" s="9">
        <v>1.08138290056466</v>
      </c>
      <c r="DD59" s="9">
        <v>2.53738008774324</v>
      </c>
      <c r="DE59" s="9">
        <v>4.03644597913474</v>
      </c>
      <c r="DF59" s="9">
        <v>16.707424589097201</v>
      </c>
      <c r="DG59" s="9">
        <v>46.6393081298936</v>
      </c>
      <c r="DH59" s="9">
        <v>74.159302252356298</v>
      </c>
      <c r="DI59" s="9">
        <v>93.093368878439904</v>
      </c>
    </row>
    <row r="60" spans="1:113">
      <c r="A60" s="5" t="s">
        <v>226</v>
      </c>
      <c r="B60" s="5" t="s">
        <v>231</v>
      </c>
      <c r="C60" s="5" t="s">
        <v>232</v>
      </c>
      <c r="D60" s="6">
        <v>113240</v>
      </c>
      <c r="E60" s="7">
        <v>7.2268912050734198</v>
      </c>
      <c r="F60" s="7">
        <v>3.9097315436241602</v>
      </c>
      <c r="G60" s="7">
        <v>9.3714411868597693</v>
      </c>
      <c r="H60" s="7">
        <v>9.9183062522076995</v>
      </c>
      <c r="I60" s="7">
        <v>9.9634139879901102</v>
      </c>
      <c r="J60" s="7">
        <v>93.498763687742894</v>
      </c>
      <c r="K60" s="7">
        <v>99.0533380430943</v>
      </c>
      <c r="L60" s="7">
        <v>99.607029318262093</v>
      </c>
      <c r="M60" s="7">
        <v>99.878134934652095</v>
      </c>
      <c r="N60" s="7">
        <v>7.7051479998598298</v>
      </c>
      <c r="O60" s="7">
        <v>7.5797333097845296</v>
      </c>
      <c r="P60" s="7">
        <v>9.6610385022960106</v>
      </c>
      <c r="Q60" s="7">
        <v>9.9178647121158594</v>
      </c>
      <c r="R60" s="7">
        <v>10</v>
      </c>
      <c r="S60" s="7">
        <v>96.119745672907101</v>
      </c>
      <c r="T60" s="7">
        <v>100</v>
      </c>
      <c r="U60" s="7">
        <v>100</v>
      </c>
      <c r="V60" s="7">
        <v>100</v>
      </c>
      <c r="W60" s="7">
        <v>6.57482249209166</v>
      </c>
      <c r="X60" s="7">
        <v>9.6061285764747399</v>
      </c>
      <c r="Y60" s="7">
        <v>10</v>
      </c>
      <c r="Z60" s="7">
        <v>10</v>
      </c>
      <c r="AA60" s="7">
        <v>10</v>
      </c>
      <c r="AB60" s="7">
        <v>99.940833627693394</v>
      </c>
      <c r="AC60" s="7">
        <v>100</v>
      </c>
      <c r="AD60" s="7">
        <v>100</v>
      </c>
      <c r="AE60" s="7">
        <v>100</v>
      </c>
      <c r="AF60" s="6">
        <v>8.1535597677469305</v>
      </c>
      <c r="AG60" s="6">
        <v>3.0765542211232799</v>
      </c>
      <c r="AH60" s="6">
        <v>7.5870805369127501</v>
      </c>
      <c r="AI60" s="6">
        <v>8.8808636524196398</v>
      </c>
      <c r="AJ60" s="6">
        <v>9.2583274461321103</v>
      </c>
      <c r="AK60" s="6">
        <v>92.324267043447506</v>
      </c>
      <c r="AL60" s="6">
        <v>95.869833980925506</v>
      </c>
      <c r="AM60" s="6">
        <v>98.170257859413596</v>
      </c>
      <c r="AN60" s="6">
        <v>99.490462734016205</v>
      </c>
      <c r="AO60" s="6">
        <v>10.512906907047499</v>
      </c>
      <c r="AP60" s="7">
        <v>1.7455757682797599</v>
      </c>
      <c r="AQ60" s="7">
        <v>8.1779671494171708</v>
      </c>
      <c r="AR60" s="7">
        <v>9.7895884846344092</v>
      </c>
      <c r="AS60" s="7">
        <v>9.9428205581066802</v>
      </c>
      <c r="AT60" s="7">
        <v>76.319321794418897</v>
      </c>
      <c r="AU60" s="7">
        <v>99.270575768279798</v>
      </c>
      <c r="AV60" s="7">
        <v>99.669728011303405</v>
      </c>
      <c r="AW60" s="7">
        <v>99.887848816672602</v>
      </c>
      <c r="AX60" s="7">
        <v>8.9397471051256492</v>
      </c>
      <c r="AY60" s="7">
        <v>4.8841222182974198</v>
      </c>
      <c r="AZ60" s="7">
        <v>9.1976863299187599</v>
      </c>
      <c r="BA60" s="7">
        <v>9.7604380077711106</v>
      </c>
      <c r="BB60" s="7">
        <v>10</v>
      </c>
      <c r="BC60" s="7">
        <v>98.414871070293202</v>
      </c>
      <c r="BD60" s="7">
        <v>100</v>
      </c>
      <c r="BE60" s="7">
        <v>100</v>
      </c>
      <c r="BF60" s="7">
        <v>100</v>
      </c>
      <c r="BG60" s="7">
        <v>7.152893321264</v>
      </c>
      <c r="BH60" s="7">
        <v>8.9410808901448195</v>
      </c>
      <c r="BI60" s="7">
        <v>10</v>
      </c>
      <c r="BJ60" s="7">
        <v>10</v>
      </c>
      <c r="BK60" s="7">
        <v>10</v>
      </c>
      <c r="BL60" s="7">
        <v>100</v>
      </c>
      <c r="BM60" s="7">
        <v>100</v>
      </c>
      <c r="BN60" s="7">
        <v>100</v>
      </c>
      <c r="BO60" s="7">
        <v>100</v>
      </c>
      <c r="BP60" s="6">
        <v>12.204998499607401</v>
      </c>
      <c r="BQ60" s="6">
        <v>1.4153302719887</v>
      </c>
      <c r="BR60" s="6">
        <v>4.5531172730483904</v>
      </c>
      <c r="BS60" s="6">
        <v>6.9817908866125</v>
      </c>
      <c r="BT60" s="6">
        <v>8.4284705051218705</v>
      </c>
      <c r="BU60" s="6">
        <v>66.5595196043801</v>
      </c>
      <c r="BV60" s="6">
        <v>97.516778523489904</v>
      </c>
      <c r="BW60" s="6">
        <v>99.264394206993998</v>
      </c>
      <c r="BX60" s="6">
        <v>99.696220416813901</v>
      </c>
      <c r="BY60" s="6" t="str">
        <f>TRIM(Table1[[#This Row],[LA_Name]])</f>
        <v>North East Lincolnshire</v>
      </c>
      <c r="BZ60" s="7">
        <v>29.249014512269799</v>
      </c>
      <c r="CA60" s="7">
        <v>8.6700812433768995E-2</v>
      </c>
      <c r="CB60" s="7">
        <v>0.55187212998940305</v>
      </c>
      <c r="CC60" s="7">
        <v>1.0643235605793</v>
      </c>
      <c r="CD60" s="7">
        <v>1.37679265277287</v>
      </c>
      <c r="CE60" s="7">
        <v>8.6700812433769006</v>
      </c>
      <c r="CF60" s="7">
        <v>55.187212998940304</v>
      </c>
      <c r="CG60" s="7">
        <v>93.583539385376199</v>
      </c>
      <c r="CH60" s="7">
        <v>98.864358883786693</v>
      </c>
      <c r="CI60" s="7">
        <v>20.354078433522901</v>
      </c>
      <c r="CJ60" s="7">
        <v>0.29602613917343701</v>
      </c>
      <c r="CK60" s="7">
        <v>0.86458848463440496</v>
      </c>
      <c r="CL60" s="7">
        <v>1.01091487107029</v>
      </c>
      <c r="CM60" s="7">
        <v>1.1441805015895401</v>
      </c>
      <c r="CN60" s="7">
        <v>29.6026139173437</v>
      </c>
      <c r="CO60" s="7">
        <v>86.458848463440503</v>
      </c>
      <c r="CP60" s="7">
        <v>99.765983751324598</v>
      </c>
      <c r="CQ60" s="7">
        <v>100</v>
      </c>
      <c r="CR60" s="7">
        <v>12.335828677250401</v>
      </c>
      <c r="CS60" s="7">
        <v>0.75692334864005695</v>
      </c>
      <c r="CT60" s="7">
        <v>1.90067997174143</v>
      </c>
      <c r="CU60" s="7">
        <v>4.52408159660897</v>
      </c>
      <c r="CV60" s="7">
        <v>9.9841045566937492</v>
      </c>
      <c r="CW60" s="7">
        <v>75.692334864005602</v>
      </c>
      <c r="CX60" s="7">
        <v>100</v>
      </c>
      <c r="CY60" s="7">
        <v>100</v>
      </c>
      <c r="CZ60" s="7">
        <v>100</v>
      </c>
      <c r="DA60" s="9">
        <v>49.234798124774699</v>
      </c>
      <c r="DB60" s="9">
        <v>7.7984811020840705E-2</v>
      </c>
      <c r="DC60" s="9">
        <v>0.25031790886612498</v>
      </c>
      <c r="DD60" s="9">
        <v>0.47491169198163202</v>
      </c>
      <c r="DE60" s="9">
        <v>0.65188096079124003</v>
      </c>
      <c r="DF60" s="9">
        <v>7.7984811020840699</v>
      </c>
      <c r="DG60" s="9">
        <v>25.031790886612502</v>
      </c>
      <c r="DH60" s="9">
        <v>47.491169198163199</v>
      </c>
      <c r="DI60" s="9">
        <v>65.188096079123994</v>
      </c>
    </row>
    <row r="61" spans="1:113">
      <c r="A61" s="5" t="s">
        <v>226</v>
      </c>
      <c r="B61" s="5" t="s">
        <v>233</v>
      </c>
      <c r="C61" s="5" t="s">
        <v>234</v>
      </c>
      <c r="D61" s="6">
        <v>124118</v>
      </c>
      <c r="E61" s="7">
        <v>9.4618540566818208</v>
      </c>
      <c r="F61" s="7">
        <v>2.3121626194427898</v>
      </c>
      <c r="G61" s="7">
        <v>7.6894568072318297</v>
      </c>
      <c r="H61" s="7">
        <v>9.5510884803171194</v>
      </c>
      <c r="I61" s="7">
        <v>9.9320968755539099</v>
      </c>
      <c r="J61" s="7">
        <v>85.152032743034894</v>
      </c>
      <c r="K61" s="7">
        <v>98.658534620280705</v>
      </c>
      <c r="L61" s="7">
        <v>99.6358304194396</v>
      </c>
      <c r="M61" s="7">
        <v>99.7421808279218</v>
      </c>
      <c r="N61" s="7">
        <v>9.3554272485053307</v>
      </c>
      <c r="O61" s="7">
        <v>4.6419697384746801</v>
      </c>
      <c r="P61" s="7">
        <v>7.2471841312299601</v>
      </c>
      <c r="Q61" s="7">
        <v>9.1833497155932307</v>
      </c>
      <c r="R61" s="7">
        <v>9.9500717059572299</v>
      </c>
      <c r="S61" s="7">
        <v>89.903156673488098</v>
      </c>
      <c r="T61" s="7">
        <v>99.214457210074301</v>
      </c>
      <c r="U61" s="7">
        <v>100</v>
      </c>
      <c r="V61" s="7">
        <v>100</v>
      </c>
      <c r="W61" s="7">
        <v>7.1988936280318301</v>
      </c>
      <c r="X61" s="7">
        <v>7.0441595900675198</v>
      </c>
      <c r="Y61" s="7">
        <v>9.9863919818237505</v>
      </c>
      <c r="Z61" s="7">
        <v>10</v>
      </c>
      <c r="AA61" s="7">
        <v>10</v>
      </c>
      <c r="AB61" s="7">
        <v>98.538487568281795</v>
      </c>
      <c r="AC61" s="7">
        <v>100</v>
      </c>
      <c r="AD61" s="7">
        <v>100</v>
      </c>
      <c r="AE61" s="7">
        <v>100</v>
      </c>
      <c r="AF61" s="6">
        <v>13.710650649931701</v>
      </c>
      <c r="AG61" s="6">
        <v>1.7770750414927701</v>
      </c>
      <c r="AH61" s="6">
        <v>4.48865595642856</v>
      </c>
      <c r="AI61" s="6">
        <v>5.59403148616639</v>
      </c>
      <c r="AJ61" s="6">
        <v>6.3036707004624599</v>
      </c>
      <c r="AK61" s="6">
        <v>79.854654441740905</v>
      </c>
      <c r="AL61" s="6">
        <v>89.342399974218097</v>
      </c>
      <c r="AM61" s="6">
        <v>92.139737991266401</v>
      </c>
      <c r="AN61" s="6">
        <v>95.922428656600999</v>
      </c>
      <c r="AO61" s="6">
        <v>14.5521636678075</v>
      </c>
      <c r="AP61" s="7">
        <v>1.14039865289483</v>
      </c>
      <c r="AQ61" s="7">
        <v>5.8550975684429298</v>
      </c>
      <c r="AR61" s="7">
        <v>8.8503681980051194</v>
      </c>
      <c r="AS61" s="7">
        <v>9.78591340498558</v>
      </c>
      <c r="AT61" s="7">
        <v>57.794195845888602</v>
      </c>
      <c r="AU61" s="7">
        <v>94.639778275512001</v>
      </c>
      <c r="AV61" s="7">
        <v>99.8936495915178</v>
      </c>
      <c r="AW61" s="7">
        <v>100</v>
      </c>
      <c r="AX61" s="7">
        <v>14.3091794972215</v>
      </c>
      <c r="AY61" s="7">
        <v>2.77198311284423</v>
      </c>
      <c r="AZ61" s="7">
        <v>6.0135677339306097</v>
      </c>
      <c r="BA61" s="7">
        <v>7.8792197747305002</v>
      </c>
      <c r="BB61" s="7">
        <v>9.4682560144378698</v>
      </c>
      <c r="BC61" s="7">
        <v>70.279894938687406</v>
      </c>
      <c r="BD61" s="7">
        <v>89.054770460368402</v>
      </c>
      <c r="BE61" s="7">
        <v>97.929389774247099</v>
      </c>
      <c r="BF61" s="7">
        <v>99.722038705103202</v>
      </c>
      <c r="BG61" s="7">
        <v>9.2452655694785104</v>
      </c>
      <c r="BH61" s="7">
        <v>5.5789248940524301</v>
      </c>
      <c r="BI61" s="7">
        <v>9.8902173737894596</v>
      </c>
      <c r="BJ61" s="7">
        <v>10</v>
      </c>
      <c r="BK61" s="7">
        <v>10</v>
      </c>
      <c r="BL61" s="7">
        <v>88.617283552748205</v>
      </c>
      <c r="BM61" s="7">
        <v>99.722038705103202</v>
      </c>
      <c r="BN61" s="7">
        <v>100</v>
      </c>
      <c r="BO61" s="7">
        <v>100</v>
      </c>
      <c r="BP61" s="6">
        <v>29.353385207405601</v>
      </c>
      <c r="BQ61" s="6">
        <v>0.87028472904816401</v>
      </c>
      <c r="BR61" s="6">
        <v>2.6041911729160998</v>
      </c>
      <c r="BS61" s="6">
        <v>4.2080036739231996</v>
      </c>
      <c r="BT61" s="6">
        <v>5.1302228524468596</v>
      </c>
      <c r="BU61" s="6">
        <v>49.834834592887397</v>
      </c>
      <c r="BV61" s="6">
        <v>69.795678306127996</v>
      </c>
      <c r="BW61" s="6">
        <v>76.749544788024295</v>
      </c>
      <c r="BX61" s="6">
        <v>82.584314926118694</v>
      </c>
      <c r="BY61" s="6" t="str">
        <f>TRIM(Table1[[#This Row],[LA_Name]])</f>
        <v>North Lincolnshire</v>
      </c>
      <c r="BZ61" s="7">
        <v>29.6740455125815</v>
      </c>
      <c r="CA61" s="7">
        <v>0.25448363653942202</v>
      </c>
      <c r="CB61" s="7">
        <v>1.14859246845744</v>
      </c>
      <c r="CC61" s="7">
        <v>2.0127459353196202</v>
      </c>
      <c r="CD61" s="7">
        <v>3.18194782384505</v>
      </c>
      <c r="CE61" s="7">
        <v>19.456484957862699</v>
      </c>
      <c r="CF61" s="7">
        <v>57.630641808601503</v>
      </c>
      <c r="CG61" s="7">
        <v>82.726115470761698</v>
      </c>
      <c r="CH61" s="7">
        <v>96.406645289160295</v>
      </c>
      <c r="CI61" s="7">
        <v>32.2908504237719</v>
      </c>
      <c r="CJ61" s="7">
        <v>0.51434119144684898</v>
      </c>
      <c r="CK61" s="7">
        <v>1.4751365635927101</v>
      </c>
      <c r="CL61" s="7">
        <v>1.7880645837026099</v>
      </c>
      <c r="CM61" s="7">
        <v>2.5179990009507098</v>
      </c>
      <c r="CN61" s="7">
        <v>31.1566412607358</v>
      </c>
      <c r="CO61" s="7">
        <v>52.0673874861019</v>
      </c>
      <c r="CP61" s="7">
        <v>66.885544401295505</v>
      </c>
      <c r="CQ61" s="7">
        <v>87.297571665673004</v>
      </c>
      <c r="CR61" s="7">
        <v>15.6700849679185</v>
      </c>
      <c r="CS61" s="7">
        <v>1.29595223899837</v>
      </c>
      <c r="CT61" s="7">
        <v>3.3276156560692201</v>
      </c>
      <c r="CU61" s="7">
        <v>8.6142864048727805</v>
      </c>
      <c r="CV61" s="7">
        <v>9.9947711049162908</v>
      </c>
      <c r="CW61" s="7">
        <v>51.216584218243902</v>
      </c>
      <c r="CX61" s="7">
        <v>96.684606584057093</v>
      </c>
      <c r="CY61" s="7">
        <v>100</v>
      </c>
      <c r="CZ61" s="7">
        <v>100</v>
      </c>
      <c r="DA61" s="9">
        <v>70.001935102427694</v>
      </c>
      <c r="DB61" s="9">
        <v>0.18554117855589</v>
      </c>
      <c r="DC61" s="9">
        <v>0.495568732979906</v>
      </c>
      <c r="DD61" s="9">
        <v>0.85905348136450799</v>
      </c>
      <c r="DE61" s="9">
        <v>1.21215295122384</v>
      </c>
      <c r="DF61" s="9">
        <v>14.661854042121201</v>
      </c>
      <c r="DG61" s="9">
        <v>30.081857587134799</v>
      </c>
      <c r="DH61" s="9">
        <v>43.589970834206198</v>
      </c>
      <c r="DI61" s="9">
        <v>49.517394737266201</v>
      </c>
    </row>
    <row r="62" spans="1:113">
      <c r="A62" s="5" t="s">
        <v>226</v>
      </c>
      <c r="B62" s="5" t="s">
        <v>235</v>
      </c>
      <c r="C62" s="5" t="s">
        <v>236</v>
      </c>
      <c r="D62" s="6">
        <v>159319</v>
      </c>
      <c r="E62" s="7">
        <v>7.8309882164704803</v>
      </c>
      <c r="F62" s="7">
        <v>3.1240592772990001</v>
      </c>
      <c r="G62" s="7">
        <v>9.1409624715193996</v>
      </c>
      <c r="H62" s="7">
        <v>9.9201727352042095</v>
      </c>
      <c r="I62" s="7">
        <v>9.9936165805710608</v>
      </c>
      <c r="J62" s="7">
        <v>91.576020436984905</v>
      </c>
      <c r="K62" s="7">
        <v>99.639716543538398</v>
      </c>
      <c r="L62" s="7">
        <v>100</v>
      </c>
      <c r="M62" s="7">
        <v>100</v>
      </c>
      <c r="N62" s="7">
        <v>8.1197777928679802</v>
      </c>
      <c r="O62" s="7">
        <v>6.8687978207244598</v>
      </c>
      <c r="P62" s="7">
        <v>9.7429057425667995</v>
      </c>
      <c r="Q62" s="7">
        <v>9.9357389890722398</v>
      </c>
      <c r="R62" s="7">
        <v>10</v>
      </c>
      <c r="S62" s="7">
        <v>95.642076588479696</v>
      </c>
      <c r="T62" s="7">
        <v>99.853752534223801</v>
      </c>
      <c r="U62" s="7">
        <v>100</v>
      </c>
      <c r="V62" s="7">
        <v>100</v>
      </c>
      <c r="W62" s="7">
        <v>6.8871901819033301</v>
      </c>
      <c r="X62" s="7">
        <v>9.6345194232953997</v>
      </c>
      <c r="Y62" s="7">
        <v>10</v>
      </c>
      <c r="Z62" s="7">
        <v>10</v>
      </c>
      <c r="AA62" s="7">
        <v>10</v>
      </c>
      <c r="AB62" s="7">
        <v>99.749559060752304</v>
      </c>
      <c r="AC62" s="7">
        <v>100</v>
      </c>
      <c r="AD62" s="7">
        <v>100</v>
      </c>
      <c r="AE62" s="7">
        <v>100</v>
      </c>
      <c r="AF62" s="6">
        <v>9.1395502129389605</v>
      </c>
      <c r="AG62" s="6">
        <v>2.2729178566272701</v>
      </c>
      <c r="AH62" s="6">
        <v>6.7508269572367396</v>
      </c>
      <c r="AI62" s="6">
        <v>8.68645296543413</v>
      </c>
      <c r="AJ62" s="6">
        <v>9.3658383494749504</v>
      </c>
      <c r="AK62" s="6">
        <v>87.648679692943105</v>
      </c>
      <c r="AL62" s="6">
        <v>96.820216044539606</v>
      </c>
      <c r="AM62" s="6">
        <v>98.2902227606249</v>
      </c>
      <c r="AN62" s="6">
        <v>99.734494944105904</v>
      </c>
      <c r="AO62" s="6">
        <v>10.390625834775401</v>
      </c>
      <c r="AP62" s="7">
        <v>2.0010168278736402</v>
      </c>
      <c r="AQ62" s="7">
        <v>7.9346656707611798</v>
      </c>
      <c r="AR62" s="7">
        <v>9.8346336595132993</v>
      </c>
      <c r="AS62" s="7">
        <v>9.9979851743985293</v>
      </c>
      <c r="AT62" s="7">
        <v>81.716556091865996</v>
      </c>
      <c r="AU62" s="7">
        <v>99.4784049611158</v>
      </c>
      <c r="AV62" s="7">
        <v>99.932839146617795</v>
      </c>
      <c r="AW62" s="7">
        <v>100</v>
      </c>
      <c r="AX62" s="7">
        <v>9.4022164183047394</v>
      </c>
      <c r="AY62" s="7">
        <v>5.0245482334184901</v>
      </c>
      <c r="AZ62" s="7">
        <v>9.3625179670974603</v>
      </c>
      <c r="BA62" s="7">
        <v>9.9595214632278601</v>
      </c>
      <c r="BB62" s="7">
        <v>10</v>
      </c>
      <c r="BC62" s="7">
        <v>92.434047414307102</v>
      </c>
      <c r="BD62" s="7">
        <v>100</v>
      </c>
      <c r="BE62" s="7">
        <v>100</v>
      </c>
      <c r="BF62" s="7">
        <v>100</v>
      </c>
      <c r="BG62" s="7">
        <v>7.5224998397698597</v>
      </c>
      <c r="BH62" s="7">
        <v>8.5113012258424892</v>
      </c>
      <c r="BI62" s="7">
        <v>10</v>
      </c>
      <c r="BJ62" s="7">
        <v>10</v>
      </c>
      <c r="BK62" s="7">
        <v>10</v>
      </c>
      <c r="BL62" s="7">
        <v>99.699345338597396</v>
      </c>
      <c r="BM62" s="7">
        <v>100</v>
      </c>
      <c r="BN62" s="7">
        <v>100</v>
      </c>
      <c r="BO62" s="7">
        <v>100</v>
      </c>
      <c r="BP62" s="6">
        <v>13.3771884208206</v>
      </c>
      <c r="BQ62" s="6">
        <v>1.43328165504428</v>
      </c>
      <c r="BR62" s="6">
        <v>4.9586866600970403</v>
      </c>
      <c r="BS62" s="6">
        <v>7.2741606462505999</v>
      </c>
      <c r="BT62" s="6">
        <v>8.6236167688725107</v>
      </c>
      <c r="BU62" s="6">
        <v>74.005611383450798</v>
      </c>
      <c r="BV62" s="6">
        <v>92.461664961492303</v>
      </c>
      <c r="BW62" s="6">
        <v>95.090353316302497</v>
      </c>
      <c r="BX62" s="6">
        <v>97.533250899139503</v>
      </c>
      <c r="BY62" s="6" t="str">
        <f>TRIM(Table1[[#This Row],[LA_Name]])</f>
        <v>York</v>
      </c>
      <c r="BZ62" s="7">
        <v>17.676441941675201</v>
      </c>
      <c r="CA62" s="7">
        <v>0.55256435202329901</v>
      </c>
      <c r="CB62" s="7">
        <v>3.5734909207313601</v>
      </c>
      <c r="CC62" s="7">
        <v>6.2250453492678197</v>
      </c>
      <c r="CD62" s="7">
        <v>8.4237912615569996</v>
      </c>
      <c r="CE62" s="7">
        <v>37.490820303918603</v>
      </c>
      <c r="CF62" s="7">
        <v>91.990911316289996</v>
      </c>
      <c r="CG62" s="7">
        <v>99.932839146617795</v>
      </c>
      <c r="CH62" s="7">
        <v>100</v>
      </c>
      <c r="CI62" s="7">
        <v>14.495890411966</v>
      </c>
      <c r="CJ62" s="7">
        <v>1.7569404779091</v>
      </c>
      <c r="CK62" s="7">
        <v>6.0093271988902801</v>
      </c>
      <c r="CL62" s="7">
        <v>7.7261782963739396</v>
      </c>
      <c r="CM62" s="7">
        <v>7.9653964687199901</v>
      </c>
      <c r="CN62" s="7">
        <v>67.340995110438797</v>
      </c>
      <c r="CO62" s="7">
        <v>95.981019213025405</v>
      </c>
      <c r="CP62" s="7">
        <v>99.170218241389904</v>
      </c>
      <c r="CQ62" s="7">
        <v>100</v>
      </c>
      <c r="CR62" s="7">
        <v>10.146395463643399</v>
      </c>
      <c r="CS62" s="7">
        <v>4.0496174342043298</v>
      </c>
      <c r="CT62" s="7">
        <v>8.2570691505721197</v>
      </c>
      <c r="CU62" s="7">
        <v>9.8200277430814893</v>
      </c>
      <c r="CV62" s="7">
        <v>10</v>
      </c>
      <c r="CW62" s="7">
        <v>94.094866274581193</v>
      </c>
      <c r="CX62" s="7">
        <v>100</v>
      </c>
      <c r="CY62" s="7">
        <v>100</v>
      </c>
      <c r="CZ62" s="7">
        <v>100</v>
      </c>
      <c r="DA62" s="9">
        <v>29.734235741213599</v>
      </c>
      <c r="DB62" s="9">
        <v>0.429013488661114</v>
      </c>
      <c r="DC62" s="9">
        <v>1.6217400310069701</v>
      </c>
      <c r="DD62" s="9">
        <v>3.02934364388428</v>
      </c>
      <c r="DE62" s="9">
        <v>4.5201639478028399</v>
      </c>
      <c r="DF62" s="9">
        <v>28.733547160100201</v>
      </c>
      <c r="DG62" s="9">
        <v>65.342488968672896</v>
      </c>
      <c r="DH62" s="9">
        <v>79.835424525637293</v>
      </c>
      <c r="DI62" s="9">
        <v>88.652326464514601</v>
      </c>
    </row>
    <row r="63" spans="1:113">
      <c r="A63" s="5" t="s">
        <v>226</v>
      </c>
      <c r="B63" s="5" t="s">
        <v>237</v>
      </c>
      <c r="C63" s="5" t="s">
        <v>238</v>
      </c>
      <c r="D63" s="6">
        <v>444154</v>
      </c>
      <c r="E63" s="7">
        <v>18.131829365002201</v>
      </c>
      <c r="F63" s="7">
        <v>1.4877767621140401</v>
      </c>
      <c r="G63" s="7">
        <v>5.0073195333150204</v>
      </c>
      <c r="H63" s="7">
        <v>7.2917051293019997</v>
      </c>
      <c r="I63" s="7">
        <v>8.3809692133809506</v>
      </c>
      <c r="J63" s="7">
        <v>61.822701135191799</v>
      </c>
      <c r="K63" s="7">
        <v>86.136114951120604</v>
      </c>
      <c r="L63" s="7">
        <v>92.146642831090105</v>
      </c>
      <c r="M63" s="7">
        <v>94.730431336878695</v>
      </c>
      <c r="N63" s="7">
        <v>13.723003556636399</v>
      </c>
      <c r="O63" s="7">
        <v>3.0086771705309401</v>
      </c>
      <c r="P63" s="7">
        <v>5.4769336761573699</v>
      </c>
      <c r="Q63" s="7">
        <v>7.44282163393778</v>
      </c>
      <c r="R63" s="7">
        <v>8.7845071754391508</v>
      </c>
      <c r="S63" s="7">
        <v>72.842302444647601</v>
      </c>
      <c r="T63" s="7">
        <v>90.852046812591993</v>
      </c>
      <c r="U63" s="7">
        <v>98.258712068336706</v>
      </c>
      <c r="V63" s="7">
        <v>99.364634788834493</v>
      </c>
      <c r="W63" s="7">
        <v>8.84987420307489</v>
      </c>
      <c r="X63" s="7">
        <v>5.4098736023991698</v>
      </c>
      <c r="Y63" s="7">
        <v>9.4651764928380704</v>
      </c>
      <c r="Z63" s="7">
        <v>9.9549705732696303</v>
      </c>
      <c r="AA63" s="7">
        <v>9.9984374788924608</v>
      </c>
      <c r="AB63" s="7">
        <v>91.708506509003598</v>
      </c>
      <c r="AC63" s="7">
        <v>99.674887539006704</v>
      </c>
      <c r="AD63" s="7">
        <v>100</v>
      </c>
      <c r="AE63" s="7">
        <v>100</v>
      </c>
      <c r="AF63" s="6">
        <v>26.882246562282699</v>
      </c>
      <c r="AG63" s="6">
        <v>1.2225376783728199</v>
      </c>
      <c r="AH63" s="6">
        <v>2.9131292299517701</v>
      </c>
      <c r="AI63" s="6">
        <v>3.79813307996776</v>
      </c>
      <c r="AJ63" s="6">
        <v>4.4994506409938904</v>
      </c>
      <c r="AK63" s="6">
        <v>56.5666413000896</v>
      </c>
      <c r="AL63" s="6">
        <v>71.363085776554996</v>
      </c>
      <c r="AM63" s="6">
        <v>79.266425609135595</v>
      </c>
      <c r="AN63" s="6">
        <v>84.751685226295393</v>
      </c>
      <c r="AO63" s="6">
        <v>18.171909135282299</v>
      </c>
      <c r="AP63" s="7">
        <v>1.1732372105170701</v>
      </c>
      <c r="AQ63" s="7">
        <v>4.6351468184458504</v>
      </c>
      <c r="AR63" s="7">
        <v>7.2357177915767998</v>
      </c>
      <c r="AS63" s="7">
        <v>8.3675346839159399</v>
      </c>
      <c r="AT63" s="7">
        <v>57.559540159494198</v>
      </c>
      <c r="AU63" s="7">
        <v>88.158386505581404</v>
      </c>
      <c r="AV63" s="7">
        <v>92.841446885539696</v>
      </c>
      <c r="AW63" s="7">
        <v>94.837826519630596</v>
      </c>
      <c r="AX63" s="7">
        <v>13.606378307373699</v>
      </c>
      <c r="AY63" s="7">
        <v>2.6555901781814399</v>
      </c>
      <c r="AZ63" s="7">
        <v>5.0052706943987904</v>
      </c>
      <c r="BA63" s="7">
        <v>7.2303075059551398</v>
      </c>
      <c r="BB63" s="7">
        <v>8.9515933662648504</v>
      </c>
      <c r="BC63" s="7">
        <v>70.407111047069293</v>
      </c>
      <c r="BD63" s="7">
        <v>93.2205946586094</v>
      </c>
      <c r="BE63" s="7">
        <v>98.940907883301705</v>
      </c>
      <c r="BF63" s="7">
        <v>99.948441306393704</v>
      </c>
      <c r="BG63" s="7">
        <v>8.8906972019528006</v>
      </c>
      <c r="BH63" s="7">
        <v>4.9887584036167603</v>
      </c>
      <c r="BI63" s="7">
        <v>9.5516712671731003</v>
      </c>
      <c r="BJ63" s="7">
        <v>9.9494274508391207</v>
      </c>
      <c r="BK63" s="7">
        <v>10</v>
      </c>
      <c r="BL63" s="7">
        <v>92.965728103315499</v>
      </c>
      <c r="BM63" s="7">
        <v>99.948441306393704</v>
      </c>
      <c r="BN63" s="7">
        <v>100</v>
      </c>
      <c r="BO63" s="7">
        <v>100</v>
      </c>
      <c r="BP63" s="6">
        <v>27.280738514477299</v>
      </c>
      <c r="BQ63" s="6">
        <v>0.97114514335117996</v>
      </c>
      <c r="BR63" s="6">
        <v>2.5586238106602699</v>
      </c>
      <c r="BS63" s="6">
        <v>3.4928380696785299</v>
      </c>
      <c r="BT63" s="6">
        <v>4.11683785353729</v>
      </c>
      <c r="BU63" s="6">
        <v>50.50185296091</v>
      </c>
      <c r="BV63" s="6">
        <v>68.792806098785505</v>
      </c>
      <c r="BW63" s="6">
        <v>77.808823065873497</v>
      </c>
      <c r="BX63" s="6">
        <v>84.9104139555199</v>
      </c>
      <c r="BY63" s="6" t="str">
        <f>TRIM(Table1[[#This Row],[LA_Name]])</f>
        <v>North Yorkshire</v>
      </c>
      <c r="BZ63" s="7">
        <v>57.294218992167004</v>
      </c>
      <c r="CA63" s="7">
        <v>8.8503086767202394E-2</v>
      </c>
      <c r="CB63" s="7">
        <v>0.37100420124551398</v>
      </c>
      <c r="CC63" s="7">
        <v>0.84866059970190499</v>
      </c>
      <c r="CD63" s="7">
        <v>2.3314908792896198</v>
      </c>
      <c r="CE63" s="7">
        <v>8.1784696299031392</v>
      </c>
      <c r="CF63" s="7">
        <v>26.371708911773801</v>
      </c>
      <c r="CG63" s="7">
        <v>42.214637265453</v>
      </c>
      <c r="CH63" s="7">
        <v>56.830288593595903</v>
      </c>
      <c r="CI63" s="7">
        <v>66.410498396821694</v>
      </c>
      <c r="CJ63" s="7">
        <v>0.21021087280537801</v>
      </c>
      <c r="CK63" s="7">
        <v>0.417569131427388</v>
      </c>
      <c r="CL63" s="7">
        <v>0.57656578574098205</v>
      </c>
      <c r="CM63" s="7">
        <v>1.0059191181437099</v>
      </c>
      <c r="CN63" s="7">
        <v>16.797101906095602</v>
      </c>
      <c r="CO63" s="7">
        <v>27.284680538732101</v>
      </c>
      <c r="CP63" s="7">
        <v>33.189614413018901</v>
      </c>
      <c r="CQ63" s="7">
        <v>45.6373239912283</v>
      </c>
      <c r="CR63" s="7">
        <v>30.853916095201601</v>
      </c>
      <c r="CS63" s="7">
        <v>0.37193180743616</v>
      </c>
      <c r="CT63" s="7">
        <v>1.8992106341494199</v>
      </c>
      <c r="CU63" s="7">
        <v>6.0882261557928103</v>
      </c>
      <c r="CV63" s="7">
        <v>7.81782895121962</v>
      </c>
      <c r="CW63" s="7">
        <v>25.417085065089999</v>
      </c>
      <c r="CX63" s="7">
        <v>61.545995307933701</v>
      </c>
      <c r="CY63" s="7">
        <v>77.992768274067103</v>
      </c>
      <c r="CZ63" s="7">
        <v>83.063081723906606</v>
      </c>
      <c r="DA63" s="9">
        <v>95.110089303626395</v>
      </c>
      <c r="DB63" s="9">
        <v>6.7199664981065096E-2</v>
      </c>
      <c r="DC63" s="9">
        <v>0.20268870707007</v>
      </c>
      <c r="DD63" s="9">
        <v>0.31170044624161902</v>
      </c>
      <c r="DE63" s="9">
        <v>0.35040774145904302</v>
      </c>
      <c r="DF63" s="9">
        <v>6.3606316727981698</v>
      </c>
      <c r="DG63" s="9">
        <v>15.927358528798599</v>
      </c>
      <c r="DH63" s="9">
        <v>20.8538029602345</v>
      </c>
      <c r="DI63" s="9">
        <v>23.2234765419201</v>
      </c>
    </row>
    <row r="64" spans="1:113">
      <c r="A64" s="5" t="s">
        <v>226</v>
      </c>
      <c r="B64" s="5" t="s">
        <v>239</v>
      </c>
      <c r="C64" s="5" t="s">
        <v>240</v>
      </c>
      <c r="D64" s="6">
        <v>40920</v>
      </c>
      <c r="E64" s="7">
        <v>21.190282684608299</v>
      </c>
      <c r="F64" s="7">
        <v>1.39814271749756</v>
      </c>
      <c r="G64" s="7">
        <v>4.7545943304007796</v>
      </c>
      <c r="H64" s="7">
        <v>6.6289345063538603</v>
      </c>
      <c r="I64" s="7">
        <v>7.7961876832844599</v>
      </c>
      <c r="J64" s="7">
        <v>56.023949169110502</v>
      </c>
      <c r="K64" s="7">
        <v>77.7761485826002</v>
      </c>
      <c r="L64" s="7">
        <v>90.544965786901301</v>
      </c>
      <c r="M64" s="7">
        <v>92.729716520039105</v>
      </c>
      <c r="N64" s="7">
        <v>18.655508569608301</v>
      </c>
      <c r="O64" s="7">
        <v>2.1478739002932601</v>
      </c>
      <c r="P64" s="7">
        <v>4.7653225806451598</v>
      </c>
      <c r="Q64" s="7">
        <v>6.7621700879765401</v>
      </c>
      <c r="R64" s="7">
        <v>7.4126588465298102</v>
      </c>
      <c r="S64" s="7">
        <v>60.408113391984401</v>
      </c>
      <c r="T64" s="7">
        <v>78.455522971652002</v>
      </c>
      <c r="U64" s="7">
        <v>92.834799608993194</v>
      </c>
      <c r="V64" s="7">
        <v>95.518084066471204</v>
      </c>
      <c r="W64" s="7">
        <v>10.005198948940301</v>
      </c>
      <c r="X64" s="7">
        <v>4.95821114369501</v>
      </c>
      <c r="Y64" s="7">
        <v>8.4227272727272702</v>
      </c>
      <c r="Z64" s="7">
        <v>9.9401515151515092</v>
      </c>
      <c r="AA64" s="7">
        <v>10</v>
      </c>
      <c r="AB64" s="7">
        <v>88.184261974584601</v>
      </c>
      <c r="AC64" s="7">
        <v>98.8856304985337</v>
      </c>
      <c r="AD64" s="7">
        <v>100</v>
      </c>
      <c r="AE64" s="7">
        <v>100</v>
      </c>
      <c r="AF64" s="6">
        <v>39.188262045619403</v>
      </c>
      <c r="AG64" s="6">
        <v>1.1295943304007801</v>
      </c>
      <c r="AH64" s="6">
        <v>2.0531036168132899</v>
      </c>
      <c r="AI64" s="6">
        <v>2.9085043988269801</v>
      </c>
      <c r="AJ64" s="6">
        <v>3.7796920821114401</v>
      </c>
      <c r="AK64" s="6">
        <v>47.9838709677419</v>
      </c>
      <c r="AL64" s="6">
        <v>57.900782013685202</v>
      </c>
      <c r="AM64" s="6">
        <v>68.787878787878796</v>
      </c>
      <c r="AN64" s="6">
        <v>71.610459433040106</v>
      </c>
      <c r="AO64" s="6">
        <v>16.809021838316699</v>
      </c>
      <c r="AP64" s="7">
        <v>0.95009775171065503</v>
      </c>
      <c r="AQ64" s="7">
        <v>4.0372434017595298</v>
      </c>
      <c r="AR64" s="7">
        <v>7.0000244379276602</v>
      </c>
      <c r="AS64" s="7">
        <v>8.1586999022482907</v>
      </c>
      <c r="AT64" s="7">
        <v>59.186217008797698</v>
      </c>
      <c r="AU64" s="7">
        <v>91.006842619745797</v>
      </c>
      <c r="AV64" s="7">
        <v>93.4677419354839</v>
      </c>
      <c r="AW64" s="7">
        <v>94.271749755620704</v>
      </c>
      <c r="AX64" s="7">
        <v>13.7760259257733</v>
      </c>
      <c r="AY64" s="7">
        <v>1.52702834799609</v>
      </c>
      <c r="AZ64" s="7">
        <v>3.9162756598240498</v>
      </c>
      <c r="BA64" s="7">
        <v>7.2124877810361703</v>
      </c>
      <c r="BB64" s="7">
        <v>8.1648826979472098</v>
      </c>
      <c r="BC64" s="7">
        <v>70.713587487780998</v>
      </c>
      <c r="BD64" s="7">
        <v>91.175464320625593</v>
      </c>
      <c r="BE64" s="7">
        <v>99.489247311827995</v>
      </c>
      <c r="BF64" s="7">
        <v>100</v>
      </c>
      <c r="BG64" s="7">
        <v>8.8674777687353394</v>
      </c>
      <c r="BH64" s="7">
        <v>3.9619745845552301</v>
      </c>
      <c r="BI64" s="7">
        <v>9.3718719452590395</v>
      </c>
      <c r="BJ64" s="7">
        <v>9.9920576735092901</v>
      </c>
      <c r="BK64" s="7">
        <v>10</v>
      </c>
      <c r="BL64" s="7">
        <v>95</v>
      </c>
      <c r="BM64" s="7">
        <v>100</v>
      </c>
      <c r="BN64" s="7">
        <v>100</v>
      </c>
      <c r="BO64" s="7">
        <v>100</v>
      </c>
      <c r="BP64" s="6">
        <v>27.6435142457631</v>
      </c>
      <c r="BQ64" s="6">
        <v>0.67238514173997999</v>
      </c>
      <c r="BR64" s="6">
        <v>1.4851417399804501</v>
      </c>
      <c r="BS64" s="6">
        <v>1.88900293255132</v>
      </c>
      <c r="BT64" s="6">
        <v>2.658357771261</v>
      </c>
      <c r="BU64" s="6">
        <v>49.205767350928603</v>
      </c>
      <c r="BV64" s="6">
        <v>69.731182795698899</v>
      </c>
      <c r="BW64" s="6">
        <v>78.340664711632499</v>
      </c>
      <c r="BX64" s="6">
        <v>83.619257086998999</v>
      </c>
      <c r="BY64" s="6" t="str">
        <f>TRIM(Table1[[#This Row],[LA_Name]])</f>
        <v>Craven</v>
      </c>
      <c r="BZ64" s="7">
        <v>38.931004677163799</v>
      </c>
      <c r="CA64" s="7">
        <v>0.12341153470185701</v>
      </c>
      <c r="CB64" s="7">
        <v>0.55843108504398797</v>
      </c>
      <c r="CC64" s="7">
        <v>1.2420332355816199</v>
      </c>
      <c r="CD64" s="7">
        <v>2.5451124144672499</v>
      </c>
      <c r="CE64" s="7">
        <v>12.3411534701857</v>
      </c>
      <c r="CF64" s="7">
        <v>54.958455522971597</v>
      </c>
      <c r="CG64" s="7">
        <v>73.289345063538605</v>
      </c>
      <c r="CH64" s="7">
        <v>81.720430107526894</v>
      </c>
      <c r="CI64" s="7">
        <v>43.556741456388799</v>
      </c>
      <c r="CJ64" s="7">
        <v>0.28211143695014701</v>
      </c>
      <c r="CK64" s="7">
        <v>0.58431085043988296</v>
      </c>
      <c r="CL64" s="7">
        <v>1.1159824046920801</v>
      </c>
      <c r="CM64" s="7">
        <v>1.2473362658846501</v>
      </c>
      <c r="CN64" s="7">
        <v>28.211143695014702</v>
      </c>
      <c r="CO64" s="7">
        <v>54.7214076246334</v>
      </c>
      <c r="CP64" s="7">
        <v>64.066471163245396</v>
      </c>
      <c r="CQ64" s="7">
        <v>66.285434995112396</v>
      </c>
      <c r="CR64" s="7">
        <v>19.0555014749892</v>
      </c>
      <c r="CS64" s="7">
        <v>0.58088954056695996</v>
      </c>
      <c r="CT64" s="7">
        <v>1.64657869012708</v>
      </c>
      <c r="CU64" s="7">
        <v>6.2207966764418403</v>
      </c>
      <c r="CV64" s="7">
        <v>8.9282258064516107</v>
      </c>
      <c r="CW64" s="7">
        <v>56.395405669599199</v>
      </c>
      <c r="CX64" s="7">
        <v>74.472140762463297</v>
      </c>
      <c r="CY64" s="7">
        <v>99.210654936461395</v>
      </c>
      <c r="CZ64" s="7">
        <v>100</v>
      </c>
      <c r="DA64" s="9">
        <v>69.659277112253307</v>
      </c>
      <c r="DB64" s="9">
        <v>0.10691593352883701</v>
      </c>
      <c r="DC64" s="9">
        <v>0.28115835777126102</v>
      </c>
      <c r="DD64" s="9">
        <v>0.43792766373411501</v>
      </c>
      <c r="DE64" s="9">
        <v>0.498435972629521</v>
      </c>
      <c r="DF64" s="9">
        <v>10.6915933528837</v>
      </c>
      <c r="DG64" s="9">
        <v>28.115835777126101</v>
      </c>
      <c r="DH64" s="9">
        <v>43.792766373411503</v>
      </c>
      <c r="DI64" s="9">
        <v>49.843597262952102</v>
      </c>
    </row>
    <row r="65" spans="1:113">
      <c r="A65" s="5" t="s">
        <v>226</v>
      </c>
      <c r="B65" s="5" t="s">
        <v>241</v>
      </c>
      <c r="C65" s="5" t="s">
        <v>242</v>
      </c>
      <c r="D65" s="6">
        <v>65769</v>
      </c>
      <c r="E65" s="7">
        <v>24.5613958741476</v>
      </c>
      <c r="F65" s="7">
        <v>0.73274643068923095</v>
      </c>
      <c r="G65" s="7">
        <v>3.1973878270917901</v>
      </c>
      <c r="H65" s="7">
        <v>6.1485350240995</v>
      </c>
      <c r="I65" s="7">
        <v>7.4983198771457698</v>
      </c>
      <c r="J65" s="7">
        <v>42.386230594961098</v>
      </c>
      <c r="K65" s="7">
        <v>80.533381988474801</v>
      </c>
      <c r="L65" s="7">
        <v>85.706031717070303</v>
      </c>
      <c r="M65" s="7">
        <v>90.340433943043095</v>
      </c>
      <c r="N65" s="7">
        <v>16.567918970356899</v>
      </c>
      <c r="O65" s="7">
        <v>1.4519606501543301</v>
      </c>
      <c r="P65" s="7">
        <v>3.2728185011175501</v>
      </c>
      <c r="Q65" s="7">
        <v>5.5500159649683001</v>
      </c>
      <c r="R65" s="7">
        <v>8.2239352886618295</v>
      </c>
      <c r="S65" s="7">
        <v>61.922790372363899</v>
      </c>
      <c r="T65" s="7">
        <v>86.662409341787196</v>
      </c>
      <c r="U65" s="7">
        <v>98.712159223950493</v>
      </c>
      <c r="V65" s="7">
        <v>100</v>
      </c>
      <c r="W65" s="7">
        <v>9.9220888221005996</v>
      </c>
      <c r="X65" s="7">
        <v>3.2101445969985898</v>
      </c>
      <c r="Y65" s="7">
        <v>9.9126184068482104</v>
      </c>
      <c r="Z65" s="7">
        <v>10</v>
      </c>
      <c r="AA65" s="7">
        <v>10</v>
      </c>
      <c r="AB65" s="7">
        <v>85.230123614468795</v>
      </c>
      <c r="AC65" s="7">
        <v>100</v>
      </c>
      <c r="AD65" s="7">
        <v>100</v>
      </c>
      <c r="AE65" s="7">
        <v>100</v>
      </c>
      <c r="AF65" s="6">
        <v>36.343463663714502</v>
      </c>
      <c r="AG65" s="6">
        <v>0.67686904164576001</v>
      </c>
      <c r="AH65" s="6">
        <v>1.4037768553573899</v>
      </c>
      <c r="AI65" s="6">
        <v>1.82766957077042</v>
      </c>
      <c r="AJ65" s="6">
        <v>2.2554242880384399</v>
      </c>
      <c r="AK65" s="6">
        <v>40.446106828444996</v>
      </c>
      <c r="AL65" s="6">
        <v>61.3039577916648</v>
      </c>
      <c r="AM65" s="6">
        <v>66.581520169076597</v>
      </c>
      <c r="AN65" s="6">
        <v>74.763186303577697</v>
      </c>
      <c r="AO65" s="6">
        <v>22.909352353121299</v>
      </c>
      <c r="AP65" s="7">
        <v>0.73165169000593</v>
      </c>
      <c r="AQ65" s="7">
        <v>2.2410102023749801</v>
      </c>
      <c r="AR65" s="7">
        <v>4.9728291444297499</v>
      </c>
      <c r="AS65" s="7">
        <v>6.9224406635344904</v>
      </c>
      <c r="AT65" s="7">
        <v>52.657026866760901</v>
      </c>
      <c r="AU65" s="7">
        <v>80.014900637078298</v>
      </c>
      <c r="AV65" s="7">
        <v>87.810366586081599</v>
      </c>
      <c r="AW65" s="7">
        <v>92.044884368015303</v>
      </c>
      <c r="AX65" s="7">
        <v>15.518820283165301</v>
      </c>
      <c r="AY65" s="7">
        <v>1.2267177545652199</v>
      </c>
      <c r="AZ65" s="7">
        <v>2.2661132144323299</v>
      </c>
      <c r="BA65" s="7">
        <v>4.8753972236159901</v>
      </c>
      <c r="BB65" s="7">
        <v>8.33366783743101</v>
      </c>
      <c r="BC65" s="7">
        <v>62.156943240736503</v>
      </c>
      <c r="BD65" s="7">
        <v>90.769207377335803</v>
      </c>
      <c r="BE65" s="7">
        <v>98.3305204579665</v>
      </c>
      <c r="BF65" s="7">
        <v>100</v>
      </c>
      <c r="BG65" s="7">
        <v>9.6954779891383094</v>
      </c>
      <c r="BH65" s="7">
        <v>2.2590582189177302</v>
      </c>
      <c r="BI65" s="7">
        <v>9.9002569599659402</v>
      </c>
      <c r="BJ65" s="7">
        <v>10</v>
      </c>
      <c r="BK65" s="7">
        <v>10</v>
      </c>
      <c r="BL65" s="7">
        <v>87.738904347032801</v>
      </c>
      <c r="BM65" s="7">
        <v>100</v>
      </c>
      <c r="BN65" s="7">
        <v>100</v>
      </c>
      <c r="BO65" s="7">
        <v>100</v>
      </c>
      <c r="BP65" s="6">
        <v>33.589532544308398</v>
      </c>
      <c r="BQ65" s="6">
        <v>0.654381243442959</v>
      </c>
      <c r="BR65" s="6">
        <v>1.1697456248384499</v>
      </c>
      <c r="BS65" s="6">
        <v>1.4944426705590801</v>
      </c>
      <c r="BT65" s="6">
        <v>1.7850050935851201</v>
      </c>
      <c r="BU65" s="6">
        <v>46.894433547719999</v>
      </c>
      <c r="BV65" s="6">
        <v>61.379981450227298</v>
      </c>
      <c r="BW65" s="6">
        <v>66.876491964299305</v>
      </c>
      <c r="BX65" s="6">
        <v>77.554775045994305</v>
      </c>
      <c r="BY65" s="6" t="str">
        <f>TRIM(Table1[[#This Row],[LA_Name]])</f>
        <v>Hambleton</v>
      </c>
      <c r="BZ65" s="7">
        <v>53.709587722260501</v>
      </c>
      <c r="CA65" s="7">
        <v>6.8907844121090495E-2</v>
      </c>
      <c r="CB65" s="7">
        <v>0.29491097629582302</v>
      </c>
      <c r="CC65" s="7">
        <v>1.0460095181620499</v>
      </c>
      <c r="CD65" s="7">
        <v>2.7679301798719802</v>
      </c>
      <c r="CE65" s="7">
        <v>6.89078441210905</v>
      </c>
      <c r="CF65" s="7">
        <v>26.904772765284601</v>
      </c>
      <c r="CG65" s="7">
        <v>53.437029603612601</v>
      </c>
      <c r="CH65" s="7">
        <v>74.811841445057695</v>
      </c>
      <c r="CI65" s="7">
        <v>50.321290037634903</v>
      </c>
      <c r="CJ65" s="7">
        <v>0.19115388708966199</v>
      </c>
      <c r="CK65" s="7">
        <v>0.237163405251714</v>
      </c>
      <c r="CL65" s="7">
        <v>0.37846097705606002</v>
      </c>
      <c r="CM65" s="7">
        <v>1.1400051696087801</v>
      </c>
      <c r="CN65" s="7">
        <v>19.115388708966201</v>
      </c>
      <c r="CO65" s="7">
        <v>23.7163405251714</v>
      </c>
      <c r="CP65" s="7">
        <v>31.622801015676099</v>
      </c>
      <c r="CQ65" s="7">
        <v>61.8984628016239</v>
      </c>
      <c r="CR65" s="7">
        <v>20.8649524548415</v>
      </c>
      <c r="CS65" s="7">
        <v>0.247578646474783</v>
      </c>
      <c r="CT65" s="7">
        <v>2.5712721799023899</v>
      </c>
      <c r="CU65" s="7">
        <v>8.9736654046739304</v>
      </c>
      <c r="CV65" s="7">
        <v>9.9918198543386705</v>
      </c>
      <c r="CW65" s="7">
        <v>23.6692058568627</v>
      </c>
      <c r="CX65" s="7">
        <v>93.503018139244901</v>
      </c>
      <c r="CY65" s="7">
        <v>100</v>
      </c>
      <c r="CZ65" s="7">
        <v>100</v>
      </c>
      <c r="DA65" s="9">
        <v>97.300418248612502</v>
      </c>
      <c r="DB65" s="9">
        <v>6.2141738509023998E-2</v>
      </c>
      <c r="DC65" s="9">
        <v>0.18231993796469501</v>
      </c>
      <c r="DD65" s="9">
        <v>0.208456871778497</v>
      </c>
      <c r="DE65" s="9">
        <v>0.208456871778497</v>
      </c>
      <c r="DF65" s="9">
        <v>6.2141738509023998</v>
      </c>
      <c r="DG65" s="9">
        <v>18.231993796469499</v>
      </c>
      <c r="DH65" s="9">
        <v>20.845687177849701</v>
      </c>
      <c r="DI65" s="9">
        <v>20.845687177849701</v>
      </c>
    </row>
    <row r="66" spans="1:113">
      <c r="A66" s="5" t="s">
        <v>226</v>
      </c>
      <c r="B66" s="5" t="s">
        <v>243</v>
      </c>
      <c r="C66" s="5" t="s">
        <v>244</v>
      </c>
      <c r="D66" s="6">
        <v>114100</v>
      </c>
      <c r="E66" s="7">
        <v>15.296504722578399</v>
      </c>
      <c r="F66" s="7">
        <v>2.2059333917616102</v>
      </c>
      <c r="G66" s="7">
        <v>6.6592462751971997</v>
      </c>
      <c r="H66" s="7">
        <v>8.2429097283085007</v>
      </c>
      <c r="I66" s="7">
        <v>8.8499561787905403</v>
      </c>
      <c r="J66" s="7">
        <v>72.980718667835205</v>
      </c>
      <c r="K66" s="7">
        <v>88.342681858019304</v>
      </c>
      <c r="L66" s="7">
        <v>93.375985977213006</v>
      </c>
      <c r="M66" s="7">
        <v>95.874671340928998</v>
      </c>
      <c r="N66" s="7">
        <v>11.6090224293969</v>
      </c>
      <c r="O66" s="7">
        <v>5.0203768624013998</v>
      </c>
      <c r="P66" s="7">
        <v>7.4385626643295399</v>
      </c>
      <c r="Q66" s="7">
        <v>8.7916476774759005</v>
      </c>
      <c r="R66" s="7">
        <v>9.6660473269062201</v>
      </c>
      <c r="S66" s="7">
        <v>78.711656441717807</v>
      </c>
      <c r="T66" s="7">
        <v>94.473269062226095</v>
      </c>
      <c r="U66" s="7">
        <v>99.648553900087606</v>
      </c>
      <c r="V66" s="7">
        <v>100</v>
      </c>
      <c r="W66" s="7">
        <v>8.1325856229905806</v>
      </c>
      <c r="X66" s="7">
        <v>7.4757405784399698</v>
      </c>
      <c r="Y66" s="7">
        <v>9.8406047326906201</v>
      </c>
      <c r="Z66" s="7">
        <v>9.9859596844872893</v>
      </c>
      <c r="AA66" s="7">
        <v>10</v>
      </c>
      <c r="AB66" s="7">
        <v>95.588957055214706</v>
      </c>
      <c r="AC66" s="7">
        <v>100</v>
      </c>
      <c r="AD66" s="7">
        <v>100</v>
      </c>
      <c r="AE66" s="7">
        <v>100</v>
      </c>
      <c r="AF66" s="6">
        <v>20.425091688786299</v>
      </c>
      <c r="AG66" s="6">
        <v>1.9191936897458399</v>
      </c>
      <c r="AH66" s="6">
        <v>4.9350043821209502</v>
      </c>
      <c r="AI66" s="6">
        <v>6.2872743207712496</v>
      </c>
      <c r="AJ66" s="6">
        <v>6.9530762489044697</v>
      </c>
      <c r="AK66" s="6">
        <v>69.982471516213806</v>
      </c>
      <c r="AL66" s="6">
        <v>78.404907975460105</v>
      </c>
      <c r="AM66" s="6">
        <v>85.027169149868499</v>
      </c>
      <c r="AN66" s="6">
        <v>89.843120070113898</v>
      </c>
      <c r="AO66" s="6">
        <v>16.5523444000506</v>
      </c>
      <c r="AP66" s="7">
        <v>1.3801314636283999</v>
      </c>
      <c r="AQ66" s="7">
        <v>6.0336546888694098</v>
      </c>
      <c r="AR66" s="7">
        <v>8.0688080631025407</v>
      </c>
      <c r="AS66" s="7">
        <v>8.7560560911481193</v>
      </c>
      <c r="AT66" s="7">
        <v>60.572304995617898</v>
      </c>
      <c r="AU66" s="7">
        <v>88.468010517090306</v>
      </c>
      <c r="AV66" s="7">
        <v>94.125328659071002</v>
      </c>
      <c r="AW66" s="7">
        <v>96.406660823838706</v>
      </c>
      <c r="AX66" s="7">
        <v>11.8753406615596</v>
      </c>
      <c r="AY66" s="7">
        <v>4.0334794040315503</v>
      </c>
      <c r="AZ66" s="7">
        <v>7.1628308501314599</v>
      </c>
      <c r="BA66" s="7">
        <v>8.5881332164767805</v>
      </c>
      <c r="BB66" s="7">
        <v>9.7072918492550393</v>
      </c>
      <c r="BC66" s="7">
        <v>79.976336546888703</v>
      </c>
      <c r="BD66" s="7">
        <v>97.308501314636302</v>
      </c>
      <c r="BE66" s="7">
        <v>99.680105170902706</v>
      </c>
      <c r="BF66" s="7">
        <v>99.935144609991198</v>
      </c>
      <c r="BG66" s="7">
        <v>8.3582677638624805</v>
      </c>
      <c r="BH66" s="7">
        <v>7.1151796669588103</v>
      </c>
      <c r="BI66" s="7">
        <v>9.8395793163891305</v>
      </c>
      <c r="BJ66" s="7">
        <v>9.9929710780017498</v>
      </c>
      <c r="BK66" s="7">
        <v>10</v>
      </c>
      <c r="BL66" s="7">
        <v>97.013146362839606</v>
      </c>
      <c r="BM66" s="7">
        <v>99.935144609991198</v>
      </c>
      <c r="BN66" s="7">
        <v>100</v>
      </c>
      <c r="BO66" s="7">
        <v>100</v>
      </c>
      <c r="BP66" s="6">
        <v>21.5696366075979</v>
      </c>
      <c r="BQ66" s="6">
        <v>1.1873269062226099</v>
      </c>
      <c r="BR66" s="6">
        <v>3.9269675723050002</v>
      </c>
      <c r="BS66" s="6">
        <v>5.6791235758106904</v>
      </c>
      <c r="BT66" s="6">
        <v>6.4384574934268199</v>
      </c>
      <c r="BU66" s="6">
        <v>55.128834355828197</v>
      </c>
      <c r="BV66" s="6">
        <v>77.920245398773005</v>
      </c>
      <c r="BW66" s="6">
        <v>86.052585451358496</v>
      </c>
      <c r="BX66" s="6">
        <v>90.558282208589006</v>
      </c>
      <c r="BY66" s="6" t="str">
        <f>TRIM(Table1[[#This Row],[LA_Name]])</f>
        <v>Harrogate</v>
      </c>
      <c r="BZ66" s="7">
        <v>38.4141275600578</v>
      </c>
      <c r="CA66" s="7">
        <v>0.219062226117441</v>
      </c>
      <c r="CB66" s="7">
        <v>0.95870289219982496</v>
      </c>
      <c r="CC66" s="7">
        <v>1.5638036809816001</v>
      </c>
      <c r="CD66" s="7">
        <v>3.4527432077125302</v>
      </c>
      <c r="CE66" s="7">
        <v>19.290972830850102</v>
      </c>
      <c r="CF66" s="7">
        <v>56.381244522348801</v>
      </c>
      <c r="CG66" s="7">
        <v>68.844872918492598</v>
      </c>
      <c r="CH66" s="7">
        <v>79.381244522348794</v>
      </c>
      <c r="CI66" s="7">
        <v>34.232375947127302</v>
      </c>
      <c r="CJ66" s="7">
        <v>0.55657318141980705</v>
      </c>
      <c r="CK66" s="7">
        <v>1.1759684487291799</v>
      </c>
      <c r="CL66" s="7">
        <v>1.3412007011393501</v>
      </c>
      <c r="CM66" s="7">
        <v>1.8510867659947401</v>
      </c>
      <c r="CN66" s="7">
        <v>39.214723926380401</v>
      </c>
      <c r="CO66" s="7">
        <v>62.591586327782601</v>
      </c>
      <c r="CP66" s="7">
        <v>68.240140227870299</v>
      </c>
      <c r="CQ66" s="7">
        <v>75.561787905346193</v>
      </c>
      <c r="CR66" s="7">
        <v>16.531053818820499</v>
      </c>
      <c r="CS66" s="7">
        <v>0.99400525854513599</v>
      </c>
      <c r="CT66" s="7">
        <v>2.6110341805433799</v>
      </c>
      <c r="CU66" s="7">
        <v>7.9200175284837897</v>
      </c>
      <c r="CV66" s="7">
        <v>9.8340929009640696</v>
      </c>
      <c r="CW66" s="7">
        <v>54.794916739702003</v>
      </c>
      <c r="CX66" s="7">
        <v>93.158632778264703</v>
      </c>
      <c r="CY66" s="7">
        <v>99.512708150744999</v>
      </c>
      <c r="CZ66" s="7">
        <v>100</v>
      </c>
      <c r="DA66" s="9">
        <v>64.2312066230254</v>
      </c>
      <c r="DB66" s="9">
        <v>0.15006134969325199</v>
      </c>
      <c r="DC66" s="9">
        <v>0.53272567922874703</v>
      </c>
      <c r="DD66" s="9">
        <v>0.86850131463628399</v>
      </c>
      <c r="DE66" s="9">
        <v>0.98602979842243599</v>
      </c>
      <c r="DF66" s="9">
        <v>13.607361963190201</v>
      </c>
      <c r="DG66" s="9">
        <v>36.372480280455697</v>
      </c>
      <c r="DH66" s="9">
        <v>46.692375109552998</v>
      </c>
      <c r="DI66" s="9">
        <v>52.602103418054298</v>
      </c>
    </row>
    <row r="67" spans="1:113">
      <c r="A67" s="5" t="s">
        <v>226</v>
      </c>
      <c r="B67" s="5" t="s">
        <v>245</v>
      </c>
      <c r="C67" s="5" t="s">
        <v>246</v>
      </c>
      <c r="D67" s="6">
        <v>39826</v>
      </c>
      <c r="E67" s="7">
        <v>21.967965842969601</v>
      </c>
      <c r="F67" s="7">
        <v>0.57934515140862797</v>
      </c>
      <c r="G67" s="7">
        <v>2.58050017576458</v>
      </c>
      <c r="H67" s="7">
        <v>5.3395520514236896</v>
      </c>
      <c r="I67" s="7">
        <v>7.5364083764374996</v>
      </c>
      <c r="J67" s="7">
        <v>41.636117109426003</v>
      </c>
      <c r="K67" s="7">
        <v>81.923868829407894</v>
      </c>
      <c r="L67" s="7">
        <v>90.915482348214695</v>
      </c>
      <c r="M67" s="7">
        <v>95.638527595038397</v>
      </c>
      <c r="N67" s="7">
        <v>17.251422868478699</v>
      </c>
      <c r="O67" s="7">
        <v>0.849796615276453</v>
      </c>
      <c r="P67" s="7">
        <v>3.2991513081906301</v>
      </c>
      <c r="Q67" s="7">
        <v>6.4432029327574902</v>
      </c>
      <c r="R67" s="7">
        <v>8.4009441068648592</v>
      </c>
      <c r="S67" s="7">
        <v>57.560387686436002</v>
      </c>
      <c r="T67" s="7">
        <v>86.694621603977296</v>
      </c>
      <c r="U67" s="7">
        <v>96.678049515391905</v>
      </c>
      <c r="V67" s="7">
        <v>97.519208557223905</v>
      </c>
      <c r="W67" s="7">
        <v>10.577513873759701</v>
      </c>
      <c r="X67" s="7">
        <v>2.8913021644152099</v>
      </c>
      <c r="Y67" s="7">
        <v>8.5946366695123793</v>
      </c>
      <c r="Z67" s="7">
        <v>9.6094762215637992</v>
      </c>
      <c r="AA67" s="7">
        <v>9.9825741977602593</v>
      </c>
      <c r="AB67" s="7">
        <v>85.060011048059096</v>
      </c>
      <c r="AC67" s="7">
        <v>97.519208557223905</v>
      </c>
      <c r="AD67" s="7">
        <v>100</v>
      </c>
      <c r="AE67" s="7">
        <v>100</v>
      </c>
      <c r="AF67" s="6">
        <v>36.636690534676298</v>
      </c>
      <c r="AG67" s="6">
        <v>0.450559935720384</v>
      </c>
      <c r="AH67" s="6">
        <v>0.784336865364335</v>
      </c>
      <c r="AI67" s="6">
        <v>1.2060965198614</v>
      </c>
      <c r="AJ67" s="6">
        <v>2.00072816752875</v>
      </c>
      <c r="AK67" s="6">
        <v>34.595490383166798</v>
      </c>
      <c r="AL67" s="6">
        <v>54.5749008185607</v>
      </c>
      <c r="AM67" s="6">
        <v>71.450811027971696</v>
      </c>
      <c r="AN67" s="6">
        <v>79.719278863054299</v>
      </c>
      <c r="AO67" s="6">
        <v>18.383385532739901</v>
      </c>
      <c r="AP67" s="7">
        <v>0.80113493697584504</v>
      </c>
      <c r="AQ67" s="7">
        <v>3.51006879927685</v>
      </c>
      <c r="AR67" s="7">
        <v>5.7708783206950196</v>
      </c>
      <c r="AS67" s="7">
        <v>7.7117963139657499</v>
      </c>
      <c r="AT67" s="7">
        <v>56.345101190177303</v>
      </c>
      <c r="AU67" s="7">
        <v>87.068749058404094</v>
      </c>
      <c r="AV67" s="7">
        <v>93.978807813990898</v>
      </c>
      <c r="AW67" s="7">
        <v>95.784161100788396</v>
      </c>
      <c r="AX67" s="7">
        <v>15.2648603164862</v>
      </c>
      <c r="AY67" s="7">
        <v>1.1799829257269101</v>
      </c>
      <c r="AZ67" s="7">
        <v>3.6690101943453999</v>
      </c>
      <c r="BA67" s="7">
        <v>6.0631245919750896</v>
      </c>
      <c r="BB67" s="7">
        <v>8.6306684075729407</v>
      </c>
      <c r="BC67" s="7">
        <v>65.366845779139297</v>
      </c>
      <c r="BD67" s="7">
        <v>88.798774669813696</v>
      </c>
      <c r="BE67" s="7">
        <v>96.366695123788503</v>
      </c>
      <c r="BF67" s="7">
        <v>99.610807010495705</v>
      </c>
      <c r="BG67" s="7">
        <v>9.4772975453294492</v>
      </c>
      <c r="BH67" s="7">
        <v>3.2182493848239799</v>
      </c>
      <c r="BI67" s="7">
        <v>8.9268568271983106</v>
      </c>
      <c r="BJ67" s="7">
        <v>9.6524381057600603</v>
      </c>
      <c r="BK67" s="7">
        <v>10</v>
      </c>
      <c r="BL67" s="7">
        <v>87.731632601817907</v>
      </c>
      <c r="BM67" s="7">
        <v>99.610807010495705</v>
      </c>
      <c r="BN67" s="7">
        <v>100</v>
      </c>
      <c r="BO67" s="7">
        <v>100</v>
      </c>
      <c r="BP67" s="6">
        <v>31.742658045592801</v>
      </c>
      <c r="BQ67" s="6">
        <v>0.55935820820569504</v>
      </c>
      <c r="BR67" s="6">
        <v>1.15557675890122</v>
      </c>
      <c r="BS67" s="6">
        <v>1.68962486817657</v>
      </c>
      <c r="BT67" s="6">
        <v>2.2878521568824399</v>
      </c>
      <c r="BU67" s="6">
        <v>45.327173203434903</v>
      </c>
      <c r="BV67" s="6">
        <v>64.171646662984003</v>
      </c>
      <c r="BW67" s="6">
        <v>74.873198413097001</v>
      </c>
      <c r="BX67" s="6">
        <v>82.149851855571697</v>
      </c>
      <c r="BY67" s="6" t="str">
        <f>TRIM(Table1[[#This Row],[LA_Name]])</f>
        <v>Richmondshire</v>
      </c>
      <c r="BZ67" s="7">
        <v>68.262249283480998</v>
      </c>
      <c r="CA67" s="7">
        <v>0</v>
      </c>
      <c r="CB67" s="7">
        <v>4.1932405965951901E-2</v>
      </c>
      <c r="CC67" s="7">
        <v>0.33385225731933899</v>
      </c>
      <c r="CD67" s="7">
        <v>0.90626726259227597</v>
      </c>
      <c r="CE67" s="7">
        <v>0</v>
      </c>
      <c r="CF67" s="7">
        <v>4.1932405965951904</v>
      </c>
      <c r="CG67" s="7">
        <v>25.905187565911699</v>
      </c>
      <c r="CH67" s="7">
        <v>38.728468839451601</v>
      </c>
      <c r="CI67" s="7">
        <v>88.594660361659706</v>
      </c>
      <c r="CJ67" s="7">
        <v>0</v>
      </c>
      <c r="CK67" s="7">
        <v>1.37598553708633E-2</v>
      </c>
      <c r="CL67" s="7">
        <v>6.34259026766434E-2</v>
      </c>
      <c r="CM67" s="7">
        <v>0.140586551499021</v>
      </c>
      <c r="CN67" s="7">
        <v>0</v>
      </c>
      <c r="CO67" s="7">
        <v>1.3759855370863301</v>
      </c>
      <c r="CP67" s="7">
        <v>4.1731532164917402</v>
      </c>
      <c r="CQ67" s="7">
        <v>9.5189072465223692</v>
      </c>
      <c r="CR67" s="7">
        <v>37.018777285707898</v>
      </c>
      <c r="CS67" s="7">
        <v>1.37598553708633E-2</v>
      </c>
      <c r="CT67" s="7">
        <v>0.45548134384572903</v>
      </c>
      <c r="CU67" s="7">
        <v>3.4716265756038802</v>
      </c>
      <c r="CV67" s="7">
        <v>8.0565710842163405</v>
      </c>
      <c r="CW67" s="7">
        <v>1.3759855370863301</v>
      </c>
      <c r="CX67" s="7">
        <v>28.275498418118801</v>
      </c>
      <c r="CY67" s="7">
        <v>79.204539747903397</v>
      </c>
      <c r="CZ67" s="7">
        <v>90.501180133581101</v>
      </c>
      <c r="DA67" s="9">
        <v>118.947413980958</v>
      </c>
      <c r="DB67" s="9">
        <v>0</v>
      </c>
      <c r="DC67" s="9">
        <v>0</v>
      </c>
      <c r="DD67" s="9">
        <v>0</v>
      </c>
      <c r="DE67" s="9">
        <v>3.6659468688796299E-3</v>
      </c>
      <c r="DF67" s="9">
        <v>0</v>
      </c>
      <c r="DG67" s="9">
        <v>0</v>
      </c>
      <c r="DH67" s="9">
        <v>0</v>
      </c>
      <c r="DI67" s="9">
        <v>0.36659468688796298</v>
      </c>
    </row>
    <row r="68" spans="1:113">
      <c r="A68" s="5" t="s">
        <v>226</v>
      </c>
      <c r="B68" s="5" t="s">
        <v>247</v>
      </c>
      <c r="C68" s="5" t="s">
        <v>248</v>
      </c>
      <c r="D68" s="6">
        <v>39831</v>
      </c>
      <c r="E68" s="7">
        <v>31.248283476473201</v>
      </c>
      <c r="F68" s="7">
        <v>0.31528206673194198</v>
      </c>
      <c r="G68" s="7">
        <v>1.2503075493961999</v>
      </c>
      <c r="H68" s="7">
        <v>3.00203359192589</v>
      </c>
      <c r="I68" s="7">
        <v>5.8290527478597101</v>
      </c>
      <c r="J68" s="7">
        <v>31.528206673194202</v>
      </c>
      <c r="K68" s="7">
        <v>68.562175190178493</v>
      </c>
      <c r="L68" s="7">
        <v>82.096859230247802</v>
      </c>
      <c r="M68" s="7">
        <v>85.707112550526006</v>
      </c>
      <c r="N68" s="7">
        <v>18.828135416613101</v>
      </c>
      <c r="O68" s="7">
        <v>0.53892696643318005</v>
      </c>
      <c r="P68" s="7">
        <v>1.4445030252818201</v>
      </c>
      <c r="Q68" s="7">
        <v>3.0915869548843902</v>
      </c>
      <c r="R68" s="7">
        <v>5.2073510582209801</v>
      </c>
      <c r="S68" s="7">
        <v>53.177173558283798</v>
      </c>
      <c r="T68" s="7">
        <v>77.894102583414906</v>
      </c>
      <c r="U68" s="7">
        <v>95.952901006753507</v>
      </c>
      <c r="V68" s="7">
        <v>100</v>
      </c>
      <c r="W68" s="7">
        <v>10.8082127209926</v>
      </c>
      <c r="X68" s="7">
        <v>1.6570259345735701</v>
      </c>
      <c r="Y68" s="7">
        <v>7.99543069468504</v>
      </c>
      <c r="Z68" s="7">
        <v>9.9900579950289998</v>
      </c>
      <c r="AA68" s="7">
        <v>10</v>
      </c>
      <c r="AB68" s="7">
        <v>80.208882528683702</v>
      </c>
      <c r="AC68" s="7">
        <v>100</v>
      </c>
      <c r="AD68" s="7">
        <v>100</v>
      </c>
      <c r="AE68" s="7">
        <v>100</v>
      </c>
      <c r="AF68" s="6">
        <v>44.3847139745981</v>
      </c>
      <c r="AG68" s="6">
        <v>0.29768270944741498</v>
      </c>
      <c r="AH68" s="6">
        <v>0.50337676683989896</v>
      </c>
      <c r="AI68" s="6">
        <v>0.71138058296301898</v>
      </c>
      <c r="AJ68" s="6">
        <v>1.02671286184128</v>
      </c>
      <c r="AK68" s="6">
        <v>29.768270944741499</v>
      </c>
      <c r="AL68" s="6">
        <v>49.622153598955599</v>
      </c>
      <c r="AM68" s="6">
        <v>60.826994049860701</v>
      </c>
      <c r="AN68" s="6">
        <v>67.552911049182796</v>
      </c>
      <c r="AO68" s="6">
        <v>26.941579966694199</v>
      </c>
      <c r="AP68" s="7">
        <v>0.90753433255504501</v>
      </c>
      <c r="AQ68" s="7">
        <v>2.8181064999623402</v>
      </c>
      <c r="AR68" s="7">
        <v>5.43651929401722</v>
      </c>
      <c r="AS68" s="7">
        <v>6.8874745801009301</v>
      </c>
      <c r="AT68" s="7">
        <v>52.358715573297196</v>
      </c>
      <c r="AU68" s="7">
        <v>77.889081368783096</v>
      </c>
      <c r="AV68" s="7">
        <v>81.813160603550003</v>
      </c>
      <c r="AW68" s="7">
        <v>83.811604027014099</v>
      </c>
      <c r="AX68" s="7">
        <v>16.4491042873418</v>
      </c>
      <c r="AY68" s="7">
        <v>1.8301574150787101</v>
      </c>
      <c r="AZ68" s="7">
        <v>3.07684968994</v>
      </c>
      <c r="BA68" s="7">
        <v>4.93078255630037</v>
      </c>
      <c r="BB68" s="7">
        <v>7.4173633601968296</v>
      </c>
      <c r="BC68" s="7">
        <v>56.777384449298303</v>
      </c>
      <c r="BD68" s="7">
        <v>83.904496497702794</v>
      </c>
      <c r="BE68" s="7">
        <v>97.401521428033405</v>
      </c>
      <c r="BF68" s="7">
        <v>100</v>
      </c>
      <c r="BG68" s="7">
        <v>9.7051482331710606</v>
      </c>
      <c r="BH68" s="7">
        <v>3.2889457959880501</v>
      </c>
      <c r="BI68" s="7">
        <v>9.1763199517963407</v>
      </c>
      <c r="BJ68" s="7">
        <v>9.9770028369862693</v>
      </c>
      <c r="BK68" s="7">
        <v>10</v>
      </c>
      <c r="BL68" s="7">
        <v>85.591624613994099</v>
      </c>
      <c r="BM68" s="7">
        <v>100</v>
      </c>
      <c r="BN68" s="7">
        <v>100</v>
      </c>
      <c r="BO68" s="7">
        <v>100</v>
      </c>
      <c r="BP68" s="6">
        <v>36.418084341811699</v>
      </c>
      <c r="BQ68" s="6">
        <v>0.84112876904923295</v>
      </c>
      <c r="BR68" s="6">
        <v>1.7114810072556601</v>
      </c>
      <c r="BS68" s="6">
        <v>2.2344154050864899</v>
      </c>
      <c r="BT68" s="6">
        <v>2.59571690391906</v>
      </c>
      <c r="BU68" s="6">
        <v>49.592026311164702</v>
      </c>
      <c r="BV68" s="6">
        <v>55.333785242650201</v>
      </c>
      <c r="BW68" s="6">
        <v>64.788732394366207</v>
      </c>
      <c r="BX68" s="6">
        <v>72.734804549220499</v>
      </c>
      <c r="BY68" s="6" t="str">
        <f>TRIM(Table1[[#This Row],[LA_Name]])</f>
        <v>Ryedale</v>
      </c>
      <c r="BZ68" s="7">
        <v>88.096345363585399</v>
      </c>
      <c r="CA68" s="7">
        <v>0</v>
      </c>
      <c r="CB68" s="7">
        <v>0</v>
      </c>
      <c r="CC68" s="7">
        <v>9.0331651226431706E-2</v>
      </c>
      <c r="CD68" s="7">
        <v>0.60736612186487904</v>
      </c>
      <c r="CE68" s="7">
        <v>0</v>
      </c>
      <c r="CF68" s="7">
        <v>0</v>
      </c>
      <c r="CG68" s="7">
        <v>3.5625517812758898</v>
      </c>
      <c r="CH68" s="7">
        <v>25.1587959127313</v>
      </c>
      <c r="CI68" s="7">
        <v>107.534235130429</v>
      </c>
      <c r="CJ68" s="7">
        <v>0</v>
      </c>
      <c r="CK68" s="7">
        <v>0</v>
      </c>
      <c r="CL68" s="7">
        <v>4.68228264417163E-2</v>
      </c>
      <c r="CM68" s="7">
        <v>0.196379704250458</v>
      </c>
      <c r="CN68" s="7">
        <v>0</v>
      </c>
      <c r="CO68" s="7">
        <v>0</v>
      </c>
      <c r="CP68" s="7">
        <v>1.8478069845095499</v>
      </c>
      <c r="CQ68" s="7">
        <v>5.8949059777560198</v>
      </c>
      <c r="CR68" s="7">
        <v>39.238165897523501</v>
      </c>
      <c r="CS68" s="7">
        <v>0</v>
      </c>
      <c r="CT68" s="7">
        <v>0.53194747809495102</v>
      </c>
      <c r="CU68" s="7">
        <v>4.0198337977956902</v>
      </c>
      <c r="CV68" s="7">
        <v>7.9128066079184602</v>
      </c>
      <c r="CW68" s="7">
        <v>0</v>
      </c>
      <c r="CX68" s="7">
        <v>15.0234741784038</v>
      </c>
      <c r="CY68" s="7">
        <v>71.507117571740594</v>
      </c>
      <c r="CZ68" s="7">
        <v>98.724611483517904</v>
      </c>
      <c r="DA68" s="9">
        <v>119.879938262804</v>
      </c>
      <c r="DB68" s="9">
        <v>0</v>
      </c>
      <c r="DC68" s="9">
        <v>0</v>
      </c>
      <c r="DD68" s="9">
        <v>0</v>
      </c>
      <c r="DE68" s="9">
        <v>0</v>
      </c>
      <c r="DF68" s="9">
        <v>0</v>
      </c>
      <c r="DG68" s="9">
        <v>0</v>
      </c>
      <c r="DH68" s="9">
        <v>0</v>
      </c>
      <c r="DI68" s="9">
        <v>0</v>
      </c>
    </row>
    <row r="69" spans="1:113">
      <c r="A69" s="5" t="s">
        <v>226</v>
      </c>
      <c r="B69" s="5" t="s">
        <v>249</v>
      </c>
      <c r="C69" s="5" t="s">
        <v>250</v>
      </c>
      <c r="D69" s="6">
        <v>77706</v>
      </c>
      <c r="E69" s="7">
        <v>11.318581116948399</v>
      </c>
      <c r="F69" s="7">
        <v>2.50527629784058</v>
      </c>
      <c r="G69" s="7">
        <v>7.3851697423622404</v>
      </c>
      <c r="H69" s="7">
        <v>9.0767122229943595</v>
      </c>
      <c r="I69" s="7">
        <v>9.51207113993771</v>
      </c>
      <c r="J69" s="7">
        <v>83.698813476436797</v>
      </c>
      <c r="K69" s="7">
        <v>94.835662625794697</v>
      </c>
      <c r="L69" s="7">
        <v>97.027256582503298</v>
      </c>
      <c r="M69" s="7">
        <v>98.193189715079896</v>
      </c>
      <c r="N69" s="7">
        <v>9.5877947754538706</v>
      </c>
      <c r="O69" s="7">
        <v>5.1565387486165797</v>
      </c>
      <c r="P69" s="7">
        <v>7.7030988598049097</v>
      </c>
      <c r="Q69" s="7">
        <v>8.7048490464056805</v>
      </c>
      <c r="R69" s="7">
        <v>9.6918127300337193</v>
      </c>
      <c r="S69" s="7">
        <v>91.722646899853302</v>
      </c>
      <c r="T69" s="7">
        <v>97.666846832934397</v>
      </c>
      <c r="U69" s="7">
        <v>99.203407716263897</v>
      </c>
      <c r="V69" s="7">
        <v>100</v>
      </c>
      <c r="W69" s="7">
        <v>7.3535692077853501</v>
      </c>
      <c r="X69" s="7">
        <v>7.4370061513911399</v>
      </c>
      <c r="Y69" s="7">
        <v>9.8294340205389492</v>
      </c>
      <c r="Z69" s="7">
        <v>10</v>
      </c>
      <c r="AA69" s="7">
        <v>10</v>
      </c>
      <c r="AB69" s="7">
        <v>97.303940493655602</v>
      </c>
      <c r="AC69" s="7">
        <v>100</v>
      </c>
      <c r="AD69" s="7">
        <v>100</v>
      </c>
      <c r="AE69" s="7">
        <v>100</v>
      </c>
      <c r="AF69" s="6">
        <v>13.9203063473947</v>
      </c>
      <c r="AG69" s="6">
        <v>1.9417805574859099</v>
      </c>
      <c r="AH69" s="6">
        <v>5.0402156847605104</v>
      </c>
      <c r="AI69" s="6">
        <v>5.9094407124288999</v>
      </c>
      <c r="AJ69" s="6">
        <v>6.5757084395027396</v>
      </c>
      <c r="AK69" s="6">
        <v>76.529482922811596</v>
      </c>
      <c r="AL69" s="6">
        <v>91.427946361928306</v>
      </c>
      <c r="AM69" s="6">
        <v>94.152317710344093</v>
      </c>
      <c r="AN69" s="6">
        <v>95.862610351838995</v>
      </c>
      <c r="AO69" s="6">
        <v>13.860781821461799</v>
      </c>
      <c r="AP69" s="7">
        <v>2.08880910097032</v>
      </c>
      <c r="AQ69" s="7">
        <v>6.8758010964404299</v>
      </c>
      <c r="AR69" s="7">
        <v>8.5301649808251607</v>
      </c>
      <c r="AS69" s="7">
        <v>9.1814403006202898</v>
      </c>
      <c r="AT69" s="7">
        <v>69.264921627673502</v>
      </c>
      <c r="AU69" s="7">
        <v>93.265642292744403</v>
      </c>
      <c r="AV69" s="7">
        <v>96.193344143309403</v>
      </c>
      <c r="AW69" s="7">
        <v>97.255038220986805</v>
      </c>
      <c r="AX69" s="7">
        <v>11.434278923121401</v>
      </c>
      <c r="AY69" s="7">
        <v>4.5258924664762104</v>
      </c>
      <c r="AZ69" s="7">
        <v>7.2102282963992499</v>
      </c>
      <c r="BA69" s="7">
        <v>8.0337168301032094</v>
      </c>
      <c r="BB69" s="7">
        <v>8.8684271484827395</v>
      </c>
      <c r="BC69" s="7">
        <v>82.180269219880103</v>
      </c>
      <c r="BD69" s="7">
        <v>95.405760172959603</v>
      </c>
      <c r="BE69" s="7">
        <v>99.292203948215104</v>
      </c>
      <c r="BF69" s="7">
        <v>100</v>
      </c>
      <c r="BG69" s="7">
        <v>8.1234488976255506</v>
      </c>
      <c r="BH69" s="7">
        <v>6.9843384037268699</v>
      </c>
      <c r="BI69" s="7">
        <v>9.0603943067459394</v>
      </c>
      <c r="BJ69" s="7">
        <v>9.9153604612256494</v>
      </c>
      <c r="BK69" s="7">
        <v>10</v>
      </c>
      <c r="BL69" s="7">
        <v>95.064731166190498</v>
      </c>
      <c r="BM69" s="7">
        <v>100</v>
      </c>
      <c r="BN69" s="7">
        <v>100</v>
      </c>
      <c r="BO69" s="7">
        <v>100</v>
      </c>
      <c r="BP69" s="6">
        <v>20.174932348446099</v>
      </c>
      <c r="BQ69" s="6">
        <v>1.74956888785937</v>
      </c>
      <c r="BR69" s="6">
        <v>4.4380485419401303</v>
      </c>
      <c r="BS69" s="6">
        <v>5.3794301598332197</v>
      </c>
      <c r="BT69" s="6">
        <v>6.1057189920984198</v>
      </c>
      <c r="BU69" s="6">
        <v>62.566597173963402</v>
      </c>
      <c r="BV69" s="6">
        <v>82.185416827529394</v>
      </c>
      <c r="BW69" s="6">
        <v>84.855738295627106</v>
      </c>
      <c r="BX69" s="6">
        <v>90.570869688312399</v>
      </c>
      <c r="BY69" s="6" t="str">
        <f>TRIM(Table1[[#This Row],[LA_Name]])</f>
        <v>Scarborough</v>
      </c>
      <c r="BZ69" s="7">
        <v>85.781222351716707</v>
      </c>
      <c r="CA69" s="7">
        <v>0</v>
      </c>
      <c r="CB69" s="7">
        <v>0</v>
      </c>
      <c r="CC69" s="7">
        <v>0</v>
      </c>
      <c r="CD69" s="7">
        <v>0</v>
      </c>
      <c r="CE69" s="7">
        <v>0</v>
      </c>
      <c r="CF69" s="7">
        <v>0</v>
      </c>
      <c r="CG69" s="7">
        <v>0</v>
      </c>
      <c r="CH69" s="7">
        <v>0</v>
      </c>
      <c r="CI69" s="7">
        <v>119.868488915985</v>
      </c>
      <c r="CJ69" s="7">
        <v>0</v>
      </c>
      <c r="CK69" s="7">
        <v>0</v>
      </c>
      <c r="CL69" s="7">
        <v>0</v>
      </c>
      <c r="CM69" s="7">
        <v>0</v>
      </c>
      <c r="CN69" s="7">
        <v>0</v>
      </c>
      <c r="CO69" s="7">
        <v>0</v>
      </c>
      <c r="CP69" s="7">
        <v>0</v>
      </c>
      <c r="CQ69" s="7">
        <v>0</v>
      </c>
      <c r="CR69" s="7">
        <v>66.212412093746295</v>
      </c>
      <c r="CS69" s="7">
        <v>0</v>
      </c>
      <c r="CT69" s="7">
        <v>0</v>
      </c>
      <c r="CU69" s="7">
        <v>1.93421357424137E-2</v>
      </c>
      <c r="CV69" s="7">
        <v>0.40793503719146501</v>
      </c>
      <c r="CW69" s="7">
        <v>0</v>
      </c>
      <c r="CX69" s="7">
        <v>0</v>
      </c>
      <c r="CY69" s="7">
        <v>0.60484389879803402</v>
      </c>
      <c r="CZ69" s="7">
        <v>8.7136128484286903</v>
      </c>
      <c r="DA69" s="9">
        <v>120</v>
      </c>
      <c r="DB69" s="9">
        <v>0</v>
      </c>
      <c r="DC69" s="9">
        <v>0</v>
      </c>
      <c r="DD69" s="9">
        <v>0</v>
      </c>
      <c r="DE69" s="9">
        <v>0</v>
      </c>
      <c r="DF69" s="9">
        <v>0</v>
      </c>
      <c r="DG69" s="9">
        <v>0</v>
      </c>
      <c r="DH69" s="9">
        <v>0</v>
      </c>
      <c r="DI69" s="9">
        <v>0</v>
      </c>
    </row>
    <row r="70" spans="1:113">
      <c r="A70" s="5" t="s">
        <v>226</v>
      </c>
      <c r="B70" s="5" t="s">
        <v>251</v>
      </c>
      <c r="C70" s="5" t="s">
        <v>252</v>
      </c>
      <c r="D70" s="6">
        <v>66002</v>
      </c>
      <c r="E70" s="7">
        <v>12.521443094889401</v>
      </c>
      <c r="F70" s="7">
        <v>1.1120117572194801</v>
      </c>
      <c r="G70" s="7">
        <v>5.0439380624829502</v>
      </c>
      <c r="H70" s="7">
        <v>8.8625041665404094</v>
      </c>
      <c r="I70" s="7">
        <v>9.53027180994515</v>
      </c>
      <c r="J70" s="7">
        <v>70.203933214144996</v>
      </c>
      <c r="K70" s="7">
        <v>95.992545680433906</v>
      </c>
      <c r="L70" s="7">
        <v>98.493985030756605</v>
      </c>
      <c r="M70" s="7">
        <v>99.187903396866801</v>
      </c>
      <c r="N70" s="7">
        <v>11.1431589847239</v>
      </c>
      <c r="O70" s="7">
        <v>1.8802763552619599</v>
      </c>
      <c r="P70" s="7">
        <v>5.8499742432047501</v>
      </c>
      <c r="Q70" s="7">
        <v>9.1624193206266504</v>
      </c>
      <c r="R70" s="7">
        <v>9.9916669191842704</v>
      </c>
      <c r="S70" s="7">
        <v>80.146056180115806</v>
      </c>
      <c r="T70" s="7">
        <v>98.757613405654396</v>
      </c>
      <c r="U70" s="7">
        <v>100</v>
      </c>
      <c r="V70" s="7">
        <v>100</v>
      </c>
      <c r="W70" s="7">
        <v>7.84251945685814</v>
      </c>
      <c r="X70" s="7">
        <v>5.7084179267294903</v>
      </c>
      <c r="Y70" s="7">
        <v>10</v>
      </c>
      <c r="Z70" s="7">
        <v>10</v>
      </c>
      <c r="AA70" s="7">
        <v>10</v>
      </c>
      <c r="AB70" s="7">
        <v>98.004605921032706</v>
      </c>
      <c r="AC70" s="7">
        <v>100</v>
      </c>
      <c r="AD70" s="7">
        <v>100</v>
      </c>
      <c r="AE70" s="7">
        <v>100</v>
      </c>
      <c r="AF70" s="6">
        <v>19.7997898357794</v>
      </c>
      <c r="AG70" s="6">
        <v>0.79673343232023297</v>
      </c>
      <c r="AH70" s="6">
        <v>1.6895548619738801</v>
      </c>
      <c r="AI70" s="6">
        <v>2.9512742038120101</v>
      </c>
      <c r="AJ70" s="6">
        <v>4.0991636617072196</v>
      </c>
      <c r="AK70" s="6">
        <v>60.686039816975203</v>
      </c>
      <c r="AL70" s="6">
        <v>77.187054937729201</v>
      </c>
      <c r="AM70" s="6">
        <v>86.762522347807604</v>
      </c>
      <c r="AN70" s="6">
        <v>94.3850186357989</v>
      </c>
      <c r="AO70" s="6">
        <v>16.751622214345801</v>
      </c>
      <c r="AP70" s="7">
        <v>0.70088785188327596</v>
      </c>
      <c r="AQ70" s="7">
        <v>4.1113148086421596</v>
      </c>
      <c r="AR70" s="7">
        <v>8.6422381139965498</v>
      </c>
      <c r="AS70" s="7">
        <v>9.5959819399412094</v>
      </c>
      <c r="AT70" s="7">
        <v>46.318293385048896</v>
      </c>
      <c r="AU70" s="7">
        <v>94.8137935214084</v>
      </c>
      <c r="AV70" s="7">
        <v>97.269779703645298</v>
      </c>
      <c r="AW70" s="7">
        <v>98.497015241962401</v>
      </c>
      <c r="AX70" s="7">
        <v>14.429017777183001</v>
      </c>
      <c r="AY70" s="7">
        <v>1.58366413138996</v>
      </c>
      <c r="AZ70" s="7">
        <v>4.0541801763582903</v>
      </c>
      <c r="BA70" s="7">
        <v>8.3867610072422103</v>
      </c>
      <c r="BB70" s="7">
        <v>9.9661222387200397</v>
      </c>
      <c r="BC70" s="7">
        <v>59.301233295960699</v>
      </c>
      <c r="BD70" s="7">
        <v>95.581952062058704</v>
      </c>
      <c r="BE70" s="7">
        <v>100</v>
      </c>
      <c r="BF70" s="7">
        <v>100</v>
      </c>
      <c r="BG70" s="7">
        <v>9.0814211639121591</v>
      </c>
      <c r="BH70" s="7">
        <v>4.4140783612617804</v>
      </c>
      <c r="BI70" s="7">
        <v>10</v>
      </c>
      <c r="BJ70" s="7">
        <v>10</v>
      </c>
      <c r="BK70" s="7">
        <v>10</v>
      </c>
      <c r="BL70" s="7">
        <v>95.0531802066604</v>
      </c>
      <c r="BM70" s="7">
        <v>100</v>
      </c>
      <c r="BN70" s="7">
        <v>100</v>
      </c>
      <c r="BO70" s="7">
        <v>100</v>
      </c>
      <c r="BP70" s="6">
        <v>30.8015805366223</v>
      </c>
      <c r="BQ70" s="6">
        <v>0.50877246144056198</v>
      </c>
      <c r="BR70" s="6">
        <v>1.38777612799612</v>
      </c>
      <c r="BS70" s="6">
        <v>2.32538407927033</v>
      </c>
      <c r="BT70" s="6">
        <v>3.0112269325172001</v>
      </c>
      <c r="BU70" s="6">
        <v>36.3685948910639</v>
      </c>
      <c r="BV70" s="6">
        <v>54.9619708493682</v>
      </c>
      <c r="BW70" s="6">
        <v>75.453774128056693</v>
      </c>
      <c r="BX70" s="6">
        <v>85.626193145662299</v>
      </c>
      <c r="BY70" s="6" t="str">
        <f>TRIM(Table1[[#This Row],[LA_Name]])</f>
        <v>Selby</v>
      </c>
      <c r="BZ70" s="7">
        <v>46.144487517742903</v>
      </c>
      <c r="CA70" s="7">
        <v>7.1694797127359794E-2</v>
      </c>
      <c r="CB70" s="7">
        <v>0.17390382109633001</v>
      </c>
      <c r="CC70" s="7">
        <v>0.93925941638132204</v>
      </c>
      <c r="CD70" s="7">
        <v>4.4711978424896204</v>
      </c>
      <c r="CE70" s="7">
        <v>7.1694797127359804</v>
      </c>
      <c r="CF70" s="7">
        <v>16.584345928911201</v>
      </c>
      <c r="CG70" s="7">
        <v>48.597012211751199</v>
      </c>
      <c r="CH70" s="7">
        <v>81.439956364958604</v>
      </c>
      <c r="CI70" s="7">
        <v>51.098205535362197</v>
      </c>
      <c r="CJ70" s="7">
        <v>8.7042816884336793E-2</v>
      </c>
      <c r="CK70" s="7">
        <v>0.170161510257265</v>
      </c>
      <c r="CL70" s="7">
        <v>0.42582042968394901</v>
      </c>
      <c r="CM70" s="7">
        <v>1.45654677130996</v>
      </c>
      <c r="CN70" s="7">
        <v>8.7042816884336798</v>
      </c>
      <c r="CO70" s="7">
        <v>17.016151025726501</v>
      </c>
      <c r="CP70" s="7">
        <v>30.512711736008001</v>
      </c>
      <c r="CQ70" s="7">
        <v>64.408654283203504</v>
      </c>
      <c r="CR70" s="7">
        <v>22.4746511629981</v>
      </c>
      <c r="CS70" s="7">
        <v>0.16935850428774901</v>
      </c>
      <c r="CT70" s="7">
        <v>4.0878609739098799</v>
      </c>
      <c r="CU70" s="7">
        <v>9.9362746583436898</v>
      </c>
      <c r="CV70" s="7">
        <v>10</v>
      </c>
      <c r="CW70" s="7">
        <v>16.935850428774899</v>
      </c>
      <c r="CX70" s="7">
        <v>87.648859125481096</v>
      </c>
      <c r="CY70" s="7">
        <v>100</v>
      </c>
      <c r="CZ70" s="7">
        <v>100</v>
      </c>
      <c r="DA70" s="9">
        <v>103.452616155539</v>
      </c>
      <c r="DB70" s="9">
        <v>6.4588951849943899E-2</v>
      </c>
      <c r="DC70" s="9">
        <v>8.7042816884336793E-2</v>
      </c>
      <c r="DD70" s="9">
        <v>0.116920699372746</v>
      </c>
      <c r="DE70" s="9">
        <v>0.134495924365928</v>
      </c>
      <c r="DF70" s="9">
        <v>6.4588951849943896</v>
      </c>
      <c r="DG70" s="9">
        <v>8.7042816884336798</v>
      </c>
      <c r="DH70" s="9">
        <v>11.692069937274599</v>
      </c>
      <c r="DI70" s="9">
        <v>13.4495924365928</v>
      </c>
    </row>
    <row r="71" spans="1:113">
      <c r="A71" s="5" t="s">
        <v>226</v>
      </c>
      <c r="B71" s="5" t="s">
        <v>253</v>
      </c>
      <c r="C71" s="5" t="s">
        <v>254</v>
      </c>
      <c r="D71" s="6">
        <v>1028223</v>
      </c>
      <c r="E71" s="7">
        <v>7.2233779396325204</v>
      </c>
      <c r="F71" s="7">
        <v>3.4581690936693699</v>
      </c>
      <c r="G71" s="7">
        <v>9.6814319461828795</v>
      </c>
      <c r="H71" s="7">
        <v>9.9772490986877393</v>
      </c>
      <c r="I71" s="7">
        <v>9.9917352558734809</v>
      </c>
      <c r="J71" s="7">
        <v>94.525506626480805</v>
      </c>
      <c r="K71" s="7">
        <v>99.884947136953798</v>
      </c>
      <c r="L71" s="7">
        <v>99.974908166808206</v>
      </c>
      <c r="M71" s="7">
        <v>100</v>
      </c>
      <c r="N71" s="7">
        <v>7.7059624081914002</v>
      </c>
      <c r="O71" s="7">
        <v>7.0351256488135396</v>
      </c>
      <c r="P71" s="7">
        <v>9.8509593735989203</v>
      </c>
      <c r="Q71" s="7">
        <v>9.9993386648616092</v>
      </c>
      <c r="R71" s="7">
        <v>10</v>
      </c>
      <c r="S71" s="7">
        <v>98.373699090566902</v>
      </c>
      <c r="T71" s="7">
        <v>100</v>
      </c>
      <c r="U71" s="7">
        <v>100</v>
      </c>
      <c r="V71" s="7">
        <v>100</v>
      </c>
      <c r="W71" s="7">
        <v>6.6237840976932301</v>
      </c>
      <c r="X71" s="7">
        <v>9.7943763171996707</v>
      </c>
      <c r="Y71" s="7">
        <v>10</v>
      </c>
      <c r="Z71" s="7">
        <v>10</v>
      </c>
      <c r="AA71" s="7">
        <v>10</v>
      </c>
      <c r="AB71" s="7">
        <v>100</v>
      </c>
      <c r="AC71" s="7">
        <v>100</v>
      </c>
      <c r="AD71" s="7">
        <v>100</v>
      </c>
      <c r="AE71" s="7">
        <v>100</v>
      </c>
      <c r="AF71" s="6">
        <v>8.0304356793449401</v>
      </c>
      <c r="AG71" s="6">
        <v>2.6566639726985302</v>
      </c>
      <c r="AH71" s="6">
        <v>6.9265081601948202</v>
      </c>
      <c r="AI71" s="6">
        <v>8.8335798751827195</v>
      </c>
      <c r="AJ71" s="6">
        <v>9.5489227531381804</v>
      </c>
      <c r="AK71" s="6">
        <v>91.012358214122798</v>
      </c>
      <c r="AL71" s="6">
        <v>98.465994244439202</v>
      </c>
      <c r="AM71" s="6">
        <v>99.219041005696198</v>
      </c>
      <c r="AN71" s="6">
        <v>99.627901729488599</v>
      </c>
      <c r="AO71" s="6">
        <v>11.6816776667797</v>
      </c>
      <c r="AP71" s="7">
        <v>1.62454253600629</v>
      </c>
      <c r="AQ71" s="7">
        <v>7.73492131570681</v>
      </c>
      <c r="AR71" s="7">
        <v>9.8269023353883291</v>
      </c>
      <c r="AS71" s="7">
        <v>9.9762356998433201</v>
      </c>
      <c r="AT71" s="7">
        <v>71.097320328372305</v>
      </c>
      <c r="AU71" s="7">
        <v>99.336038972090705</v>
      </c>
      <c r="AV71" s="7">
        <v>99.864815317299801</v>
      </c>
      <c r="AW71" s="7">
        <v>99.948746526774798</v>
      </c>
      <c r="AX71" s="7">
        <v>10.044080935127999</v>
      </c>
      <c r="AY71" s="7">
        <v>3.7973182860138301</v>
      </c>
      <c r="AZ71" s="7">
        <v>9.0963847336618606</v>
      </c>
      <c r="BA71" s="7">
        <v>9.8948438227894204</v>
      </c>
      <c r="BB71" s="7">
        <v>10</v>
      </c>
      <c r="BC71" s="7">
        <v>90.781377191523603</v>
      </c>
      <c r="BD71" s="7">
        <v>99.904203660101004</v>
      </c>
      <c r="BE71" s="7">
        <v>100</v>
      </c>
      <c r="BF71" s="7">
        <v>100</v>
      </c>
      <c r="BG71" s="7">
        <v>7.73285464930008</v>
      </c>
      <c r="BH71" s="7">
        <v>8.6889614412437801</v>
      </c>
      <c r="BI71" s="7">
        <v>10</v>
      </c>
      <c r="BJ71" s="7">
        <v>10</v>
      </c>
      <c r="BK71" s="7">
        <v>10</v>
      </c>
      <c r="BL71" s="7">
        <v>99.784677059353896</v>
      </c>
      <c r="BM71" s="7">
        <v>100</v>
      </c>
      <c r="BN71" s="7">
        <v>100</v>
      </c>
      <c r="BO71" s="7">
        <v>100</v>
      </c>
      <c r="BP71" s="6">
        <v>15.3406984685833</v>
      </c>
      <c r="BQ71" s="6">
        <v>1.2212097959294801</v>
      </c>
      <c r="BR71" s="6">
        <v>3.6561728341031099</v>
      </c>
      <c r="BS71" s="6">
        <v>5.9901149847844302</v>
      </c>
      <c r="BT71" s="6">
        <v>7.9509804779702504</v>
      </c>
      <c r="BU71" s="6">
        <v>60.217579260530101</v>
      </c>
      <c r="BV71" s="6">
        <v>89.524743173416695</v>
      </c>
      <c r="BW71" s="6">
        <v>96.940935964280101</v>
      </c>
      <c r="BX71" s="6">
        <v>98.611585230052199</v>
      </c>
      <c r="BY71" s="6" t="str">
        <f>TRIM(Table1[[#This Row],[LA_Name]])</f>
        <v>South Yorkshire (Met County)</v>
      </c>
      <c r="BZ71" s="7">
        <v>26.568929378247802</v>
      </c>
      <c r="CA71" s="7">
        <v>0.293782574402634</v>
      </c>
      <c r="CB71" s="7">
        <v>2.0016387495708599</v>
      </c>
      <c r="CC71" s="7">
        <v>5.1094363771283096</v>
      </c>
      <c r="CD71" s="7">
        <v>7.9731867503450102</v>
      </c>
      <c r="CE71" s="7">
        <v>17.3845556849049</v>
      </c>
      <c r="CF71" s="7">
        <v>60.963526394566202</v>
      </c>
      <c r="CG71" s="7">
        <v>94.091067793659505</v>
      </c>
      <c r="CH71" s="7">
        <v>98.809207730229701</v>
      </c>
      <c r="CI71" s="7">
        <v>22.568582903008402</v>
      </c>
      <c r="CJ71" s="7">
        <v>0.91344873631498202</v>
      </c>
      <c r="CK71" s="7">
        <v>3.8188797566286699</v>
      </c>
      <c r="CL71" s="7">
        <v>5.8771569980442004</v>
      </c>
      <c r="CM71" s="7">
        <v>7.5236626685067298</v>
      </c>
      <c r="CN71" s="7">
        <v>33.658943633822602</v>
      </c>
      <c r="CO71" s="7">
        <v>75.294269822791406</v>
      </c>
      <c r="CP71" s="7">
        <v>93.167435468765007</v>
      </c>
      <c r="CQ71" s="7">
        <v>98.672953240688102</v>
      </c>
      <c r="CR71" s="7">
        <v>13.3230047653171</v>
      </c>
      <c r="CS71" s="7">
        <v>2.4736132142541098</v>
      </c>
      <c r="CT71" s="7">
        <v>8.3779355256593195</v>
      </c>
      <c r="CU71" s="7">
        <v>9.9980626770651906</v>
      </c>
      <c r="CV71" s="7">
        <v>10</v>
      </c>
      <c r="CW71" s="7">
        <v>66.199258332093294</v>
      </c>
      <c r="CX71" s="7">
        <v>99.966933243080504</v>
      </c>
      <c r="CY71" s="7">
        <v>100</v>
      </c>
      <c r="CZ71" s="7">
        <v>100</v>
      </c>
      <c r="DA71" s="9">
        <v>53.678162580348001</v>
      </c>
      <c r="DB71" s="9">
        <v>0.24883901643904099</v>
      </c>
      <c r="DC71" s="9">
        <v>0.83209381622469103</v>
      </c>
      <c r="DD71" s="9">
        <v>1.59893427787552</v>
      </c>
      <c r="DE71" s="9">
        <v>2.5767727428777598</v>
      </c>
      <c r="DF71" s="9">
        <v>15.150215468823401</v>
      </c>
      <c r="DG71" s="9">
        <v>32.153239131978196</v>
      </c>
      <c r="DH71" s="9">
        <v>47.002255347332202</v>
      </c>
      <c r="DI71" s="9">
        <v>61.8609970794273</v>
      </c>
    </row>
    <row r="72" spans="1:113">
      <c r="A72" s="5" t="s">
        <v>226</v>
      </c>
      <c r="B72" s="5" t="s">
        <v>255</v>
      </c>
      <c r="C72" s="5" t="s">
        <v>256</v>
      </c>
      <c r="D72" s="6">
        <v>179589</v>
      </c>
      <c r="E72" s="7">
        <v>7.7005059322259104</v>
      </c>
      <c r="F72" s="7">
        <v>2.9440945714938</v>
      </c>
      <c r="G72" s="7">
        <v>9.5128265094187299</v>
      </c>
      <c r="H72" s="7">
        <v>9.9745752802231795</v>
      </c>
      <c r="I72" s="7">
        <v>9.9860737573013907</v>
      </c>
      <c r="J72" s="7">
        <v>93.304155599730507</v>
      </c>
      <c r="K72" s="7">
        <v>100</v>
      </c>
      <c r="L72" s="7">
        <v>100</v>
      </c>
      <c r="M72" s="7">
        <v>100</v>
      </c>
      <c r="N72" s="7">
        <v>7.9254669761262599</v>
      </c>
      <c r="O72" s="7">
        <v>5.6513205151763204</v>
      </c>
      <c r="P72" s="7">
        <v>9.8783221689524403</v>
      </c>
      <c r="Q72" s="7">
        <v>10</v>
      </c>
      <c r="R72" s="7">
        <v>10</v>
      </c>
      <c r="S72" s="7">
        <v>98.541113319858098</v>
      </c>
      <c r="T72" s="7">
        <v>100</v>
      </c>
      <c r="U72" s="7">
        <v>100</v>
      </c>
      <c r="V72" s="7">
        <v>100</v>
      </c>
      <c r="W72" s="7">
        <v>6.6677067163055099</v>
      </c>
      <c r="X72" s="7">
        <v>9.8422175077538192</v>
      </c>
      <c r="Y72" s="7">
        <v>10</v>
      </c>
      <c r="Z72" s="7">
        <v>10</v>
      </c>
      <c r="AA72" s="7">
        <v>10</v>
      </c>
      <c r="AB72" s="7">
        <v>100</v>
      </c>
      <c r="AC72" s="7">
        <v>100</v>
      </c>
      <c r="AD72" s="7">
        <v>100</v>
      </c>
      <c r="AE72" s="7">
        <v>100</v>
      </c>
      <c r="AF72" s="6">
        <v>8.7354672194909195</v>
      </c>
      <c r="AG72" s="6">
        <v>2.1325582301811399</v>
      </c>
      <c r="AH72" s="6">
        <v>5.4129595910662696</v>
      </c>
      <c r="AI72" s="6">
        <v>8.4518149775320293</v>
      </c>
      <c r="AJ72" s="6">
        <v>9.5570942541024202</v>
      </c>
      <c r="AK72" s="6">
        <v>86.763109099109599</v>
      </c>
      <c r="AL72" s="6">
        <v>98.369610610894895</v>
      </c>
      <c r="AM72" s="6">
        <v>99.361319457205099</v>
      </c>
      <c r="AN72" s="6">
        <v>99.8262699831281</v>
      </c>
      <c r="AO72" s="6">
        <v>11.2473359911485</v>
      </c>
      <c r="AP72" s="7">
        <v>1.26452622376649</v>
      </c>
      <c r="AQ72" s="7">
        <v>7.9280134083936096</v>
      </c>
      <c r="AR72" s="7">
        <v>9.8184632689084506</v>
      </c>
      <c r="AS72" s="7">
        <v>9.9668131121616597</v>
      </c>
      <c r="AT72" s="7">
        <v>75.642717538379301</v>
      </c>
      <c r="AU72" s="7">
        <v>99.826826810105302</v>
      </c>
      <c r="AV72" s="7">
        <v>100</v>
      </c>
      <c r="AW72" s="7">
        <v>100</v>
      </c>
      <c r="AX72" s="7">
        <v>9.7432423647749093</v>
      </c>
      <c r="AY72" s="7">
        <v>2.9678599468787099</v>
      </c>
      <c r="AZ72" s="7">
        <v>9.2370189710951092</v>
      </c>
      <c r="BA72" s="7">
        <v>9.9186865565262892</v>
      </c>
      <c r="BB72" s="7">
        <v>10</v>
      </c>
      <c r="BC72" s="7">
        <v>92.766260739800302</v>
      </c>
      <c r="BD72" s="7">
        <v>100</v>
      </c>
      <c r="BE72" s="7">
        <v>100</v>
      </c>
      <c r="BF72" s="7">
        <v>100</v>
      </c>
      <c r="BG72" s="7">
        <v>7.5444655803048697</v>
      </c>
      <c r="BH72" s="7">
        <v>8.9423795444041705</v>
      </c>
      <c r="BI72" s="7">
        <v>10</v>
      </c>
      <c r="BJ72" s="7">
        <v>10</v>
      </c>
      <c r="BK72" s="7">
        <v>10</v>
      </c>
      <c r="BL72" s="7">
        <v>100</v>
      </c>
      <c r="BM72" s="7">
        <v>100</v>
      </c>
      <c r="BN72" s="7">
        <v>100</v>
      </c>
      <c r="BO72" s="7">
        <v>100</v>
      </c>
      <c r="BP72" s="6">
        <v>14.4906528718369</v>
      </c>
      <c r="BQ72" s="6">
        <v>0.83413238004554802</v>
      </c>
      <c r="BR72" s="6">
        <v>2.80543908591283</v>
      </c>
      <c r="BS72" s="6">
        <v>5.5982326311745103</v>
      </c>
      <c r="BT72" s="6">
        <v>7.9605877865570802</v>
      </c>
      <c r="BU72" s="6">
        <v>63.242180757173301</v>
      </c>
      <c r="BV72" s="6">
        <v>91.317396945247197</v>
      </c>
      <c r="BW72" s="6">
        <v>98.813401711686097</v>
      </c>
      <c r="BX72" s="6">
        <v>99.625255444375796</v>
      </c>
      <c r="BY72" s="6" t="str">
        <f>TRIM(Table1[[#This Row],[LA_Name]])</f>
        <v>Barnsley</v>
      </c>
      <c r="BZ72" s="7">
        <v>30.2401351721489</v>
      </c>
      <c r="CA72" s="7">
        <v>0.11697264309061201</v>
      </c>
      <c r="CB72" s="7">
        <v>0.66038565836437602</v>
      </c>
      <c r="CC72" s="7">
        <v>2.4043009315715298</v>
      </c>
      <c r="CD72" s="7">
        <v>6.6595949640568204</v>
      </c>
      <c r="CE72" s="7">
        <v>11.1615967570397</v>
      </c>
      <c r="CF72" s="7">
        <v>46.881490514452402</v>
      </c>
      <c r="CG72" s="7">
        <v>93.997962013263603</v>
      </c>
      <c r="CH72" s="7">
        <v>98.612387172933794</v>
      </c>
      <c r="CI72" s="7">
        <v>24.3075441318942</v>
      </c>
      <c r="CJ72" s="7">
        <v>0.307429742356158</v>
      </c>
      <c r="CK72" s="7">
        <v>1.2186937952769901</v>
      </c>
      <c r="CL72" s="7">
        <v>2.2979748202840899</v>
      </c>
      <c r="CM72" s="7">
        <v>4.8386092689418598</v>
      </c>
      <c r="CN72" s="7">
        <v>20.4004699619687</v>
      </c>
      <c r="CO72" s="7">
        <v>74.172137491717194</v>
      </c>
      <c r="CP72" s="7">
        <v>95.349381086814901</v>
      </c>
      <c r="CQ72" s="7">
        <v>99.625255444375796</v>
      </c>
      <c r="CR72" s="7">
        <v>13.6888933926561</v>
      </c>
      <c r="CS72" s="7">
        <v>0.97012066440594902</v>
      </c>
      <c r="CT72" s="7">
        <v>7.1885304779245898</v>
      </c>
      <c r="CU72" s="7">
        <v>10</v>
      </c>
      <c r="CV72" s="7">
        <v>10</v>
      </c>
      <c r="CW72" s="7">
        <v>63.412569812182298</v>
      </c>
      <c r="CX72" s="7">
        <v>100</v>
      </c>
      <c r="CY72" s="7">
        <v>100</v>
      </c>
      <c r="CZ72" s="7">
        <v>100</v>
      </c>
      <c r="DA72" s="9">
        <v>61.021707875960601</v>
      </c>
      <c r="DB72" s="9">
        <v>8.5122139997438603E-2</v>
      </c>
      <c r="DC72" s="9">
        <v>0.27244430338161002</v>
      </c>
      <c r="DD72" s="9">
        <v>0.52493192790204302</v>
      </c>
      <c r="DE72" s="9">
        <v>0.77765898802265199</v>
      </c>
      <c r="DF72" s="9">
        <v>8.5122139997438602</v>
      </c>
      <c r="DG72" s="9">
        <v>19.031232425148499</v>
      </c>
      <c r="DH72" s="9">
        <v>32.511456715054898</v>
      </c>
      <c r="DI72" s="9">
        <v>46.283458340989696</v>
      </c>
    </row>
    <row r="73" spans="1:113">
      <c r="A73" s="5" t="s">
        <v>226</v>
      </c>
      <c r="B73" s="5" t="s">
        <v>257</v>
      </c>
      <c r="C73" s="5" t="s">
        <v>258</v>
      </c>
      <c r="D73" s="6">
        <v>224852</v>
      </c>
      <c r="E73" s="7">
        <v>7.92192260886016</v>
      </c>
      <c r="F73" s="7">
        <v>2.84132229199651</v>
      </c>
      <c r="G73" s="7">
        <v>9.4677699108747095</v>
      </c>
      <c r="H73" s="7">
        <v>9.9500649315994494</v>
      </c>
      <c r="I73" s="7">
        <v>9.9883345489477495</v>
      </c>
      <c r="J73" s="7">
        <v>89.057691281376194</v>
      </c>
      <c r="K73" s="7">
        <v>99.698913062814697</v>
      </c>
      <c r="L73" s="7">
        <v>99.885257858502499</v>
      </c>
      <c r="M73" s="7">
        <v>100</v>
      </c>
      <c r="N73" s="7">
        <v>8.2488438081548807</v>
      </c>
      <c r="O73" s="7">
        <v>5.6988507996370901</v>
      </c>
      <c r="P73" s="7">
        <v>9.5211828224787904</v>
      </c>
      <c r="Q73" s="7">
        <v>9.9969757885186699</v>
      </c>
      <c r="R73" s="7">
        <v>10</v>
      </c>
      <c r="S73" s="7">
        <v>94.677832529841893</v>
      </c>
      <c r="T73" s="7">
        <v>100</v>
      </c>
      <c r="U73" s="7">
        <v>100</v>
      </c>
      <c r="V73" s="7">
        <v>100</v>
      </c>
      <c r="W73" s="7">
        <v>6.7891450280378702</v>
      </c>
      <c r="X73" s="7">
        <v>9.4289488196680509</v>
      </c>
      <c r="Y73" s="7">
        <v>10</v>
      </c>
      <c r="Z73" s="7">
        <v>10</v>
      </c>
      <c r="AA73" s="7">
        <v>10</v>
      </c>
      <c r="AB73" s="7">
        <v>100</v>
      </c>
      <c r="AC73" s="7">
        <v>100</v>
      </c>
      <c r="AD73" s="7">
        <v>100</v>
      </c>
      <c r="AE73" s="7">
        <v>100</v>
      </c>
      <c r="AF73" s="6">
        <v>9.8965387038430297</v>
      </c>
      <c r="AG73" s="6">
        <v>2.1577037340117098</v>
      </c>
      <c r="AH73" s="6">
        <v>5.4954458932987</v>
      </c>
      <c r="AI73" s="6">
        <v>7.7260953871880202</v>
      </c>
      <c r="AJ73" s="6">
        <v>8.8442620034511599</v>
      </c>
      <c r="AK73" s="6">
        <v>84.546279330404005</v>
      </c>
      <c r="AL73" s="6">
        <v>95.600217031647503</v>
      </c>
      <c r="AM73" s="6">
        <v>97.204828064682502</v>
      </c>
      <c r="AN73" s="6">
        <v>98.5568284916301</v>
      </c>
      <c r="AO73" s="6">
        <v>13.044532980891899</v>
      </c>
      <c r="AP73" s="7">
        <v>1.0820228416914199</v>
      </c>
      <c r="AQ73" s="7">
        <v>6.2003584580079298</v>
      </c>
      <c r="AR73" s="7">
        <v>9.6057762439293395</v>
      </c>
      <c r="AS73" s="7">
        <v>9.9598002241474397</v>
      </c>
      <c r="AT73" s="7">
        <v>61.9905537864907</v>
      </c>
      <c r="AU73" s="7">
        <v>98.042267802821399</v>
      </c>
      <c r="AV73" s="7">
        <v>99.718036753064197</v>
      </c>
      <c r="AW73" s="7">
        <v>99.765623610196897</v>
      </c>
      <c r="AX73" s="7">
        <v>11.335052858141101</v>
      </c>
      <c r="AY73" s="7">
        <v>2.60476669097896</v>
      </c>
      <c r="AZ73" s="7">
        <v>7.7834753526764304</v>
      </c>
      <c r="BA73" s="7">
        <v>9.6736386600964206</v>
      </c>
      <c r="BB73" s="7">
        <v>10</v>
      </c>
      <c r="BC73" s="7">
        <v>82.236760180029506</v>
      </c>
      <c r="BD73" s="7">
        <v>99.681568320495302</v>
      </c>
      <c r="BE73" s="7">
        <v>100</v>
      </c>
      <c r="BF73" s="7">
        <v>100</v>
      </c>
      <c r="BG73" s="7">
        <v>8.2189461417244196</v>
      </c>
      <c r="BH73" s="7">
        <v>7.0242337181790697</v>
      </c>
      <c r="BI73" s="7">
        <v>10</v>
      </c>
      <c r="BJ73" s="7">
        <v>10</v>
      </c>
      <c r="BK73" s="7">
        <v>10</v>
      </c>
      <c r="BL73" s="7">
        <v>99.406720865280306</v>
      </c>
      <c r="BM73" s="7">
        <v>100</v>
      </c>
      <c r="BN73" s="7">
        <v>100</v>
      </c>
      <c r="BO73" s="7">
        <v>100</v>
      </c>
      <c r="BP73" s="6">
        <v>19.122674335732899</v>
      </c>
      <c r="BQ73" s="6">
        <v>0.78646843256897903</v>
      </c>
      <c r="BR73" s="6">
        <v>2.49665557789123</v>
      </c>
      <c r="BS73" s="6">
        <v>4.3237462864462</v>
      </c>
      <c r="BT73" s="6">
        <v>5.9809252308184897</v>
      </c>
      <c r="BU73" s="6">
        <v>51.564139967623099</v>
      </c>
      <c r="BV73" s="6">
        <v>82.141586465764107</v>
      </c>
      <c r="BW73" s="6">
        <v>91.0888050806753</v>
      </c>
      <c r="BX73" s="6">
        <v>94.487929838293596</v>
      </c>
      <c r="BY73" s="6" t="str">
        <f>TRIM(Table1[[#This Row],[LA_Name]])</f>
        <v>Doncaster</v>
      </c>
      <c r="BZ73" s="7">
        <v>31.1526847004248</v>
      </c>
      <c r="CA73" s="7">
        <v>0.125642644939783</v>
      </c>
      <c r="CB73" s="7">
        <v>0.895651361784641</v>
      </c>
      <c r="CC73" s="7">
        <v>2.65291391670966</v>
      </c>
      <c r="CD73" s="7">
        <v>5.5401286179353502</v>
      </c>
      <c r="CE73" s="7">
        <v>11.7993168839948</v>
      </c>
      <c r="CF73" s="7">
        <v>44.975806308149402</v>
      </c>
      <c r="CG73" s="7">
        <v>85.524255955028195</v>
      </c>
      <c r="CH73" s="7">
        <v>96.220180385320106</v>
      </c>
      <c r="CI73" s="7">
        <v>27.947304893035799</v>
      </c>
      <c r="CJ73" s="7">
        <v>0.38409709497803002</v>
      </c>
      <c r="CK73" s="7">
        <v>1.6625602618611399</v>
      </c>
      <c r="CL73" s="7">
        <v>2.9754816501521</v>
      </c>
      <c r="CM73" s="7">
        <v>4.4266584242079201</v>
      </c>
      <c r="CN73" s="7">
        <v>23.238841549107899</v>
      </c>
      <c r="CO73" s="7">
        <v>61.3141088360344</v>
      </c>
      <c r="CP73" s="7">
        <v>85.590077028445407</v>
      </c>
      <c r="CQ73" s="7">
        <v>94.230871862380596</v>
      </c>
      <c r="CR73" s="7">
        <v>15.111413367128</v>
      </c>
      <c r="CS73" s="7">
        <v>1.19026737587391</v>
      </c>
      <c r="CT73" s="7">
        <v>5.4620416985394797</v>
      </c>
      <c r="CU73" s="7">
        <v>9.9911408393076293</v>
      </c>
      <c r="CV73" s="7">
        <v>10</v>
      </c>
      <c r="CW73" s="7">
        <v>52.924145660256499</v>
      </c>
      <c r="CX73" s="7">
        <v>99.848789425933504</v>
      </c>
      <c r="CY73" s="7">
        <v>100</v>
      </c>
      <c r="CZ73" s="7">
        <v>100</v>
      </c>
      <c r="DA73" s="9">
        <v>66.161142363835495</v>
      </c>
      <c r="DB73" s="9">
        <v>0.114586483553626</v>
      </c>
      <c r="DC73" s="9">
        <v>0.367170405422233</v>
      </c>
      <c r="DD73" s="9">
        <v>0.692655613470194</v>
      </c>
      <c r="DE73" s="9">
        <v>1.15335865369221</v>
      </c>
      <c r="DF73" s="9">
        <v>11.058385071069001</v>
      </c>
      <c r="DG73" s="9">
        <v>22.116770142137899</v>
      </c>
      <c r="DH73" s="9">
        <v>30.9821571522602</v>
      </c>
      <c r="DI73" s="9">
        <v>48.172131001725603</v>
      </c>
    </row>
    <row r="74" spans="1:113">
      <c r="A74" s="5" t="s">
        <v>226</v>
      </c>
      <c r="B74" s="5" t="s">
        <v>259</v>
      </c>
      <c r="C74" s="5" t="s">
        <v>260</v>
      </c>
      <c r="D74" s="6">
        <v>190114</v>
      </c>
      <c r="E74" s="7">
        <v>7.6328229318177501</v>
      </c>
      <c r="F74" s="7">
        <v>2.76021755367832</v>
      </c>
      <c r="G74" s="7">
        <v>9.7343856843788501</v>
      </c>
      <c r="H74" s="7">
        <v>9.9906477166331804</v>
      </c>
      <c r="I74" s="7">
        <v>9.9956920584491407</v>
      </c>
      <c r="J74" s="7">
        <v>93.395015622205605</v>
      </c>
      <c r="K74" s="7">
        <v>99.875337955121694</v>
      </c>
      <c r="L74" s="7">
        <v>100</v>
      </c>
      <c r="M74" s="7">
        <v>100</v>
      </c>
      <c r="N74" s="7">
        <v>7.8014326187354799</v>
      </c>
      <c r="O74" s="7">
        <v>5.7936606457178303</v>
      </c>
      <c r="P74" s="7">
        <v>9.9932829775818703</v>
      </c>
      <c r="Q74" s="7">
        <v>10</v>
      </c>
      <c r="R74" s="7">
        <v>10</v>
      </c>
      <c r="S74" s="7">
        <v>99.337765761595705</v>
      </c>
      <c r="T74" s="7">
        <v>100</v>
      </c>
      <c r="U74" s="7">
        <v>100</v>
      </c>
      <c r="V74" s="7">
        <v>100</v>
      </c>
      <c r="W74" s="7">
        <v>6.6445507370374797</v>
      </c>
      <c r="X74" s="7">
        <v>9.8713876936995693</v>
      </c>
      <c r="Y74" s="7">
        <v>10</v>
      </c>
      <c r="Z74" s="7">
        <v>10</v>
      </c>
      <c r="AA74" s="7">
        <v>10</v>
      </c>
      <c r="AB74" s="7">
        <v>100</v>
      </c>
      <c r="AC74" s="7">
        <v>100</v>
      </c>
      <c r="AD74" s="7">
        <v>100</v>
      </c>
      <c r="AE74" s="7">
        <v>100</v>
      </c>
      <c r="AF74" s="6">
        <v>8.2348189472890194</v>
      </c>
      <c r="AG74" s="6">
        <v>2.1123115604321598</v>
      </c>
      <c r="AH74" s="6">
        <v>5.61595674174443</v>
      </c>
      <c r="AI74" s="6">
        <v>8.3774524758828903</v>
      </c>
      <c r="AJ74" s="6">
        <v>9.6587626371545507</v>
      </c>
      <c r="AK74" s="6">
        <v>88.862997990679304</v>
      </c>
      <c r="AL74" s="6">
        <v>99.117371682253804</v>
      </c>
      <c r="AM74" s="6">
        <v>99.8858579589089</v>
      </c>
      <c r="AN74" s="6">
        <v>100</v>
      </c>
      <c r="AO74" s="6">
        <v>12.3676675992008</v>
      </c>
      <c r="AP74" s="7">
        <v>1.1088189191748099</v>
      </c>
      <c r="AQ74" s="7">
        <v>7.1895283882302197</v>
      </c>
      <c r="AR74" s="7">
        <v>9.9661887078279392</v>
      </c>
      <c r="AS74" s="7">
        <v>9.9858348149005298</v>
      </c>
      <c r="AT74" s="7">
        <v>66.168193820549803</v>
      </c>
      <c r="AU74" s="7">
        <v>99.663359878809601</v>
      </c>
      <c r="AV74" s="7">
        <v>99.938457977844905</v>
      </c>
      <c r="AW74" s="7">
        <v>100</v>
      </c>
      <c r="AX74" s="7">
        <v>10.503302014934899</v>
      </c>
      <c r="AY74" s="7">
        <v>2.5127765445995598</v>
      </c>
      <c r="AZ74" s="7">
        <v>9.2322343436043592</v>
      </c>
      <c r="BA74" s="7">
        <v>10</v>
      </c>
      <c r="BB74" s="7">
        <v>10</v>
      </c>
      <c r="BC74" s="7">
        <v>88.166047739777198</v>
      </c>
      <c r="BD74" s="7">
        <v>100</v>
      </c>
      <c r="BE74" s="7">
        <v>100</v>
      </c>
      <c r="BF74" s="7">
        <v>100</v>
      </c>
      <c r="BG74" s="7">
        <v>7.8272979919915704</v>
      </c>
      <c r="BH74" s="7">
        <v>8.7302039828734301</v>
      </c>
      <c r="BI74" s="7">
        <v>10</v>
      </c>
      <c r="BJ74" s="7">
        <v>10</v>
      </c>
      <c r="BK74" s="7">
        <v>10</v>
      </c>
      <c r="BL74" s="7">
        <v>100</v>
      </c>
      <c r="BM74" s="7">
        <v>100</v>
      </c>
      <c r="BN74" s="7">
        <v>100</v>
      </c>
      <c r="BO74" s="7">
        <v>100</v>
      </c>
      <c r="BP74" s="6">
        <v>16.986366777497501</v>
      </c>
      <c r="BQ74" s="6">
        <v>0.76711341616082995</v>
      </c>
      <c r="BR74" s="6">
        <v>2.3202920353051302</v>
      </c>
      <c r="BS74" s="6">
        <v>4.4925150173054096</v>
      </c>
      <c r="BT74" s="6">
        <v>7.4343709563735398</v>
      </c>
      <c r="BU74" s="6">
        <v>52.279158820497202</v>
      </c>
      <c r="BV74" s="6">
        <v>86.379225096520997</v>
      </c>
      <c r="BW74" s="6">
        <v>96.663054798699704</v>
      </c>
      <c r="BX74" s="6">
        <v>99.8858579589089</v>
      </c>
      <c r="BY74" s="6" t="str">
        <f>TRIM(Table1[[#This Row],[LA_Name]])</f>
        <v>Rotherham</v>
      </c>
      <c r="BZ74" s="7">
        <v>27.825951238599501</v>
      </c>
      <c r="CA74" s="7">
        <v>0.10203877673396</v>
      </c>
      <c r="CB74" s="7">
        <v>1.0185572866806201</v>
      </c>
      <c r="CC74" s="7">
        <v>3.9707123094564301</v>
      </c>
      <c r="CD74" s="7">
        <v>8.1006133162207892</v>
      </c>
      <c r="CE74" s="7">
        <v>10.203877673396001</v>
      </c>
      <c r="CF74" s="7">
        <v>59.664201479112499</v>
      </c>
      <c r="CG74" s="7">
        <v>95.019830207138895</v>
      </c>
      <c r="CH74" s="7">
        <v>99.735947904941199</v>
      </c>
      <c r="CI74" s="7">
        <v>24.465539270281202</v>
      </c>
      <c r="CJ74" s="7">
        <v>0.33403116025121798</v>
      </c>
      <c r="CK74" s="7">
        <v>2.04153297495187</v>
      </c>
      <c r="CL74" s="7">
        <v>5.06683884406198</v>
      </c>
      <c r="CM74" s="7">
        <v>8.3471127849606006</v>
      </c>
      <c r="CN74" s="7">
        <v>28.4218942318819</v>
      </c>
      <c r="CO74" s="7">
        <v>71.201489632536294</v>
      </c>
      <c r="CP74" s="7">
        <v>86.782141241570798</v>
      </c>
      <c r="CQ74" s="7">
        <v>100</v>
      </c>
      <c r="CR74" s="7">
        <v>13.7779045921513</v>
      </c>
      <c r="CS74" s="7">
        <v>1.5493756377752299</v>
      </c>
      <c r="CT74" s="7">
        <v>9.35690690848649</v>
      </c>
      <c r="CU74" s="7">
        <v>10</v>
      </c>
      <c r="CV74" s="7">
        <v>10</v>
      </c>
      <c r="CW74" s="7">
        <v>64.436075196987105</v>
      </c>
      <c r="CX74" s="7">
        <v>100</v>
      </c>
      <c r="CY74" s="7">
        <v>100</v>
      </c>
      <c r="CZ74" s="7">
        <v>100</v>
      </c>
      <c r="DA74" s="9">
        <v>59.288371865859403</v>
      </c>
      <c r="DB74" s="9">
        <v>8.0556929000494396E-2</v>
      </c>
      <c r="DC74" s="9">
        <v>0.30880945117140202</v>
      </c>
      <c r="DD74" s="9">
        <v>0.70934807536530697</v>
      </c>
      <c r="DE74" s="9">
        <v>1.27895894042522</v>
      </c>
      <c r="DF74" s="9">
        <v>8.0556929000494399</v>
      </c>
      <c r="DG74" s="9">
        <v>27.170013781205</v>
      </c>
      <c r="DH74" s="9">
        <v>43.338207601754704</v>
      </c>
      <c r="DI74" s="9">
        <v>59.282325341637097</v>
      </c>
    </row>
    <row r="75" spans="1:113">
      <c r="A75" s="5" t="s">
        <v>226</v>
      </c>
      <c r="B75" s="5" t="s">
        <v>261</v>
      </c>
      <c r="C75" s="5" t="s">
        <v>262</v>
      </c>
      <c r="D75" s="6">
        <v>433668</v>
      </c>
      <c r="E75" s="7">
        <v>6.4841088898724903</v>
      </c>
      <c r="F75" s="7">
        <v>4.2968561203501299</v>
      </c>
      <c r="G75" s="7">
        <v>9.8388214025475698</v>
      </c>
      <c r="H75" s="7">
        <v>9.9865772895394596</v>
      </c>
      <c r="I75" s="7">
        <v>9.9941083962847195</v>
      </c>
      <c r="J75" s="7">
        <v>98.361880516893095</v>
      </c>
      <c r="K75" s="7">
        <v>99.937970982410505</v>
      </c>
      <c r="L75" s="7">
        <v>100</v>
      </c>
      <c r="M75" s="7">
        <v>100</v>
      </c>
      <c r="N75" s="7">
        <v>7.2917312497872402</v>
      </c>
      <c r="O75" s="7">
        <v>8.84526642500715</v>
      </c>
      <c r="P75" s="7">
        <v>9.9482207587371008</v>
      </c>
      <c r="Q75" s="7">
        <v>10</v>
      </c>
      <c r="R75" s="7">
        <v>10</v>
      </c>
      <c r="S75" s="7">
        <v>99.798002158333105</v>
      </c>
      <c r="T75" s="7">
        <v>100</v>
      </c>
      <c r="U75" s="7">
        <v>100</v>
      </c>
      <c r="V75" s="7">
        <v>100</v>
      </c>
      <c r="W75" s="7">
        <v>6.5107534292184797</v>
      </c>
      <c r="X75" s="7">
        <v>9.9302738500419707</v>
      </c>
      <c r="Y75" s="7">
        <v>10</v>
      </c>
      <c r="Z75" s="7">
        <v>10</v>
      </c>
      <c r="AA75" s="7">
        <v>10</v>
      </c>
      <c r="AB75" s="7">
        <v>100</v>
      </c>
      <c r="AC75" s="7">
        <v>100</v>
      </c>
      <c r="AD75" s="7">
        <v>100</v>
      </c>
      <c r="AE75" s="7">
        <v>100</v>
      </c>
      <c r="AF75" s="6">
        <v>6.6813183196835402</v>
      </c>
      <c r="AG75" s="6">
        <v>3.3710465148454598</v>
      </c>
      <c r="AH75" s="6">
        <v>8.8698105463165398</v>
      </c>
      <c r="AI75" s="6">
        <v>9.7658531411125598</v>
      </c>
      <c r="AJ75" s="6">
        <v>9.8627452336810606</v>
      </c>
      <c r="AK75" s="6">
        <v>97.0668806552478</v>
      </c>
      <c r="AL75" s="6">
        <v>99.706226883237903</v>
      </c>
      <c r="AM75" s="6">
        <v>99.912144774343503</v>
      </c>
      <c r="AN75" s="6">
        <v>99.937970982410505</v>
      </c>
      <c r="AO75" s="6">
        <v>10.854192018965801</v>
      </c>
      <c r="AP75" s="7">
        <v>2.2810075910604399</v>
      </c>
      <c r="AQ75" s="7">
        <v>8.6897050278092909</v>
      </c>
      <c r="AR75" s="7">
        <v>9.8839872898161705</v>
      </c>
      <c r="AS75" s="7">
        <v>9.9844512391967992</v>
      </c>
      <c r="AT75" s="7">
        <v>76.097613842847494</v>
      </c>
      <c r="AU75" s="7">
        <v>99.660108654546804</v>
      </c>
      <c r="AV75" s="7">
        <v>99.852652259332004</v>
      </c>
      <c r="AW75" s="7">
        <v>100</v>
      </c>
      <c r="AX75" s="7">
        <v>9.2979925052955394</v>
      </c>
      <c r="AY75" s="7">
        <v>5.3222603466246099</v>
      </c>
      <c r="AZ75" s="7">
        <v>9.6593200328361792</v>
      </c>
      <c r="BA75" s="7">
        <v>9.9535635555309607</v>
      </c>
      <c r="BB75" s="7">
        <v>10</v>
      </c>
      <c r="BC75" s="7">
        <v>95.5362166449911</v>
      </c>
      <c r="BD75" s="7">
        <v>99.937970982410505</v>
      </c>
      <c r="BE75" s="7">
        <v>100</v>
      </c>
      <c r="BF75" s="7">
        <v>100</v>
      </c>
      <c r="BG75" s="7">
        <v>7.5174340017188204</v>
      </c>
      <c r="BH75" s="7">
        <v>9.4290793879188701</v>
      </c>
      <c r="BI75" s="7">
        <v>10</v>
      </c>
      <c r="BJ75" s="7">
        <v>10</v>
      </c>
      <c r="BK75" s="7">
        <v>10</v>
      </c>
      <c r="BL75" s="7">
        <v>99.797079793759295</v>
      </c>
      <c r="BM75" s="7">
        <v>100</v>
      </c>
      <c r="BN75" s="7">
        <v>100</v>
      </c>
      <c r="BO75" s="7">
        <v>100</v>
      </c>
      <c r="BP75" s="6">
        <v>13.0103660855456</v>
      </c>
      <c r="BQ75" s="6">
        <v>1.8059829178080899</v>
      </c>
      <c r="BR75" s="6">
        <v>5.1953037807723899</v>
      </c>
      <c r="BS75" s="6">
        <v>7.6729202984771803</v>
      </c>
      <c r="BT75" s="6">
        <v>9.1949279172085596</v>
      </c>
      <c r="BU75" s="6">
        <v>66.931846481640306</v>
      </c>
      <c r="BV75" s="6">
        <v>93.989411254692499</v>
      </c>
      <c r="BW75" s="6">
        <v>99.321600855954301</v>
      </c>
      <c r="BX75" s="6">
        <v>99.771253585692307</v>
      </c>
      <c r="BY75" s="6" t="str">
        <f>TRIM(Table1[[#This Row],[LA_Name]])</f>
        <v>Sheffield</v>
      </c>
      <c r="BZ75" s="7">
        <v>22.120936482802499</v>
      </c>
      <c r="CA75" s="7">
        <v>0.53823892931920303</v>
      </c>
      <c r="CB75" s="7">
        <v>3.5614848224909399</v>
      </c>
      <c r="CC75" s="7">
        <v>8.0025572557809195</v>
      </c>
      <c r="CD75" s="7">
        <v>9.7228179160094808</v>
      </c>
      <c r="CE75" s="7">
        <v>26.005377385465401</v>
      </c>
      <c r="CF75" s="7">
        <v>75.654187073982897</v>
      </c>
      <c r="CG75" s="7">
        <v>98.164263906951902</v>
      </c>
      <c r="CH75" s="7">
        <v>99.826826051265002</v>
      </c>
      <c r="CI75" s="7">
        <v>18.2280443623651</v>
      </c>
      <c r="CJ75" s="7">
        <v>1.69288257376611</v>
      </c>
      <c r="CK75" s="7">
        <v>6.7928507521883104</v>
      </c>
      <c r="CL75" s="7">
        <v>9.2190731158397696</v>
      </c>
      <c r="CM75" s="7">
        <v>9.8803600911296208</v>
      </c>
      <c r="CN75" s="7">
        <v>46.8480496601087</v>
      </c>
      <c r="CO75" s="7">
        <v>84.801737734857099</v>
      </c>
      <c r="CP75" s="7">
        <v>98.991855520813203</v>
      </c>
      <c r="CQ75" s="7">
        <v>100</v>
      </c>
      <c r="CR75" s="7">
        <v>12.0447927475794</v>
      </c>
      <c r="CS75" s="7">
        <v>4.1668073272641699</v>
      </c>
      <c r="CT75" s="7">
        <v>9.95317846832139</v>
      </c>
      <c r="CU75" s="7">
        <v>10</v>
      </c>
      <c r="CV75" s="7">
        <v>10</v>
      </c>
      <c r="CW75" s="7">
        <v>75.009223645738203</v>
      </c>
      <c r="CX75" s="7">
        <v>100</v>
      </c>
      <c r="CY75" s="7">
        <v>100</v>
      </c>
      <c r="CZ75" s="7">
        <v>100</v>
      </c>
      <c r="DA75" s="9">
        <v>41.705357913007497</v>
      </c>
      <c r="DB75" s="9">
        <v>0.46001780163627498</v>
      </c>
      <c r="DC75" s="9">
        <v>1.5343119621461601</v>
      </c>
      <c r="DD75" s="9">
        <v>2.9035737015412701</v>
      </c>
      <c r="DE75" s="9">
        <v>4.6287828477083899</v>
      </c>
      <c r="DF75" s="9">
        <v>23.130828191150801</v>
      </c>
      <c r="DG75" s="9">
        <v>44.975649575251097</v>
      </c>
      <c r="DH75" s="9">
        <v>62.9156405360783</v>
      </c>
      <c r="DI75" s="9">
        <v>76.539887655994903</v>
      </c>
    </row>
    <row r="76" spans="1:113">
      <c r="A76" s="5" t="s">
        <v>226</v>
      </c>
      <c r="B76" s="5" t="s">
        <v>263</v>
      </c>
      <c r="C76" s="5" t="s">
        <v>264</v>
      </c>
      <c r="D76" s="6">
        <v>1678571</v>
      </c>
      <c r="E76" s="7">
        <v>7.3328387276185696</v>
      </c>
      <c r="F76" s="7">
        <v>3.5655191231112702</v>
      </c>
      <c r="G76" s="7">
        <v>9.6921291979904307</v>
      </c>
      <c r="H76" s="7">
        <v>9.9907331891233699</v>
      </c>
      <c r="I76" s="7">
        <v>9.9984534464136505</v>
      </c>
      <c r="J76" s="7">
        <v>93.913215467203898</v>
      </c>
      <c r="K76" s="7">
        <v>99.953472328546098</v>
      </c>
      <c r="L76" s="7">
        <v>100</v>
      </c>
      <c r="M76" s="7">
        <v>100</v>
      </c>
      <c r="N76" s="7">
        <v>7.6898259079070499</v>
      </c>
      <c r="O76" s="7">
        <v>7.2816627953181596</v>
      </c>
      <c r="P76" s="7">
        <v>9.9202333413361696</v>
      </c>
      <c r="Q76" s="7">
        <v>10</v>
      </c>
      <c r="R76" s="7">
        <v>10</v>
      </c>
      <c r="S76" s="7">
        <v>99.281353008004999</v>
      </c>
      <c r="T76" s="7">
        <v>100</v>
      </c>
      <c r="U76" s="7">
        <v>100</v>
      </c>
      <c r="V76" s="7">
        <v>100</v>
      </c>
      <c r="W76" s="7">
        <v>6.5985271964983596</v>
      </c>
      <c r="X76" s="7">
        <v>9.8966025267921296</v>
      </c>
      <c r="Y76" s="7">
        <v>10</v>
      </c>
      <c r="Z76" s="7">
        <v>10</v>
      </c>
      <c r="AA76" s="7">
        <v>10</v>
      </c>
      <c r="AB76" s="7">
        <v>100</v>
      </c>
      <c r="AC76" s="7">
        <v>100</v>
      </c>
      <c r="AD76" s="7">
        <v>100</v>
      </c>
      <c r="AE76" s="7">
        <v>100</v>
      </c>
      <c r="AF76" s="6">
        <v>7.9248844174002704</v>
      </c>
      <c r="AG76" s="6">
        <v>2.6646004250043598</v>
      </c>
      <c r="AH76" s="6">
        <v>7.1442345900173398</v>
      </c>
      <c r="AI76" s="6">
        <v>9.0400924357682797</v>
      </c>
      <c r="AJ76" s="6">
        <v>9.6416064616867594</v>
      </c>
      <c r="AK76" s="6">
        <v>89.492073912869898</v>
      </c>
      <c r="AL76" s="6">
        <v>99.244238104911901</v>
      </c>
      <c r="AM76" s="6">
        <v>99.924876576564202</v>
      </c>
      <c r="AN76" s="6">
        <v>100</v>
      </c>
      <c r="AO76" s="6">
        <v>10.631930245228</v>
      </c>
      <c r="AP76" s="7">
        <v>1.97098186493154</v>
      </c>
      <c r="AQ76" s="7">
        <v>8.6228166696553199</v>
      </c>
      <c r="AR76" s="7">
        <v>9.9112125730755505</v>
      </c>
      <c r="AS76" s="7">
        <v>9.9945447645646208</v>
      </c>
      <c r="AT76" s="7">
        <v>77.760904960231102</v>
      </c>
      <c r="AU76" s="7">
        <v>99.773319091060202</v>
      </c>
      <c r="AV76" s="7">
        <v>99.991897870271799</v>
      </c>
      <c r="AW76" s="7">
        <v>100</v>
      </c>
      <c r="AX76" s="7">
        <v>9.4117159361707703</v>
      </c>
      <c r="AY76" s="7">
        <v>5.0892229163973397</v>
      </c>
      <c r="AZ76" s="7">
        <v>9.3936086111341108</v>
      </c>
      <c r="BA76" s="7">
        <v>9.9456674754895698</v>
      </c>
      <c r="BB76" s="7">
        <v>10</v>
      </c>
      <c r="BC76" s="7">
        <v>93.009053534226396</v>
      </c>
      <c r="BD76" s="7">
        <v>100</v>
      </c>
      <c r="BE76" s="7">
        <v>100</v>
      </c>
      <c r="BF76" s="7">
        <v>100</v>
      </c>
      <c r="BG76" s="7">
        <v>7.4408062222764002</v>
      </c>
      <c r="BH76" s="7">
        <v>9.1028207922095596</v>
      </c>
      <c r="BI76" s="7">
        <v>10</v>
      </c>
      <c r="BJ76" s="7">
        <v>10</v>
      </c>
      <c r="BK76" s="7">
        <v>10</v>
      </c>
      <c r="BL76" s="7">
        <v>100</v>
      </c>
      <c r="BM76" s="7">
        <v>100</v>
      </c>
      <c r="BN76" s="7">
        <v>100</v>
      </c>
      <c r="BO76" s="7">
        <v>100</v>
      </c>
      <c r="BP76" s="6">
        <v>13.407614342549801</v>
      </c>
      <c r="BQ76" s="6">
        <v>1.4544585841170901</v>
      </c>
      <c r="BR76" s="6">
        <v>4.8864927369768703</v>
      </c>
      <c r="BS76" s="6">
        <v>7.3621771137473502</v>
      </c>
      <c r="BT76" s="6">
        <v>8.5802941907134098</v>
      </c>
      <c r="BU76" s="6">
        <v>68.540562180569097</v>
      </c>
      <c r="BV76" s="6">
        <v>92.529121496797003</v>
      </c>
      <c r="BW76" s="6">
        <v>97.668493021742904</v>
      </c>
      <c r="BX76" s="6">
        <v>99.422365809965697</v>
      </c>
      <c r="BY76" s="6" t="str">
        <f>TRIM(Table1[[#This Row],[LA_Name]])</f>
        <v>West Yorkshire (Met County)</v>
      </c>
      <c r="BZ76" s="7">
        <v>25.026799173397201</v>
      </c>
      <c r="CA76" s="7">
        <v>0.23795537990350099</v>
      </c>
      <c r="CB76" s="7">
        <v>2.0708757627767902</v>
      </c>
      <c r="CC76" s="7">
        <v>5.3945629943565097</v>
      </c>
      <c r="CD76" s="7">
        <v>8.4767930579046098</v>
      </c>
      <c r="CE76" s="7">
        <v>16.6547021246048</v>
      </c>
      <c r="CF76" s="7">
        <v>70.383379672352206</v>
      </c>
      <c r="CG76" s="7">
        <v>96.387343758470706</v>
      </c>
      <c r="CH76" s="7">
        <v>99.5372254137597</v>
      </c>
      <c r="CI76" s="7">
        <v>20.3628207013655</v>
      </c>
      <c r="CJ76" s="7">
        <v>0.83678200088051102</v>
      </c>
      <c r="CK76" s="7">
        <v>3.4704489711784601</v>
      </c>
      <c r="CL76" s="7">
        <v>5.75232980910548</v>
      </c>
      <c r="CM76" s="7">
        <v>7.8809963951480198</v>
      </c>
      <c r="CN76" s="7">
        <v>36.519217834693897</v>
      </c>
      <c r="CO76" s="7">
        <v>84.681255663299297</v>
      </c>
      <c r="CP76" s="7">
        <v>95.862135113736599</v>
      </c>
      <c r="CQ76" s="7">
        <v>99.616936072409203</v>
      </c>
      <c r="CR76" s="7">
        <v>12.6834343082204</v>
      </c>
      <c r="CS76" s="7">
        <v>2.47250548234183</v>
      </c>
      <c r="CT76" s="7">
        <v>8.1522646346207601</v>
      </c>
      <c r="CU76" s="7">
        <v>9.9517065408612506</v>
      </c>
      <c r="CV76" s="7">
        <v>10</v>
      </c>
      <c r="CW76" s="7">
        <v>74.784742498232106</v>
      </c>
      <c r="CX76" s="7">
        <v>99.902476570845096</v>
      </c>
      <c r="CY76" s="7">
        <v>100</v>
      </c>
      <c r="CZ76" s="7">
        <v>100</v>
      </c>
      <c r="DA76" s="9">
        <v>47.705382276813197</v>
      </c>
      <c r="DB76" s="9">
        <v>0.18593851555877</v>
      </c>
      <c r="DC76" s="9">
        <v>0.76476836547277405</v>
      </c>
      <c r="DD76" s="9">
        <v>1.59149300208332</v>
      </c>
      <c r="DE76" s="9">
        <v>2.4164286169604998</v>
      </c>
      <c r="DF76" s="9">
        <v>13.067424612959501</v>
      </c>
      <c r="DG76" s="9">
        <v>34.2333449106413</v>
      </c>
      <c r="DH76" s="9">
        <v>53.5483455868116</v>
      </c>
      <c r="DI76" s="9">
        <v>69.862281666965501</v>
      </c>
    </row>
    <row r="77" spans="1:113">
      <c r="A77" s="5" t="s">
        <v>226</v>
      </c>
      <c r="B77" s="5" t="s">
        <v>265</v>
      </c>
      <c r="C77" s="5" t="s">
        <v>266</v>
      </c>
      <c r="D77" s="6">
        <v>375662</v>
      </c>
      <c r="E77" s="7">
        <v>6.6708323635465696</v>
      </c>
      <c r="F77" s="7">
        <v>4.1676613551543698</v>
      </c>
      <c r="G77" s="7">
        <v>9.6866784503090493</v>
      </c>
      <c r="H77" s="7">
        <v>9.9941276999004405</v>
      </c>
      <c r="I77" s="7">
        <v>9.9954533596690602</v>
      </c>
      <c r="J77" s="7">
        <v>95.375630220783606</v>
      </c>
      <c r="K77" s="7">
        <v>99.935047995272299</v>
      </c>
      <c r="L77" s="7">
        <v>100</v>
      </c>
      <c r="M77" s="7">
        <v>100</v>
      </c>
      <c r="N77" s="7">
        <v>7.3560703740914404</v>
      </c>
      <c r="O77" s="7">
        <v>7.7977304065888999</v>
      </c>
      <c r="P77" s="7">
        <v>9.9805569900602098</v>
      </c>
      <c r="Q77" s="7">
        <v>10</v>
      </c>
      <c r="R77" s="7">
        <v>10</v>
      </c>
      <c r="S77" s="7">
        <v>99.801151034706706</v>
      </c>
      <c r="T77" s="7">
        <v>100</v>
      </c>
      <c r="U77" s="7">
        <v>100</v>
      </c>
      <c r="V77" s="7">
        <v>100</v>
      </c>
      <c r="W77" s="7">
        <v>6.4253774646302997</v>
      </c>
      <c r="X77" s="7">
        <v>9.9518769532185907</v>
      </c>
      <c r="Y77" s="7">
        <v>10</v>
      </c>
      <c r="Z77" s="7">
        <v>10</v>
      </c>
      <c r="AA77" s="7">
        <v>10</v>
      </c>
      <c r="AB77" s="7">
        <v>100</v>
      </c>
      <c r="AC77" s="7">
        <v>100</v>
      </c>
      <c r="AD77" s="7">
        <v>100</v>
      </c>
      <c r="AE77" s="7">
        <v>100</v>
      </c>
      <c r="AF77" s="6">
        <v>6.9164889677817198</v>
      </c>
      <c r="AG77" s="6">
        <v>3.1916004280443602</v>
      </c>
      <c r="AH77" s="6">
        <v>7.7152067550084897</v>
      </c>
      <c r="AI77" s="6">
        <v>9.2372398592351601</v>
      </c>
      <c r="AJ77" s="6">
        <v>9.7150896284425894</v>
      </c>
      <c r="AK77" s="6">
        <v>93.608350059361896</v>
      </c>
      <c r="AL77" s="6">
        <v>99.726349750573604</v>
      </c>
      <c r="AM77" s="6">
        <v>100</v>
      </c>
      <c r="AN77" s="6">
        <v>100</v>
      </c>
      <c r="AO77" s="6">
        <v>10.5174219649312</v>
      </c>
      <c r="AP77" s="7">
        <v>2.0165388034988898</v>
      </c>
      <c r="AQ77" s="7">
        <v>8.7879742960427194</v>
      </c>
      <c r="AR77" s="7">
        <v>9.9595088137740806</v>
      </c>
      <c r="AS77" s="7">
        <v>9.9934648700161297</v>
      </c>
      <c r="AT77" s="7">
        <v>77.880381832604797</v>
      </c>
      <c r="AU77" s="7">
        <v>99.681096304656805</v>
      </c>
      <c r="AV77" s="7">
        <v>100</v>
      </c>
      <c r="AW77" s="7">
        <v>100</v>
      </c>
      <c r="AX77" s="7">
        <v>9.3014055237625204</v>
      </c>
      <c r="AY77" s="7">
        <v>5.6772896912650204</v>
      </c>
      <c r="AZ77" s="7">
        <v>9.5950881377408397</v>
      </c>
      <c r="BA77" s="7">
        <v>9.9256379404890591</v>
      </c>
      <c r="BB77" s="7">
        <v>10</v>
      </c>
      <c r="BC77" s="7">
        <v>93.205061997220895</v>
      </c>
      <c r="BD77" s="7">
        <v>100</v>
      </c>
      <c r="BE77" s="7">
        <v>100</v>
      </c>
      <c r="BF77" s="7">
        <v>100</v>
      </c>
      <c r="BG77" s="7">
        <v>7.3317595557582704</v>
      </c>
      <c r="BH77" s="7">
        <v>9.2874605363331906</v>
      </c>
      <c r="BI77" s="7">
        <v>10</v>
      </c>
      <c r="BJ77" s="7">
        <v>10</v>
      </c>
      <c r="BK77" s="7">
        <v>10</v>
      </c>
      <c r="BL77" s="7">
        <v>100</v>
      </c>
      <c r="BM77" s="7">
        <v>100</v>
      </c>
      <c r="BN77" s="7">
        <v>100</v>
      </c>
      <c r="BO77" s="7">
        <v>100</v>
      </c>
      <c r="BP77" s="6">
        <v>13.227889745855499</v>
      </c>
      <c r="BQ77" s="6">
        <v>1.5451922206664499</v>
      </c>
      <c r="BR77" s="6">
        <v>5.4517970941963796</v>
      </c>
      <c r="BS77" s="6">
        <v>7.9045471727244196</v>
      </c>
      <c r="BT77" s="6">
        <v>8.8715041713029308</v>
      </c>
      <c r="BU77" s="6">
        <v>70.352338005973493</v>
      </c>
      <c r="BV77" s="6">
        <v>93.011536966741403</v>
      </c>
      <c r="BW77" s="6">
        <v>96.933147350543805</v>
      </c>
      <c r="BX77" s="6">
        <v>98.6674191161203</v>
      </c>
      <c r="BY77" s="6" t="str">
        <f>TRIM(Table1[[#This Row],[LA_Name]])</f>
        <v>Bradford</v>
      </c>
      <c r="BZ77" s="7">
        <v>25.625358412271702</v>
      </c>
      <c r="CA77" s="7">
        <v>0.16899233885780299</v>
      </c>
      <c r="CB77" s="7">
        <v>1.5746735096975499</v>
      </c>
      <c r="CC77" s="7">
        <v>4.5290819939200704</v>
      </c>
      <c r="CD77" s="7">
        <v>8.4716686808886692</v>
      </c>
      <c r="CE77" s="7">
        <v>14.1976031645469</v>
      </c>
      <c r="CF77" s="7">
        <v>71.464241791823497</v>
      </c>
      <c r="CG77" s="7">
        <v>95.1280672519446</v>
      </c>
      <c r="CH77" s="7">
        <v>99.372041888719096</v>
      </c>
      <c r="CI77" s="7">
        <v>20.3836333472732</v>
      </c>
      <c r="CJ77" s="7">
        <v>0.64652001000899795</v>
      </c>
      <c r="CK77" s="7">
        <v>3.02710149016935</v>
      </c>
      <c r="CL77" s="7">
        <v>4.7307952361431296</v>
      </c>
      <c r="CM77" s="7">
        <v>7.3720871421650296</v>
      </c>
      <c r="CN77" s="7">
        <v>36.683508047127503</v>
      </c>
      <c r="CO77" s="7">
        <v>84.512673626824096</v>
      </c>
      <c r="CP77" s="7">
        <v>95.490361016019705</v>
      </c>
      <c r="CQ77" s="7">
        <v>100</v>
      </c>
      <c r="CR77" s="7">
        <v>12.720003291416401</v>
      </c>
      <c r="CS77" s="7">
        <v>2.0959586010828901</v>
      </c>
      <c r="CT77" s="7">
        <v>7.37932769351172</v>
      </c>
      <c r="CU77" s="7">
        <v>9.9369166963919699</v>
      </c>
      <c r="CV77" s="7">
        <v>10</v>
      </c>
      <c r="CW77" s="7">
        <v>77.427048783214701</v>
      </c>
      <c r="CX77" s="7">
        <v>100</v>
      </c>
      <c r="CY77" s="7">
        <v>100</v>
      </c>
      <c r="CZ77" s="7">
        <v>100</v>
      </c>
      <c r="DA77" s="9">
        <v>47.357109208204399</v>
      </c>
      <c r="DB77" s="9">
        <v>0.13113650036468999</v>
      </c>
      <c r="DC77" s="9">
        <v>0.56055709653890995</v>
      </c>
      <c r="DD77" s="9">
        <v>1.2577795997465799</v>
      </c>
      <c r="DE77" s="9">
        <v>2.0709307835234898</v>
      </c>
      <c r="DF77" s="9">
        <v>11.202889831816901</v>
      </c>
      <c r="DG77" s="9">
        <v>34.621814290505803</v>
      </c>
      <c r="DH77" s="9">
        <v>54.734575229860901</v>
      </c>
      <c r="DI77" s="9">
        <v>73.871725114597695</v>
      </c>
    </row>
    <row r="78" spans="1:113">
      <c r="A78" s="5" t="s">
        <v>226</v>
      </c>
      <c r="B78" s="5" t="s">
        <v>267</v>
      </c>
      <c r="C78" s="5" t="s">
        <v>268</v>
      </c>
      <c r="D78" s="6">
        <v>152768</v>
      </c>
      <c r="E78" s="7">
        <v>7.8375922318486602</v>
      </c>
      <c r="F78" s="7">
        <v>3.05677236070381</v>
      </c>
      <c r="G78" s="7">
        <v>9.2710842584834499</v>
      </c>
      <c r="H78" s="7">
        <v>9.96482902178467</v>
      </c>
      <c r="I78" s="7">
        <v>10</v>
      </c>
      <c r="J78" s="7">
        <v>90.751335358190204</v>
      </c>
      <c r="K78" s="7">
        <v>99.829152702136597</v>
      </c>
      <c r="L78" s="7">
        <v>100</v>
      </c>
      <c r="M78" s="7">
        <v>100</v>
      </c>
      <c r="N78" s="7">
        <v>7.9325274960717298</v>
      </c>
      <c r="O78" s="7">
        <v>6.1581679409300403</v>
      </c>
      <c r="P78" s="7">
        <v>9.5556006493506498</v>
      </c>
      <c r="Q78" s="7">
        <v>10</v>
      </c>
      <c r="R78" s="7">
        <v>10</v>
      </c>
      <c r="S78" s="7">
        <v>98.438154587348095</v>
      </c>
      <c r="T78" s="7">
        <v>100</v>
      </c>
      <c r="U78" s="7">
        <v>100</v>
      </c>
      <c r="V78" s="7">
        <v>100</v>
      </c>
      <c r="W78" s="7">
        <v>6.6963748229776003</v>
      </c>
      <c r="X78" s="7">
        <v>9.4742812630917506</v>
      </c>
      <c r="Y78" s="7">
        <v>10</v>
      </c>
      <c r="Z78" s="7">
        <v>10</v>
      </c>
      <c r="AA78" s="7">
        <v>10</v>
      </c>
      <c r="AB78" s="7">
        <v>100</v>
      </c>
      <c r="AC78" s="7">
        <v>100</v>
      </c>
      <c r="AD78" s="7">
        <v>100</v>
      </c>
      <c r="AE78" s="7">
        <v>100</v>
      </c>
      <c r="AF78" s="6">
        <v>8.7410860203711707</v>
      </c>
      <c r="AG78" s="6">
        <v>2.01858373481357</v>
      </c>
      <c r="AH78" s="6">
        <v>5.9550887620444097</v>
      </c>
      <c r="AI78" s="6">
        <v>8.5103621177209892</v>
      </c>
      <c r="AJ78" s="6">
        <v>9.1605899141181393</v>
      </c>
      <c r="AK78" s="6">
        <v>84.447004608294904</v>
      </c>
      <c r="AL78" s="6">
        <v>98.436190825303697</v>
      </c>
      <c r="AM78" s="6">
        <v>99.809515081692496</v>
      </c>
      <c r="AN78" s="6">
        <v>100</v>
      </c>
      <c r="AO78" s="6">
        <v>11.1848595915573</v>
      </c>
      <c r="AP78" s="7">
        <v>1.93926738583997</v>
      </c>
      <c r="AQ78" s="7">
        <v>7.8996583054042704</v>
      </c>
      <c r="AR78" s="7">
        <v>9.8797719417679097</v>
      </c>
      <c r="AS78" s="7">
        <v>9.9950316820276495</v>
      </c>
      <c r="AT78" s="7">
        <v>71.577817343946407</v>
      </c>
      <c r="AU78" s="7">
        <v>99.605283829074196</v>
      </c>
      <c r="AV78" s="7">
        <v>100</v>
      </c>
      <c r="AW78" s="7">
        <v>100</v>
      </c>
      <c r="AX78" s="7">
        <v>9.8751757004812095</v>
      </c>
      <c r="AY78" s="7">
        <v>4.1546462609970698</v>
      </c>
      <c r="AZ78" s="7">
        <v>8.9220779220779196</v>
      </c>
      <c r="BA78" s="7">
        <v>9.8948012672811103</v>
      </c>
      <c r="BB78" s="7">
        <v>10</v>
      </c>
      <c r="BC78" s="7">
        <v>88.450460829493096</v>
      </c>
      <c r="BD78" s="7">
        <v>100</v>
      </c>
      <c r="BE78" s="7">
        <v>100</v>
      </c>
      <c r="BF78" s="7">
        <v>100</v>
      </c>
      <c r="BG78" s="7">
        <v>7.6213437403951403</v>
      </c>
      <c r="BH78" s="7">
        <v>8.7061230100544602</v>
      </c>
      <c r="BI78" s="7">
        <v>10</v>
      </c>
      <c r="BJ78" s="7">
        <v>10</v>
      </c>
      <c r="BK78" s="7">
        <v>10</v>
      </c>
      <c r="BL78" s="7">
        <v>100</v>
      </c>
      <c r="BM78" s="7">
        <v>100</v>
      </c>
      <c r="BN78" s="7">
        <v>100</v>
      </c>
      <c r="BO78" s="7">
        <v>100</v>
      </c>
      <c r="BP78" s="6">
        <v>14.994868761020999</v>
      </c>
      <c r="BQ78" s="6">
        <v>1.3680220988688701</v>
      </c>
      <c r="BR78" s="6">
        <v>3.9135028278173398</v>
      </c>
      <c r="BS78" s="6">
        <v>6.4728280791788899</v>
      </c>
      <c r="BT78" s="6">
        <v>8.1383012149141205</v>
      </c>
      <c r="BU78" s="6">
        <v>60.813128403854201</v>
      </c>
      <c r="BV78" s="6">
        <v>87.426686217008793</v>
      </c>
      <c r="BW78" s="6">
        <v>98.5527073732719</v>
      </c>
      <c r="BX78" s="6">
        <v>100</v>
      </c>
      <c r="BY78" s="6" t="str">
        <f>TRIM(Table1[[#This Row],[LA_Name]])</f>
        <v>Calderdale</v>
      </c>
      <c r="BZ78" s="7">
        <v>25.635245066362401</v>
      </c>
      <c r="CA78" s="7">
        <v>0.129523198575618</v>
      </c>
      <c r="CB78" s="7">
        <v>0.75750811688311703</v>
      </c>
      <c r="CC78" s="7">
        <v>2.1669066820276499</v>
      </c>
      <c r="CD78" s="7">
        <v>5.3520174382069499</v>
      </c>
      <c r="CE78" s="7">
        <v>12.9523198575618</v>
      </c>
      <c r="CF78" s="7">
        <v>70.389741307080001</v>
      </c>
      <c r="CG78" s="7">
        <v>93.453471931294501</v>
      </c>
      <c r="CH78" s="7">
        <v>99.268825932132401</v>
      </c>
      <c r="CI78" s="7">
        <v>23.330545790955401</v>
      </c>
      <c r="CJ78" s="7">
        <v>0.35470779220779203</v>
      </c>
      <c r="CK78" s="7">
        <v>1.13289432341852</v>
      </c>
      <c r="CL78" s="7">
        <v>2.7008339442815199</v>
      </c>
      <c r="CM78" s="7">
        <v>5.7911997276916596</v>
      </c>
      <c r="CN78" s="7">
        <v>35.4707792207792</v>
      </c>
      <c r="CO78" s="7">
        <v>79.070224130707999</v>
      </c>
      <c r="CP78" s="7">
        <v>87.5065458734814</v>
      </c>
      <c r="CQ78" s="7">
        <v>95.791003351487205</v>
      </c>
      <c r="CR78" s="7">
        <v>13.7679241721225</v>
      </c>
      <c r="CS78" s="7">
        <v>0.78837191034771703</v>
      </c>
      <c r="CT78" s="7">
        <v>5.4852914222873901</v>
      </c>
      <c r="CU78" s="7">
        <v>9.62448942186845</v>
      </c>
      <c r="CV78" s="7">
        <v>10</v>
      </c>
      <c r="CW78" s="7">
        <v>69.180063887725197</v>
      </c>
      <c r="CX78" s="7">
        <v>98.928440511101797</v>
      </c>
      <c r="CY78" s="7">
        <v>100</v>
      </c>
      <c r="CZ78" s="7">
        <v>100</v>
      </c>
      <c r="DA78" s="9">
        <v>53.8929235966081</v>
      </c>
      <c r="DB78" s="9">
        <v>9.9202712609970697E-2</v>
      </c>
      <c r="DC78" s="9">
        <v>0.32514008169250103</v>
      </c>
      <c r="DD78" s="9">
        <v>0.50152518852115602</v>
      </c>
      <c r="DE78" s="9">
        <v>0.676718946376204</v>
      </c>
      <c r="DF78" s="9">
        <v>9.9202712609970707</v>
      </c>
      <c r="DG78" s="9">
        <v>32.514008169250097</v>
      </c>
      <c r="DH78" s="9">
        <v>50.0065458734814</v>
      </c>
      <c r="DI78" s="9">
        <v>63.351618139924597</v>
      </c>
    </row>
    <row r="79" spans="1:113">
      <c r="A79" s="5" t="s">
        <v>226</v>
      </c>
      <c r="B79" s="5" t="s">
        <v>269</v>
      </c>
      <c r="C79" s="5" t="s">
        <v>270</v>
      </c>
      <c r="D79" s="6">
        <v>315447</v>
      </c>
      <c r="E79" s="7">
        <v>7.4720868243896703</v>
      </c>
      <c r="F79" s="7">
        <v>3.1635964203178299</v>
      </c>
      <c r="G79" s="7">
        <v>9.7144876952388195</v>
      </c>
      <c r="H79" s="7">
        <v>9.99274680057189</v>
      </c>
      <c r="I79" s="7">
        <v>10</v>
      </c>
      <c r="J79" s="7">
        <v>95.442657562126101</v>
      </c>
      <c r="K79" s="7">
        <v>100</v>
      </c>
      <c r="L79" s="7">
        <v>100</v>
      </c>
      <c r="M79" s="7">
        <v>100</v>
      </c>
      <c r="N79" s="7">
        <v>7.73952150074419</v>
      </c>
      <c r="O79" s="7">
        <v>7.3399303210999003</v>
      </c>
      <c r="P79" s="7">
        <v>9.9358244015635009</v>
      </c>
      <c r="Q79" s="7">
        <v>10</v>
      </c>
      <c r="R79" s="7">
        <v>10</v>
      </c>
      <c r="S79" s="7">
        <v>99.281971297872502</v>
      </c>
      <c r="T79" s="7">
        <v>100</v>
      </c>
      <c r="U79" s="7">
        <v>100</v>
      </c>
      <c r="V79" s="7">
        <v>100</v>
      </c>
      <c r="W79" s="7">
        <v>6.6019951272624597</v>
      </c>
      <c r="X79" s="7">
        <v>9.8889385538616601</v>
      </c>
      <c r="Y79" s="7">
        <v>10</v>
      </c>
      <c r="Z79" s="7">
        <v>10</v>
      </c>
      <c r="AA79" s="7">
        <v>10</v>
      </c>
      <c r="AB79" s="7">
        <v>100</v>
      </c>
      <c r="AC79" s="7">
        <v>100</v>
      </c>
      <c r="AD79" s="7">
        <v>100</v>
      </c>
      <c r="AE79" s="7">
        <v>100</v>
      </c>
      <c r="AF79" s="6">
        <v>8.0813710729957293</v>
      </c>
      <c r="AG79" s="6">
        <v>2.3139766743700201</v>
      </c>
      <c r="AH79" s="6">
        <v>7.2207565771746101</v>
      </c>
      <c r="AI79" s="6">
        <v>9.1053520876724097</v>
      </c>
      <c r="AJ79" s="6">
        <v>9.6589981835300396</v>
      </c>
      <c r="AK79" s="6">
        <v>89.776095508912704</v>
      </c>
      <c r="AL79" s="6">
        <v>99.265169743253196</v>
      </c>
      <c r="AM79" s="6">
        <v>100</v>
      </c>
      <c r="AN79" s="6">
        <v>100</v>
      </c>
      <c r="AO79" s="6">
        <v>10.627902637081201</v>
      </c>
      <c r="AP79" s="7">
        <v>1.7893211854923301</v>
      </c>
      <c r="AQ79" s="7">
        <v>8.4202354119709497</v>
      </c>
      <c r="AR79" s="7">
        <v>9.9006362400022798</v>
      </c>
      <c r="AS79" s="7">
        <v>9.9944966983360093</v>
      </c>
      <c r="AT79" s="7">
        <v>79.041170149026598</v>
      </c>
      <c r="AU79" s="7">
        <v>99.703278205213607</v>
      </c>
      <c r="AV79" s="7">
        <v>100</v>
      </c>
      <c r="AW79" s="7">
        <v>100</v>
      </c>
      <c r="AX79" s="7">
        <v>9.2758011754670697</v>
      </c>
      <c r="AY79" s="7">
        <v>4.7891278091089804</v>
      </c>
      <c r="AZ79" s="7">
        <v>9.3605550219212699</v>
      </c>
      <c r="BA79" s="7">
        <v>9.9923156663401507</v>
      </c>
      <c r="BB79" s="7">
        <v>10</v>
      </c>
      <c r="BC79" s="7">
        <v>95.142131641765502</v>
      </c>
      <c r="BD79" s="7">
        <v>100</v>
      </c>
      <c r="BE79" s="7">
        <v>100</v>
      </c>
      <c r="BF79" s="7">
        <v>100</v>
      </c>
      <c r="BG79" s="7">
        <v>7.3921666121365499</v>
      </c>
      <c r="BH79" s="7">
        <v>9.0879291925426493</v>
      </c>
      <c r="BI79" s="7">
        <v>10</v>
      </c>
      <c r="BJ79" s="7">
        <v>10</v>
      </c>
      <c r="BK79" s="7">
        <v>10</v>
      </c>
      <c r="BL79" s="7">
        <v>100</v>
      </c>
      <c r="BM79" s="7">
        <v>100</v>
      </c>
      <c r="BN79" s="7">
        <v>100</v>
      </c>
      <c r="BO79" s="7">
        <v>100</v>
      </c>
      <c r="BP79" s="6">
        <v>12.8684344996914</v>
      </c>
      <c r="BQ79" s="6">
        <v>1.27770116691552</v>
      </c>
      <c r="BR79" s="6">
        <v>4.5265100000951</v>
      </c>
      <c r="BS79" s="6">
        <v>7.4076215655878803</v>
      </c>
      <c r="BT79" s="6">
        <v>8.6880648730214602</v>
      </c>
      <c r="BU79" s="6">
        <v>68.371231934366193</v>
      </c>
      <c r="BV79" s="6">
        <v>94.784860848256599</v>
      </c>
      <c r="BW79" s="6">
        <v>98.716107618712499</v>
      </c>
      <c r="BX79" s="6">
        <v>99.839592704955194</v>
      </c>
      <c r="BY79" s="6" t="str">
        <f>TRIM(Table1[[#This Row],[LA_Name]])</f>
        <v>Kirklees</v>
      </c>
      <c r="BZ79" s="7">
        <v>28.411867713279701</v>
      </c>
      <c r="CA79" s="7">
        <v>8.9539605702384201E-2</v>
      </c>
      <c r="CB79" s="7">
        <v>0.84591389361762803</v>
      </c>
      <c r="CC79" s="7">
        <v>3.0502651792535702</v>
      </c>
      <c r="CD79" s="7">
        <v>7.6840483504360497</v>
      </c>
      <c r="CE79" s="7">
        <v>8.5833753372198807</v>
      </c>
      <c r="CF79" s="7">
        <v>57.917494856505201</v>
      </c>
      <c r="CG79" s="7">
        <v>95.223603331145995</v>
      </c>
      <c r="CH79" s="7">
        <v>99.522899250904302</v>
      </c>
      <c r="CI79" s="7">
        <v>21.7700993474614</v>
      </c>
      <c r="CJ79" s="7">
        <v>0.356519478707992</v>
      </c>
      <c r="CK79" s="7">
        <v>1.53503441148592</v>
      </c>
      <c r="CL79" s="7">
        <v>3.8629627163992701</v>
      </c>
      <c r="CM79" s="7">
        <v>6.63728296671073</v>
      </c>
      <c r="CN79" s="7">
        <v>28.799449669833599</v>
      </c>
      <c r="CO79" s="7">
        <v>82.655723465431606</v>
      </c>
      <c r="CP79" s="7">
        <v>93.846192862826399</v>
      </c>
      <c r="CQ79" s="7">
        <v>100</v>
      </c>
      <c r="CR79" s="7">
        <v>13.6510377459003</v>
      </c>
      <c r="CS79" s="7">
        <v>1.1237767358700499</v>
      </c>
      <c r="CT79" s="7">
        <v>6.7028090297260698</v>
      </c>
      <c r="CU79" s="7">
        <v>10</v>
      </c>
      <c r="CV79" s="7">
        <v>10</v>
      </c>
      <c r="CW79" s="7">
        <v>70.298655558619998</v>
      </c>
      <c r="CX79" s="7">
        <v>100</v>
      </c>
      <c r="CY79" s="7">
        <v>100</v>
      </c>
      <c r="CZ79" s="7">
        <v>100</v>
      </c>
      <c r="DA79" s="9">
        <v>52.436317264779802</v>
      </c>
      <c r="DB79" s="9">
        <v>7.9014858280471806E-2</v>
      </c>
      <c r="DC79" s="9">
        <v>0.31690268095749802</v>
      </c>
      <c r="DD79" s="9">
        <v>0.68995425538997002</v>
      </c>
      <c r="DE79" s="9">
        <v>1.05532466626723</v>
      </c>
      <c r="DF79" s="9">
        <v>7.5309005950286396</v>
      </c>
      <c r="DG79" s="9">
        <v>25.8851724695432</v>
      </c>
      <c r="DH79" s="9">
        <v>50.608818597101902</v>
      </c>
      <c r="DI79" s="9">
        <v>67.054687475233607</v>
      </c>
    </row>
    <row r="80" spans="1:113">
      <c r="A80" s="5" t="s">
        <v>226</v>
      </c>
      <c r="B80" s="5" t="s">
        <v>271</v>
      </c>
      <c r="C80" s="5" t="s">
        <v>272</v>
      </c>
      <c r="D80" s="6">
        <v>582683</v>
      </c>
      <c r="E80" s="7">
        <v>7.1052219755172601</v>
      </c>
      <c r="F80" s="7">
        <v>3.97259401767342</v>
      </c>
      <c r="G80" s="7">
        <v>9.8384438880145808</v>
      </c>
      <c r="H80" s="7">
        <v>9.9937461707309101</v>
      </c>
      <c r="I80" s="7">
        <v>9.9984760152604402</v>
      </c>
      <c r="J80" s="7">
        <v>94.243868449911901</v>
      </c>
      <c r="K80" s="7">
        <v>99.975973213565496</v>
      </c>
      <c r="L80" s="7">
        <v>100</v>
      </c>
      <c r="M80" s="7">
        <v>100</v>
      </c>
      <c r="N80" s="7">
        <v>7.6259574819087801</v>
      </c>
      <c r="O80" s="7">
        <v>8.0597786446489792</v>
      </c>
      <c r="P80" s="7">
        <v>9.9433122298059207</v>
      </c>
      <c r="Q80" s="7">
        <v>10</v>
      </c>
      <c r="R80" s="7">
        <v>10</v>
      </c>
      <c r="S80" s="7">
        <v>99.243842706926401</v>
      </c>
      <c r="T80" s="7">
        <v>100</v>
      </c>
      <c r="U80" s="7">
        <v>100</v>
      </c>
      <c r="V80" s="7">
        <v>100</v>
      </c>
      <c r="W80" s="7">
        <v>6.5809052800578902</v>
      </c>
      <c r="X80" s="7">
        <v>9.9648144874657394</v>
      </c>
      <c r="Y80" s="7">
        <v>10</v>
      </c>
      <c r="Z80" s="7">
        <v>10</v>
      </c>
      <c r="AA80" s="7">
        <v>10</v>
      </c>
      <c r="AB80" s="7">
        <v>100</v>
      </c>
      <c r="AC80" s="7">
        <v>100</v>
      </c>
      <c r="AD80" s="7">
        <v>100</v>
      </c>
      <c r="AE80" s="7">
        <v>100</v>
      </c>
      <c r="AF80" s="6">
        <v>7.7408052671570404</v>
      </c>
      <c r="AG80" s="6">
        <v>3.0653665886940198</v>
      </c>
      <c r="AH80" s="6">
        <v>7.8928508296964202</v>
      </c>
      <c r="AI80" s="6">
        <v>9.3894227221319309</v>
      </c>
      <c r="AJ80" s="6">
        <v>9.7246169872812498</v>
      </c>
      <c r="AK80" s="6">
        <v>90.131340711844999</v>
      </c>
      <c r="AL80" s="6">
        <v>99.144989642738906</v>
      </c>
      <c r="AM80" s="6">
        <v>99.833528693989706</v>
      </c>
      <c r="AN80" s="6">
        <v>100</v>
      </c>
      <c r="AO80" s="6">
        <v>10.1726579890503</v>
      </c>
      <c r="AP80" s="7">
        <v>2.2575053674124699</v>
      </c>
      <c r="AQ80" s="7">
        <v>9.0434678890580305</v>
      </c>
      <c r="AR80" s="7">
        <v>9.9102582364682004</v>
      </c>
      <c r="AS80" s="7">
        <v>9.9951757645237596</v>
      </c>
      <c r="AT80" s="7">
        <v>81.148068503800502</v>
      </c>
      <c r="AU80" s="7">
        <v>99.8608162585831</v>
      </c>
      <c r="AV80" s="7">
        <v>100</v>
      </c>
      <c r="AW80" s="7">
        <v>100</v>
      </c>
      <c r="AX80" s="7">
        <v>9.1504878780842507</v>
      </c>
      <c r="AY80" s="7">
        <v>5.8848636394059897</v>
      </c>
      <c r="AZ80" s="7">
        <v>9.4983412936365106</v>
      </c>
      <c r="BA80" s="7">
        <v>9.9231640531815799</v>
      </c>
      <c r="BB80" s="7">
        <v>10</v>
      </c>
      <c r="BC80" s="7">
        <v>94.157372018747793</v>
      </c>
      <c r="BD80" s="7">
        <v>100</v>
      </c>
      <c r="BE80" s="7">
        <v>100</v>
      </c>
      <c r="BF80" s="7">
        <v>100</v>
      </c>
      <c r="BG80" s="7">
        <v>7.3626076276214301</v>
      </c>
      <c r="BH80" s="7">
        <v>9.34395889360081</v>
      </c>
      <c r="BI80" s="7">
        <v>10</v>
      </c>
      <c r="BJ80" s="7">
        <v>10</v>
      </c>
      <c r="BK80" s="7">
        <v>10</v>
      </c>
      <c r="BL80" s="7">
        <v>100</v>
      </c>
      <c r="BM80" s="7">
        <v>100</v>
      </c>
      <c r="BN80" s="7">
        <v>100</v>
      </c>
      <c r="BO80" s="7">
        <v>100</v>
      </c>
      <c r="BP80" s="6">
        <v>12.6087101546229</v>
      </c>
      <c r="BQ80" s="6">
        <v>1.68729823935141</v>
      </c>
      <c r="BR80" s="6">
        <v>5.6992876057822199</v>
      </c>
      <c r="BS80" s="6">
        <v>7.9755338666135804</v>
      </c>
      <c r="BT80" s="6">
        <v>8.9315957390210503</v>
      </c>
      <c r="BU80" s="6">
        <v>72.187793362771899</v>
      </c>
      <c r="BV80" s="6">
        <v>93.5388538879631</v>
      </c>
      <c r="BW80" s="6">
        <v>98.057777556578799</v>
      </c>
      <c r="BX80" s="6">
        <v>99.484453811077401</v>
      </c>
      <c r="BY80" s="6" t="str">
        <f>TRIM(Table1[[#This Row],[LA_Name]])</f>
        <v>Leeds</v>
      </c>
      <c r="BZ80" s="7">
        <v>22.921022225527299</v>
      </c>
      <c r="CA80" s="7">
        <v>0.40937181966867098</v>
      </c>
      <c r="CB80" s="7">
        <v>3.6398041473665801</v>
      </c>
      <c r="CC80" s="7">
        <v>8.4453467837572092</v>
      </c>
      <c r="CD80" s="7">
        <v>9.7307077776423903</v>
      </c>
      <c r="CE80" s="7">
        <v>22.996895395952901</v>
      </c>
      <c r="CF80" s="7">
        <v>75.8698983838554</v>
      </c>
      <c r="CG80" s="7">
        <v>98.507421702709706</v>
      </c>
      <c r="CH80" s="7">
        <v>99.587425752939396</v>
      </c>
      <c r="CI80" s="7">
        <v>19.0933696119512</v>
      </c>
      <c r="CJ80" s="7">
        <v>1.4571782598771501</v>
      </c>
      <c r="CK80" s="7">
        <v>5.9013099747203901</v>
      </c>
      <c r="CL80" s="7">
        <v>8.8423413760140601</v>
      </c>
      <c r="CM80" s="7">
        <v>9.5547167156069399</v>
      </c>
      <c r="CN80" s="7">
        <v>39.9048882497001</v>
      </c>
      <c r="CO80" s="7">
        <v>86.407017194598097</v>
      </c>
      <c r="CP80" s="7">
        <v>98.172934511561195</v>
      </c>
      <c r="CQ80" s="7">
        <v>100</v>
      </c>
      <c r="CR80" s="7">
        <v>12.1419456010911</v>
      </c>
      <c r="CS80" s="7">
        <v>4.1664764546073902</v>
      </c>
      <c r="CT80" s="7">
        <v>9.7115241048734902</v>
      </c>
      <c r="CU80" s="7">
        <v>10</v>
      </c>
      <c r="CV80" s="7">
        <v>10</v>
      </c>
      <c r="CW80" s="7">
        <v>76.308215616381503</v>
      </c>
      <c r="CX80" s="7">
        <v>100</v>
      </c>
      <c r="CY80" s="7">
        <v>100</v>
      </c>
      <c r="CZ80" s="7">
        <v>100</v>
      </c>
      <c r="DA80" s="9">
        <v>44.260079220779801</v>
      </c>
      <c r="DB80" s="9">
        <v>0.322458352140014</v>
      </c>
      <c r="DC80" s="9">
        <v>1.3601598124537699</v>
      </c>
      <c r="DD80" s="9">
        <v>2.8242818136104901</v>
      </c>
      <c r="DE80" s="9">
        <v>4.2071229124584004</v>
      </c>
      <c r="DF80" s="9">
        <v>18.060420503086601</v>
      </c>
      <c r="DG80" s="9">
        <v>38.081426779226398</v>
      </c>
      <c r="DH80" s="9">
        <v>56.1276028303554</v>
      </c>
      <c r="DI80" s="9">
        <v>71.009107868257701</v>
      </c>
    </row>
    <row r="81" spans="1:113">
      <c r="A81" s="5" t="s">
        <v>226</v>
      </c>
      <c r="B81" s="5" t="s">
        <v>273</v>
      </c>
      <c r="C81" s="5" t="s">
        <v>274</v>
      </c>
      <c r="D81" s="6">
        <v>252011</v>
      </c>
      <c r="E81" s="7">
        <v>8.3656645526353195</v>
      </c>
      <c r="F81" s="7">
        <v>2.5382146017435701</v>
      </c>
      <c r="G81" s="7">
        <v>9.5892044394887499</v>
      </c>
      <c r="H81" s="7">
        <v>9.9918892429298705</v>
      </c>
      <c r="I81" s="7">
        <v>10</v>
      </c>
      <c r="J81" s="7">
        <v>90.971029042383094</v>
      </c>
      <c r="K81" s="7">
        <v>99.946034101685996</v>
      </c>
      <c r="L81" s="7">
        <v>100</v>
      </c>
      <c r="M81" s="7">
        <v>100</v>
      </c>
      <c r="N81" s="7">
        <v>8.1256836899711598</v>
      </c>
      <c r="O81" s="7">
        <v>5.3213986691057098</v>
      </c>
      <c r="P81" s="7">
        <v>9.9784731618857894</v>
      </c>
      <c r="Q81" s="7">
        <v>10</v>
      </c>
      <c r="R81" s="7">
        <v>10</v>
      </c>
      <c r="S81" s="7">
        <v>99.103610556682099</v>
      </c>
      <c r="T81" s="7">
        <v>100</v>
      </c>
      <c r="U81" s="7">
        <v>100</v>
      </c>
      <c r="V81" s="7">
        <v>100</v>
      </c>
      <c r="W81" s="7">
        <v>6.8337226092088601</v>
      </c>
      <c r="X81" s="7">
        <v>9.9220946704707291</v>
      </c>
      <c r="Y81" s="7">
        <v>10</v>
      </c>
      <c r="Z81" s="7">
        <v>10</v>
      </c>
      <c r="AA81" s="7">
        <v>10</v>
      </c>
      <c r="AB81" s="7">
        <v>100</v>
      </c>
      <c r="AC81" s="7">
        <v>100</v>
      </c>
      <c r="AD81" s="7">
        <v>100</v>
      </c>
      <c r="AE81" s="7">
        <v>100</v>
      </c>
      <c r="AF81" s="6">
        <v>9.1630165241951804</v>
      </c>
      <c r="AG81" s="6">
        <v>1.7828943974667799</v>
      </c>
      <c r="AH81" s="6">
        <v>5.1872815075532399</v>
      </c>
      <c r="AI81" s="6">
        <v>8.1779485816095292</v>
      </c>
      <c r="AJ81" s="6">
        <v>9.6099575018550798</v>
      </c>
      <c r="AK81" s="6">
        <v>84.580831789088606</v>
      </c>
      <c r="AL81" s="6">
        <v>99.218684898675093</v>
      </c>
      <c r="AM81" s="6">
        <v>100</v>
      </c>
      <c r="AN81" s="6">
        <v>100</v>
      </c>
      <c r="AO81" s="6">
        <v>11.5343794723108</v>
      </c>
      <c r="AP81" s="7">
        <v>1.4872049235946001</v>
      </c>
      <c r="AQ81" s="7">
        <v>8.0959720012221705</v>
      </c>
      <c r="AR81" s="7">
        <v>9.8737237660260906</v>
      </c>
      <c r="AS81" s="7">
        <v>9.9944605592613005</v>
      </c>
      <c r="AT81" s="7">
        <v>71.896861644928194</v>
      </c>
      <c r="AU81" s="7">
        <v>99.898020324509602</v>
      </c>
      <c r="AV81" s="7">
        <v>99.946034101685996</v>
      </c>
      <c r="AW81" s="7">
        <v>100</v>
      </c>
      <c r="AX81" s="7">
        <v>10.0693247745217</v>
      </c>
      <c r="AY81" s="7">
        <v>3.3151608461535398</v>
      </c>
      <c r="AZ81" s="7">
        <v>9.1783295173623394</v>
      </c>
      <c r="BA81" s="7">
        <v>10</v>
      </c>
      <c r="BB81" s="7">
        <v>10</v>
      </c>
      <c r="BC81" s="7">
        <v>90.155191638460195</v>
      </c>
      <c r="BD81" s="7">
        <v>100</v>
      </c>
      <c r="BE81" s="7">
        <v>100</v>
      </c>
      <c r="BF81" s="7">
        <v>100</v>
      </c>
      <c r="BG81" s="7">
        <v>7.7356050370055103</v>
      </c>
      <c r="BH81" s="7">
        <v>8.5291594414529506</v>
      </c>
      <c r="BI81" s="7">
        <v>10</v>
      </c>
      <c r="BJ81" s="7">
        <v>10</v>
      </c>
      <c r="BK81" s="7">
        <v>10</v>
      </c>
      <c r="BL81" s="7">
        <v>100</v>
      </c>
      <c r="BM81" s="7">
        <v>100</v>
      </c>
      <c r="BN81" s="7">
        <v>100</v>
      </c>
      <c r="BO81" s="7">
        <v>100</v>
      </c>
      <c r="BP81" s="6">
        <v>15.2354098406283</v>
      </c>
      <c r="BQ81" s="6">
        <v>1.0544976211355901</v>
      </c>
      <c r="BR81" s="6">
        <v>3.20494740308955</v>
      </c>
      <c r="BS81" s="6">
        <v>5.6177627167068103</v>
      </c>
      <c r="BT81" s="6">
        <v>7.4669796159691399</v>
      </c>
      <c r="BU81" s="6">
        <v>62.303232795393797</v>
      </c>
      <c r="BV81" s="6">
        <v>89.744892088043798</v>
      </c>
      <c r="BW81" s="6">
        <v>96.017237342814397</v>
      </c>
      <c r="BX81" s="6">
        <v>99.531766470511201</v>
      </c>
      <c r="BY81" s="6" t="str">
        <f>TRIM(Table1[[#This Row],[LA_Name]])</f>
        <v>Wakefield</v>
      </c>
      <c r="BZ81" s="7">
        <v>24.3973968482792</v>
      </c>
      <c r="CA81" s="7">
        <v>0.19592398744499201</v>
      </c>
      <c r="CB81" s="7">
        <v>1.51243794913714</v>
      </c>
      <c r="CC81" s="7">
        <v>4.5218740451805699</v>
      </c>
      <c r="CD81" s="7">
        <v>8.4717333767176797</v>
      </c>
      <c r="CE81" s="7">
        <v>18.000801552313199</v>
      </c>
      <c r="CF81" s="7">
        <v>71.686553364734095</v>
      </c>
      <c r="CG81" s="7">
        <v>96.597767557765295</v>
      </c>
      <c r="CH81" s="7">
        <v>99.848022506954095</v>
      </c>
      <c r="CI81" s="7">
        <v>19.7063961618999</v>
      </c>
      <c r="CJ81" s="7">
        <v>0.57934375880417899</v>
      </c>
      <c r="CK81" s="7">
        <v>2.35046486066084</v>
      </c>
      <c r="CL81" s="7">
        <v>4.3453301641594999</v>
      </c>
      <c r="CM81" s="7">
        <v>7.5933471158005004</v>
      </c>
      <c r="CN81" s="7">
        <v>38.744737332894204</v>
      </c>
      <c r="CO81" s="7">
        <v>86.879144164341994</v>
      </c>
      <c r="CP81" s="7">
        <v>98.661963168274397</v>
      </c>
      <c r="CQ81" s="7">
        <v>100</v>
      </c>
      <c r="CR81" s="7">
        <v>12.012335577754</v>
      </c>
      <c r="CS81" s="7">
        <v>1.82626552015587</v>
      </c>
      <c r="CT81" s="7">
        <v>9.1302522508938093</v>
      </c>
      <c r="CU81" s="7">
        <v>10</v>
      </c>
      <c r="CV81" s="7">
        <v>10</v>
      </c>
      <c r="CW81" s="7">
        <v>76.336350397403294</v>
      </c>
      <c r="CX81" s="7">
        <v>100</v>
      </c>
      <c r="CY81" s="7">
        <v>100</v>
      </c>
      <c r="CZ81" s="7">
        <v>100</v>
      </c>
      <c r="DA81" s="9">
        <v>46.517874257746399</v>
      </c>
      <c r="DB81" s="9">
        <v>0.138394752610005</v>
      </c>
      <c r="DC81" s="9">
        <v>0.51965588803663298</v>
      </c>
      <c r="DD81" s="9">
        <v>1.0277805333894201</v>
      </c>
      <c r="DE81" s="9">
        <v>1.5494482383705499</v>
      </c>
      <c r="DF81" s="9">
        <v>13.140299431374</v>
      </c>
      <c r="DG81" s="9">
        <v>36.2488145358734</v>
      </c>
      <c r="DH81" s="9">
        <v>51.642983838007098</v>
      </c>
      <c r="DI81" s="9">
        <v>68.695017280991706</v>
      </c>
    </row>
    <row r="82" spans="1:113">
      <c r="A82" s="5" t="s">
        <v>275</v>
      </c>
      <c r="B82" s="5" t="s">
        <v>276</v>
      </c>
      <c r="C82" s="5" t="s">
        <v>277</v>
      </c>
      <c r="D82" s="6">
        <v>182845</v>
      </c>
      <c r="E82" s="7">
        <v>6.74606517751642</v>
      </c>
      <c r="F82" s="7">
        <v>4.2065410593672201</v>
      </c>
      <c r="G82" s="7">
        <v>9.8437419672400104</v>
      </c>
      <c r="H82" s="7">
        <v>10</v>
      </c>
      <c r="I82" s="7">
        <v>10</v>
      </c>
      <c r="J82" s="7">
        <v>97.731411851568296</v>
      </c>
      <c r="K82" s="7">
        <v>100</v>
      </c>
      <c r="L82" s="7">
        <v>100</v>
      </c>
      <c r="M82" s="7">
        <v>100</v>
      </c>
      <c r="N82" s="7">
        <v>7.3749269508057802</v>
      </c>
      <c r="O82" s="7">
        <v>8.6414668161557593</v>
      </c>
      <c r="P82" s="7">
        <v>10</v>
      </c>
      <c r="Q82" s="7">
        <v>10</v>
      </c>
      <c r="R82" s="7">
        <v>10</v>
      </c>
      <c r="S82" s="7">
        <v>100</v>
      </c>
      <c r="T82" s="7">
        <v>100</v>
      </c>
      <c r="U82" s="7">
        <v>100</v>
      </c>
      <c r="V82" s="7">
        <v>100</v>
      </c>
      <c r="W82" s="7">
        <v>6.5888094244540802</v>
      </c>
      <c r="X82" s="7">
        <v>10</v>
      </c>
      <c r="Y82" s="7">
        <v>10</v>
      </c>
      <c r="Z82" s="7">
        <v>10</v>
      </c>
      <c r="AA82" s="7">
        <v>10</v>
      </c>
      <c r="AB82" s="7">
        <v>100</v>
      </c>
      <c r="AC82" s="7">
        <v>100</v>
      </c>
      <c r="AD82" s="7">
        <v>100</v>
      </c>
      <c r="AE82" s="7">
        <v>100</v>
      </c>
      <c r="AF82" s="6">
        <v>6.9103040690700004</v>
      </c>
      <c r="AG82" s="6">
        <v>3.4109218190270401</v>
      </c>
      <c r="AH82" s="6">
        <v>8.6649785337307605</v>
      </c>
      <c r="AI82" s="6">
        <v>9.90020509174437</v>
      </c>
      <c r="AJ82" s="6">
        <v>10</v>
      </c>
      <c r="AK82" s="6">
        <v>95.623068719407101</v>
      </c>
      <c r="AL82" s="6">
        <v>100</v>
      </c>
      <c r="AM82" s="6">
        <v>100</v>
      </c>
      <c r="AN82" s="6">
        <v>100</v>
      </c>
      <c r="AO82" s="6">
        <v>10.5636026153042</v>
      </c>
      <c r="AP82" s="7">
        <v>2.2850447100002702</v>
      </c>
      <c r="AQ82" s="7">
        <v>8.7072711859771896</v>
      </c>
      <c r="AR82" s="7">
        <v>9.9978561076321508</v>
      </c>
      <c r="AS82" s="7">
        <v>10</v>
      </c>
      <c r="AT82" s="7">
        <v>77.273647078126302</v>
      </c>
      <c r="AU82" s="7">
        <v>99.898821406108993</v>
      </c>
      <c r="AV82" s="7">
        <v>100</v>
      </c>
      <c r="AW82" s="7">
        <v>100</v>
      </c>
      <c r="AX82" s="7">
        <v>9.2723446928912701</v>
      </c>
      <c r="AY82" s="7">
        <v>5.5167108753315697</v>
      </c>
      <c r="AZ82" s="7">
        <v>9.9738740463233899</v>
      </c>
      <c r="BA82" s="7">
        <v>10</v>
      </c>
      <c r="BB82" s="7">
        <v>10</v>
      </c>
      <c r="BC82" s="7">
        <v>93.207908337663</v>
      </c>
      <c r="BD82" s="7">
        <v>100</v>
      </c>
      <c r="BE82" s="7">
        <v>100</v>
      </c>
      <c r="BF82" s="7">
        <v>100</v>
      </c>
      <c r="BG82" s="7">
        <v>7.5437215585131501</v>
      </c>
      <c r="BH82" s="7">
        <v>9.3829910579999396</v>
      </c>
      <c r="BI82" s="7">
        <v>10</v>
      </c>
      <c r="BJ82" s="7">
        <v>10</v>
      </c>
      <c r="BK82" s="7">
        <v>10</v>
      </c>
      <c r="BL82" s="7">
        <v>100</v>
      </c>
      <c r="BM82" s="7">
        <v>100</v>
      </c>
      <c r="BN82" s="7">
        <v>100</v>
      </c>
      <c r="BO82" s="7">
        <v>100</v>
      </c>
      <c r="BP82" s="6">
        <v>12.751102737363199</v>
      </c>
      <c r="BQ82" s="6">
        <v>1.6401651672181401</v>
      </c>
      <c r="BR82" s="6">
        <v>5.4138313872405597</v>
      </c>
      <c r="BS82" s="6">
        <v>7.9750663129973498</v>
      </c>
      <c r="BT82" s="6">
        <v>9.5887773797478708</v>
      </c>
      <c r="BU82" s="6">
        <v>67.920369712051198</v>
      </c>
      <c r="BV82" s="6">
        <v>92.4646558560529</v>
      </c>
      <c r="BW82" s="6">
        <v>100</v>
      </c>
      <c r="BX82" s="6">
        <v>100</v>
      </c>
      <c r="BY82" s="6" t="str">
        <f>TRIM(Table1[[#This Row],[LA_Name]])</f>
        <v>Derby</v>
      </c>
      <c r="BZ82" s="7">
        <v>19.443051704663901</v>
      </c>
      <c r="CA82" s="7">
        <v>0.36786896004812802</v>
      </c>
      <c r="CB82" s="7">
        <v>2.5878913834121802</v>
      </c>
      <c r="CC82" s="7">
        <v>5.0098990948617699</v>
      </c>
      <c r="CD82" s="7">
        <v>7.3307664962126404</v>
      </c>
      <c r="CE82" s="7">
        <v>32.104241297273603</v>
      </c>
      <c r="CF82" s="7">
        <v>89.937925565369596</v>
      </c>
      <c r="CG82" s="7">
        <v>100</v>
      </c>
      <c r="CH82" s="7">
        <v>100</v>
      </c>
      <c r="CI82" s="7">
        <v>15.0802810397622</v>
      </c>
      <c r="CJ82" s="7">
        <v>1.1107823566408701</v>
      </c>
      <c r="CK82" s="7">
        <v>4.4135743389209399</v>
      </c>
      <c r="CL82" s="7">
        <v>5.0232820148212998</v>
      </c>
      <c r="CM82" s="7">
        <v>5.3148513768492398</v>
      </c>
      <c r="CN82" s="7">
        <v>50.346468320161897</v>
      </c>
      <c r="CO82" s="7">
        <v>100</v>
      </c>
      <c r="CP82" s="7">
        <v>100</v>
      </c>
      <c r="CQ82" s="7">
        <v>100</v>
      </c>
      <c r="CR82" s="7">
        <v>10.9616001013204</v>
      </c>
      <c r="CS82" s="7">
        <v>2.8218436380540899</v>
      </c>
      <c r="CT82" s="7">
        <v>6.6459733654187998</v>
      </c>
      <c r="CU82" s="7">
        <v>10</v>
      </c>
      <c r="CV82" s="7">
        <v>10</v>
      </c>
      <c r="CW82" s="7">
        <v>88.770816812053894</v>
      </c>
      <c r="CX82" s="7">
        <v>100</v>
      </c>
      <c r="CY82" s="7">
        <v>100</v>
      </c>
      <c r="CZ82" s="7">
        <v>100</v>
      </c>
      <c r="DA82" s="9">
        <v>31.330251111375201</v>
      </c>
      <c r="DB82" s="9">
        <v>0.23539063140911701</v>
      </c>
      <c r="DC82" s="9">
        <v>1.0047964122617501</v>
      </c>
      <c r="DD82" s="9">
        <v>2.17847357051054</v>
      </c>
      <c r="DE82" s="9">
        <v>3.2169542508682198</v>
      </c>
      <c r="DF82" s="9">
        <v>20.343460307911101</v>
      </c>
      <c r="DG82" s="9">
        <v>49.426563482731297</v>
      </c>
      <c r="DH82" s="9">
        <v>77.554759495747803</v>
      </c>
      <c r="DI82" s="9">
        <v>92.367305641390203</v>
      </c>
    </row>
    <row r="83" spans="1:113">
      <c r="A83" s="5" t="s">
        <v>275</v>
      </c>
      <c r="B83" s="5" t="s">
        <v>278</v>
      </c>
      <c r="C83" s="5" t="s">
        <v>279</v>
      </c>
      <c r="D83" s="6">
        <v>259115</v>
      </c>
      <c r="E83" s="7">
        <v>6.5720296525550301</v>
      </c>
      <c r="F83" s="7">
        <v>5.3457383787121504</v>
      </c>
      <c r="G83" s="7">
        <v>9.9764506107326891</v>
      </c>
      <c r="H83" s="7">
        <v>10</v>
      </c>
      <c r="I83" s="7">
        <v>10</v>
      </c>
      <c r="J83" s="7">
        <v>95.483086660363199</v>
      </c>
      <c r="K83" s="7">
        <v>100</v>
      </c>
      <c r="L83" s="7">
        <v>100</v>
      </c>
      <c r="M83" s="7">
        <v>100</v>
      </c>
      <c r="N83" s="7">
        <v>7.3111107438509997</v>
      </c>
      <c r="O83" s="7">
        <v>9.5449626613665703</v>
      </c>
      <c r="P83" s="7">
        <v>10</v>
      </c>
      <c r="Q83" s="7">
        <v>10</v>
      </c>
      <c r="R83" s="7">
        <v>10</v>
      </c>
      <c r="S83" s="7">
        <v>99.761109931883496</v>
      </c>
      <c r="T83" s="7">
        <v>100</v>
      </c>
      <c r="U83" s="7">
        <v>100</v>
      </c>
      <c r="V83" s="7">
        <v>100</v>
      </c>
      <c r="W83" s="7">
        <v>6.5827710060727096</v>
      </c>
      <c r="X83" s="7">
        <v>10</v>
      </c>
      <c r="Y83" s="7">
        <v>10</v>
      </c>
      <c r="Z83" s="7">
        <v>10</v>
      </c>
      <c r="AA83" s="7">
        <v>10</v>
      </c>
      <c r="AB83" s="7">
        <v>100</v>
      </c>
      <c r="AC83" s="7">
        <v>100</v>
      </c>
      <c r="AD83" s="7">
        <v>100</v>
      </c>
      <c r="AE83" s="7">
        <v>100</v>
      </c>
      <c r="AF83" s="6">
        <v>6.8206249312509897</v>
      </c>
      <c r="AG83" s="6">
        <v>4.4235185149451004</v>
      </c>
      <c r="AH83" s="6">
        <v>9.5714258147926596</v>
      </c>
      <c r="AI83" s="6">
        <v>9.99802404337842</v>
      </c>
      <c r="AJ83" s="6">
        <v>10</v>
      </c>
      <c r="AK83" s="6">
        <v>93.3249715377342</v>
      </c>
      <c r="AL83" s="6">
        <v>100</v>
      </c>
      <c r="AM83" s="6">
        <v>100</v>
      </c>
      <c r="AN83" s="6">
        <v>100</v>
      </c>
      <c r="AO83" s="6">
        <v>8.9195238333363296</v>
      </c>
      <c r="AP83" s="7">
        <v>3.0416340235030801</v>
      </c>
      <c r="AQ83" s="7">
        <v>9.8888138471335107</v>
      </c>
      <c r="AR83" s="7">
        <v>10</v>
      </c>
      <c r="AS83" s="7">
        <v>10</v>
      </c>
      <c r="AT83" s="7">
        <v>84.232097717229806</v>
      </c>
      <c r="AU83" s="7">
        <v>100</v>
      </c>
      <c r="AV83" s="7">
        <v>100</v>
      </c>
      <c r="AW83" s="7">
        <v>100</v>
      </c>
      <c r="AX83" s="7">
        <v>8.1527843247868095</v>
      </c>
      <c r="AY83" s="7">
        <v>8.2671284950697608</v>
      </c>
      <c r="AZ83" s="7">
        <v>10</v>
      </c>
      <c r="BA83" s="7">
        <v>10</v>
      </c>
      <c r="BB83" s="7">
        <v>10</v>
      </c>
      <c r="BC83" s="7">
        <v>99.609439824016405</v>
      </c>
      <c r="BD83" s="7">
        <v>100</v>
      </c>
      <c r="BE83" s="7">
        <v>100</v>
      </c>
      <c r="BF83" s="7">
        <v>100</v>
      </c>
      <c r="BG83" s="7">
        <v>7.0859015485835197</v>
      </c>
      <c r="BH83" s="7">
        <v>10</v>
      </c>
      <c r="BI83" s="7">
        <v>10</v>
      </c>
      <c r="BJ83" s="7">
        <v>10</v>
      </c>
      <c r="BK83" s="7">
        <v>10</v>
      </c>
      <c r="BL83" s="7">
        <v>100</v>
      </c>
      <c r="BM83" s="7">
        <v>100</v>
      </c>
      <c r="BN83" s="7">
        <v>100</v>
      </c>
      <c r="BO83" s="7">
        <v>100</v>
      </c>
      <c r="BP83" s="6">
        <v>9.5221594983464204</v>
      </c>
      <c r="BQ83" s="6">
        <v>2.50568280493217</v>
      </c>
      <c r="BR83" s="6">
        <v>7.9261833548810401</v>
      </c>
      <c r="BS83" s="6">
        <v>9.7185959901974002</v>
      </c>
      <c r="BT83" s="6">
        <v>10</v>
      </c>
      <c r="BU83" s="6">
        <v>80.703548617409297</v>
      </c>
      <c r="BV83" s="6">
        <v>99.609439824016405</v>
      </c>
      <c r="BW83" s="6">
        <v>100</v>
      </c>
      <c r="BX83" s="6">
        <v>100</v>
      </c>
      <c r="BY83" s="6" t="str">
        <f>TRIM(Table1[[#This Row],[LA_Name]])</f>
        <v>Leicester</v>
      </c>
      <c r="BZ83" s="7">
        <v>18.393492802195698</v>
      </c>
      <c r="CA83" s="7">
        <v>0.57355228373502098</v>
      </c>
      <c r="CB83" s="7">
        <v>4.5586168303649002</v>
      </c>
      <c r="CC83" s="7">
        <v>8.8024815236477991</v>
      </c>
      <c r="CD83" s="7">
        <v>9.9066206124693696</v>
      </c>
      <c r="CE83" s="7">
        <v>28.030797136406601</v>
      </c>
      <c r="CF83" s="7">
        <v>95.346081855546799</v>
      </c>
      <c r="CG83" s="7">
        <v>99.924743839607899</v>
      </c>
      <c r="CH83" s="7">
        <v>100</v>
      </c>
      <c r="CI83" s="7">
        <v>12.791485200010101</v>
      </c>
      <c r="CJ83" s="7">
        <v>2.4215155432915898</v>
      </c>
      <c r="CK83" s="7">
        <v>8.7797696003704893</v>
      </c>
      <c r="CL83" s="7">
        <v>9.9443143006001193</v>
      </c>
      <c r="CM83" s="7">
        <v>10</v>
      </c>
      <c r="CN83" s="7">
        <v>73.014684599502203</v>
      </c>
      <c r="CO83" s="7">
        <v>100</v>
      </c>
      <c r="CP83" s="7">
        <v>100</v>
      </c>
      <c r="CQ83" s="7">
        <v>100</v>
      </c>
      <c r="CR83" s="7">
        <v>9.7353717095936094</v>
      </c>
      <c r="CS83" s="7">
        <v>5.6962275437547003</v>
      </c>
      <c r="CT83" s="7">
        <v>10</v>
      </c>
      <c r="CU83" s="7">
        <v>10</v>
      </c>
      <c r="CV83" s="7">
        <v>10</v>
      </c>
      <c r="CW83" s="7">
        <v>99.719043667869499</v>
      </c>
      <c r="CX83" s="7">
        <v>100</v>
      </c>
      <c r="CY83" s="7">
        <v>100</v>
      </c>
      <c r="CZ83" s="7">
        <v>100</v>
      </c>
      <c r="DA83" s="9">
        <v>24.441930908735699</v>
      </c>
      <c r="DB83" s="9">
        <v>0.47972521853231198</v>
      </c>
      <c r="DC83" s="9">
        <v>2.1878586727900702</v>
      </c>
      <c r="DD83" s="9">
        <v>4.4451382590741604</v>
      </c>
      <c r="DE83" s="9">
        <v>6.5430638905505303</v>
      </c>
      <c r="DF83" s="9">
        <v>24.269918761939699</v>
      </c>
      <c r="DG83" s="9">
        <v>71.083495745132495</v>
      </c>
      <c r="DH83" s="9">
        <v>90.905968392412603</v>
      </c>
      <c r="DI83" s="9">
        <v>99.2574725507979</v>
      </c>
    </row>
    <row r="84" spans="1:113">
      <c r="A84" s="5" t="s">
        <v>275</v>
      </c>
      <c r="B84" s="5" t="s">
        <v>280</v>
      </c>
      <c r="C84" s="5" t="s">
        <v>281</v>
      </c>
      <c r="D84" s="6">
        <v>252743</v>
      </c>
      <c r="E84" s="7">
        <v>7.2263664079986798</v>
      </c>
      <c r="F84" s="7">
        <v>4.2616056626691901</v>
      </c>
      <c r="G84" s="7">
        <v>9.9839679041556106</v>
      </c>
      <c r="H84" s="7">
        <v>10</v>
      </c>
      <c r="I84" s="7">
        <v>10</v>
      </c>
      <c r="J84" s="7">
        <v>95.180479775898803</v>
      </c>
      <c r="K84" s="7">
        <v>100</v>
      </c>
      <c r="L84" s="7">
        <v>100</v>
      </c>
      <c r="M84" s="7">
        <v>100</v>
      </c>
      <c r="N84" s="7">
        <v>7.5963266325273002</v>
      </c>
      <c r="O84" s="7">
        <v>9.4681039633145101</v>
      </c>
      <c r="P84" s="7">
        <v>10</v>
      </c>
      <c r="Q84" s="7">
        <v>10</v>
      </c>
      <c r="R84" s="7">
        <v>10</v>
      </c>
      <c r="S84" s="7">
        <v>100</v>
      </c>
      <c r="T84" s="7">
        <v>100</v>
      </c>
      <c r="U84" s="7">
        <v>100</v>
      </c>
      <c r="V84" s="7">
        <v>100</v>
      </c>
      <c r="W84" s="7">
        <v>6.8027989741292698</v>
      </c>
      <c r="X84" s="7">
        <v>10</v>
      </c>
      <c r="Y84" s="7">
        <v>10</v>
      </c>
      <c r="Z84" s="7">
        <v>10</v>
      </c>
      <c r="AA84" s="7">
        <v>10</v>
      </c>
      <c r="AB84" s="7">
        <v>100</v>
      </c>
      <c r="AC84" s="7">
        <v>100</v>
      </c>
      <c r="AD84" s="7">
        <v>100</v>
      </c>
      <c r="AE84" s="7">
        <v>100</v>
      </c>
      <c r="AF84" s="6">
        <v>7.6370736424095798</v>
      </c>
      <c r="AG84" s="6">
        <v>3.1838191364350399</v>
      </c>
      <c r="AH84" s="6">
        <v>9.4160629572332404</v>
      </c>
      <c r="AI84" s="6">
        <v>9.99750734936279</v>
      </c>
      <c r="AJ84" s="6">
        <v>10</v>
      </c>
      <c r="AK84" s="6">
        <v>90.372037999074195</v>
      </c>
      <c r="AL84" s="6">
        <v>100</v>
      </c>
      <c r="AM84" s="6">
        <v>100</v>
      </c>
      <c r="AN84" s="6">
        <v>100</v>
      </c>
      <c r="AO84" s="6">
        <v>8.5595350943093305</v>
      </c>
      <c r="AP84" s="7">
        <v>3.4173290654934099</v>
      </c>
      <c r="AQ84" s="7">
        <v>9.8692703655491893</v>
      </c>
      <c r="AR84" s="7">
        <v>10</v>
      </c>
      <c r="AS84" s="7">
        <v>10</v>
      </c>
      <c r="AT84" s="7">
        <v>89.238475447391195</v>
      </c>
      <c r="AU84" s="7">
        <v>100</v>
      </c>
      <c r="AV84" s="7">
        <v>100</v>
      </c>
      <c r="AW84" s="7">
        <v>100</v>
      </c>
      <c r="AX84" s="7">
        <v>8.0019732222119</v>
      </c>
      <c r="AY84" s="7">
        <v>7.87346830574932</v>
      </c>
      <c r="AZ84" s="7">
        <v>9.9928227488001706</v>
      </c>
      <c r="BA84" s="7">
        <v>10</v>
      </c>
      <c r="BB84" s="7">
        <v>10</v>
      </c>
      <c r="BC84" s="7">
        <v>100</v>
      </c>
      <c r="BD84" s="7">
        <v>100</v>
      </c>
      <c r="BE84" s="7">
        <v>100</v>
      </c>
      <c r="BF84" s="7">
        <v>100</v>
      </c>
      <c r="BG84" s="7">
        <v>6.9763250294428198</v>
      </c>
      <c r="BH84" s="7">
        <v>9.9137859406590891</v>
      </c>
      <c r="BI84" s="7">
        <v>10</v>
      </c>
      <c r="BJ84" s="7">
        <v>10</v>
      </c>
      <c r="BK84" s="7">
        <v>10</v>
      </c>
      <c r="BL84" s="7">
        <v>100</v>
      </c>
      <c r="BM84" s="7">
        <v>100</v>
      </c>
      <c r="BN84" s="7">
        <v>100</v>
      </c>
      <c r="BO84" s="7">
        <v>100</v>
      </c>
      <c r="BP84" s="6">
        <v>8.9117520099434095</v>
      </c>
      <c r="BQ84" s="6">
        <v>2.6172712993040399</v>
      </c>
      <c r="BR84" s="6">
        <v>7.7559022406159599</v>
      </c>
      <c r="BS84" s="6">
        <v>9.4871153701586195</v>
      </c>
      <c r="BT84" s="6">
        <v>9.9202747454924598</v>
      </c>
      <c r="BU84" s="6">
        <v>83.804497058276596</v>
      </c>
      <c r="BV84" s="6">
        <v>100</v>
      </c>
      <c r="BW84" s="6">
        <v>100</v>
      </c>
      <c r="BX84" s="6">
        <v>100</v>
      </c>
      <c r="BY84" s="6" t="str">
        <f>TRIM(Table1[[#This Row],[LA_Name]])</f>
        <v>Nottingham</v>
      </c>
      <c r="BZ84" s="7">
        <v>17.363425735076099</v>
      </c>
      <c r="CA84" s="7">
        <v>0.97030580471071404</v>
      </c>
      <c r="CB84" s="7">
        <v>5.7164590117233702</v>
      </c>
      <c r="CC84" s="7">
        <v>9.6028970139627994</v>
      </c>
      <c r="CD84" s="7">
        <v>10</v>
      </c>
      <c r="CE84" s="7">
        <v>41.680679583608701</v>
      </c>
      <c r="CF84" s="7">
        <v>92.135885069022706</v>
      </c>
      <c r="CG84" s="7">
        <v>100</v>
      </c>
      <c r="CH84" s="7">
        <v>100</v>
      </c>
      <c r="CI84" s="7">
        <v>13.758351175572001</v>
      </c>
      <c r="CJ84" s="7">
        <v>2.9673423200642599</v>
      </c>
      <c r="CK84" s="7">
        <v>8.4972046703568491</v>
      </c>
      <c r="CL84" s="7">
        <v>10</v>
      </c>
      <c r="CM84" s="7">
        <v>10</v>
      </c>
      <c r="CN84" s="7">
        <v>64.078530364836993</v>
      </c>
      <c r="CO84" s="7">
        <v>99.8599367737188</v>
      </c>
      <c r="CP84" s="7">
        <v>100</v>
      </c>
      <c r="CQ84" s="7">
        <v>100</v>
      </c>
      <c r="CR84" s="7">
        <v>9.82531988292906</v>
      </c>
      <c r="CS84" s="7">
        <v>5.9922055210233296</v>
      </c>
      <c r="CT84" s="7">
        <v>10</v>
      </c>
      <c r="CU84" s="7">
        <v>10</v>
      </c>
      <c r="CV84" s="7">
        <v>10</v>
      </c>
      <c r="CW84" s="7">
        <v>94.200828509592796</v>
      </c>
      <c r="CX84" s="7">
        <v>100</v>
      </c>
      <c r="CY84" s="7">
        <v>100</v>
      </c>
      <c r="CZ84" s="7">
        <v>100</v>
      </c>
      <c r="DA84" s="9">
        <v>27.4752886903551</v>
      </c>
      <c r="DB84" s="9">
        <v>0.73943096346881998</v>
      </c>
      <c r="DC84" s="9">
        <v>2.6927867438465198</v>
      </c>
      <c r="DD84" s="9">
        <v>4.9473378095535798</v>
      </c>
      <c r="DE84" s="9">
        <v>6.5695667140138401</v>
      </c>
      <c r="DF84" s="9">
        <v>34.641117657066701</v>
      </c>
      <c r="DG84" s="9">
        <v>62.2949003533233</v>
      </c>
      <c r="DH84" s="9">
        <v>78.011260450338895</v>
      </c>
      <c r="DI84" s="9">
        <v>91.390859489679201</v>
      </c>
    </row>
    <row r="85" spans="1:113">
      <c r="A85" s="5" t="s">
        <v>275</v>
      </c>
      <c r="B85" s="5" t="s">
        <v>282</v>
      </c>
      <c r="C85" s="5" t="s">
        <v>283</v>
      </c>
      <c r="D85" s="6">
        <v>28361</v>
      </c>
      <c r="E85" s="7">
        <v>19.988997530816999</v>
      </c>
      <c r="F85" s="7">
        <v>0.56464863721307401</v>
      </c>
      <c r="G85" s="7">
        <v>2.6408448221148801</v>
      </c>
      <c r="H85" s="7">
        <v>7.0984450477768801</v>
      </c>
      <c r="I85" s="7">
        <v>9.1007016677832198</v>
      </c>
      <c r="J85" s="7">
        <v>44.190966468037097</v>
      </c>
      <c r="K85" s="7">
        <v>83.396213109551894</v>
      </c>
      <c r="L85" s="7">
        <v>93.949437607982802</v>
      </c>
      <c r="M85" s="7">
        <v>98.705969465110499</v>
      </c>
      <c r="N85" s="7">
        <v>16.650979845804901</v>
      </c>
      <c r="O85" s="7">
        <v>0.923733295723</v>
      </c>
      <c r="P85" s="7">
        <v>3.1122315856281499</v>
      </c>
      <c r="Q85" s="7">
        <v>5.5495574909206304</v>
      </c>
      <c r="R85" s="7">
        <v>9.1131130778181308</v>
      </c>
      <c r="S85" s="7">
        <v>54.627833997390802</v>
      </c>
      <c r="T85" s="7">
        <v>86.336871055322405</v>
      </c>
      <c r="U85" s="7">
        <v>98.480307464475899</v>
      </c>
      <c r="V85" s="7">
        <v>100</v>
      </c>
      <c r="W85" s="7">
        <v>9.93805860512213</v>
      </c>
      <c r="X85" s="7">
        <v>2.9562074680018302</v>
      </c>
      <c r="Y85" s="7">
        <v>10</v>
      </c>
      <c r="Z85" s="7">
        <v>10</v>
      </c>
      <c r="AA85" s="7">
        <v>10</v>
      </c>
      <c r="AB85" s="7">
        <v>85.226190895948704</v>
      </c>
      <c r="AC85" s="7">
        <v>100</v>
      </c>
      <c r="AD85" s="7">
        <v>100</v>
      </c>
      <c r="AE85" s="7">
        <v>100</v>
      </c>
      <c r="AF85" s="6">
        <v>36.699518947262398</v>
      </c>
      <c r="AG85" s="6">
        <v>0.45668347378442198</v>
      </c>
      <c r="AH85" s="6">
        <v>0.86499065618278603</v>
      </c>
      <c r="AI85" s="6">
        <v>1.3398328690807799</v>
      </c>
      <c r="AJ85" s="6">
        <v>2.1548252882479502</v>
      </c>
      <c r="AK85" s="6">
        <v>35.6722259440781</v>
      </c>
      <c r="AL85" s="6">
        <v>50.773950142801702</v>
      </c>
      <c r="AM85" s="6">
        <v>60.653714608088599</v>
      </c>
      <c r="AN85" s="6">
        <v>79.827932724516103</v>
      </c>
      <c r="AO85" s="6">
        <v>15.2379979640766</v>
      </c>
      <c r="AP85" s="7">
        <v>0.82239695356299103</v>
      </c>
      <c r="AQ85" s="7">
        <v>3.4633122950530701</v>
      </c>
      <c r="AR85" s="7">
        <v>7.8436585451852903</v>
      </c>
      <c r="AS85" s="7">
        <v>9.1498536722964605</v>
      </c>
      <c r="AT85" s="7">
        <v>55.868975000881498</v>
      </c>
      <c r="AU85" s="7">
        <v>94.439547265611196</v>
      </c>
      <c r="AV85" s="7">
        <v>97.750431931173097</v>
      </c>
      <c r="AW85" s="7">
        <v>99.400585310814193</v>
      </c>
      <c r="AX85" s="7">
        <v>12.910976747233899</v>
      </c>
      <c r="AY85" s="7">
        <v>1.6047741617009299</v>
      </c>
      <c r="AZ85" s="7">
        <v>3.27379147420754</v>
      </c>
      <c r="BA85" s="7">
        <v>7.3335566446881302</v>
      </c>
      <c r="BB85" s="7">
        <v>9.7038186241669901</v>
      </c>
      <c r="BC85" s="7">
        <v>63.411022178343501</v>
      </c>
      <c r="BD85" s="7">
        <v>96.833680053594705</v>
      </c>
      <c r="BE85" s="7">
        <v>100</v>
      </c>
      <c r="BF85" s="7">
        <v>100</v>
      </c>
      <c r="BG85" s="7">
        <v>8.4970833362357308</v>
      </c>
      <c r="BH85" s="7">
        <v>3.6807940481647301</v>
      </c>
      <c r="BI85" s="7">
        <v>10</v>
      </c>
      <c r="BJ85" s="7">
        <v>10</v>
      </c>
      <c r="BK85" s="7">
        <v>10</v>
      </c>
      <c r="BL85" s="7">
        <v>96.833680053594705</v>
      </c>
      <c r="BM85" s="7">
        <v>100</v>
      </c>
      <c r="BN85" s="7">
        <v>100</v>
      </c>
      <c r="BO85" s="7">
        <v>100</v>
      </c>
      <c r="BP85" s="6">
        <v>25.283862414979101</v>
      </c>
      <c r="BQ85" s="6">
        <v>0.73759740488699299</v>
      </c>
      <c r="BR85" s="6">
        <v>1.58672120165015</v>
      </c>
      <c r="BS85" s="6">
        <v>2.02739677726455</v>
      </c>
      <c r="BT85" s="6">
        <v>2.4985719826522299</v>
      </c>
      <c r="BU85" s="6">
        <v>49.723211452346497</v>
      </c>
      <c r="BV85" s="6">
        <v>64.571065900356103</v>
      </c>
      <c r="BW85" s="6">
        <v>83.075349952399407</v>
      </c>
      <c r="BX85" s="6">
        <v>91.551778851239405</v>
      </c>
      <c r="BY85" s="6" t="str">
        <f>TRIM(Table1[[#This Row],[LA_Name]])</f>
        <v>Rutland</v>
      </c>
      <c r="BZ85" s="7">
        <v>66.757034490602905</v>
      </c>
      <c r="CA85" s="7">
        <v>0</v>
      </c>
      <c r="CB85" s="7">
        <v>0</v>
      </c>
      <c r="CC85" s="7">
        <v>0.176298437995839</v>
      </c>
      <c r="CD85" s="7">
        <v>1.7402771411445299</v>
      </c>
      <c r="CE85" s="7">
        <v>0</v>
      </c>
      <c r="CF85" s="7">
        <v>0</v>
      </c>
      <c r="CG85" s="7">
        <v>7.9933711787313602</v>
      </c>
      <c r="CH85" s="7">
        <v>40.6262120517612</v>
      </c>
      <c r="CI85" s="7">
        <v>81.739722877508598</v>
      </c>
      <c r="CJ85" s="7">
        <v>0</v>
      </c>
      <c r="CK85" s="7">
        <v>1.43154331652622E-2</v>
      </c>
      <c r="CL85" s="7">
        <v>4.7530058883678297E-2</v>
      </c>
      <c r="CM85" s="7">
        <v>0.44398998624872199</v>
      </c>
      <c r="CN85" s="7">
        <v>0</v>
      </c>
      <c r="CO85" s="7">
        <v>0.71577165826310796</v>
      </c>
      <c r="CP85" s="7">
        <v>2.3623990691442498</v>
      </c>
      <c r="CQ85" s="7">
        <v>15.436691230915701</v>
      </c>
      <c r="CR85" s="7">
        <v>29.147623348158699</v>
      </c>
      <c r="CS85" s="7">
        <v>2.1473149747893199E-2</v>
      </c>
      <c r="CT85" s="7">
        <v>1.0287013857057199</v>
      </c>
      <c r="CU85" s="7">
        <v>8.9918902718521903</v>
      </c>
      <c r="CV85" s="7">
        <v>10</v>
      </c>
      <c r="CW85" s="7">
        <v>0.71577165826310796</v>
      </c>
      <c r="CX85" s="7">
        <v>43.355311871936799</v>
      </c>
      <c r="CY85" s="7">
        <v>100</v>
      </c>
      <c r="CZ85" s="7">
        <v>100</v>
      </c>
      <c r="DA85" s="9">
        <v>119.427088585665</v>
      </c>
      <c r="DB85" s="9">
        <v>0</v>
      </c>
      <c r="DC85" s="9">
        <v>0</v>
      </c>
      <c r="DD85" s="9">
        <v>0</v>
      </c>
      <c r="DE85" s="9">
        <v>7.1577165826310803E-3</v>
      </c>
      <c r="DF85" s="9">
        <v>0</v>
      </c>
      <c r="DG85" s="9">
        <v>0</v>
      </c>
      <c r="DH85" s="9">
        <v>0</v>
      </c>
      <c r="DI85" s="9">
        <v>0.71577165826310796</v>
      </c>
    </row>
    <row r="86" spans="1:113">
      <c r="A86" s="5" t="s">
        <v>275</v>
      </c>
      <c r="B86" s="5" t="s">
        <v>284</v>
      </c>
      <c r="C86" s="5" t="s">
        <v>285</v>
      </c>
      <c r="D86" s="6">
        <v>586845</v>
      </c>
      <c r="E86" s="7">
        <v>9.6418507621764302</v>
      </c>
      <c r="F86" s="7">
        <v>2.1412434288440698</v>
      </c>
      <c r="G86" s="7">
        <v>8.3103494108324991</v>
      </c>
      <c r="H86" s="7">
        <v>9.6623196925934405</v>
      </c>
      <c r="I86" s="7">
        <v>9.8861249563342994</v>
      </c>
      <c r="J86" s="7">
        <v>84.537143538753796</v>
      </c>
      <c r="K86" s="7">
        <v>97.912395947822702</v>
      </c>
      <c r="L86" s="7">
        <v>99.445339058865599</v>
      </c>
      <c r="M86" s="7">
        <v>99.837435779464798</v>
      </c>
      <c r="N86" s="7">
        <v>9.3327003406963804</v>
      </c>
      <c r="O86" s="7">
        <v>4.3387606608218503</v>
      </c>
      <c r="P86" s="7">
        <v>8.9235965203759093</v>
      </c>
      <c r="Q86" s="7">
        <v>9.6134447767297999</v>
      </c>
      <c r="R86" s="7">
        <v>9.8762194446574494</v>
      </c>
      <c r="S86" s="7">
        <v>91.058115856827598</v>
      </c>
      <c r="T86" s="7">
        <v>98.514258449846196</v>
      </c>
      <c r="U86" s="7">
        <v>99.841525445390204</v>
      </c>
      <c r="V86" s="7">
        <v>100</v>
      </c>
      <c r="W86" s="7">
        <v>7.2646574635432497</v>
      </c>
      <c r="X86" s="7">
        <v>8.72366979355707</v>
      </c>
      <c r="Y86" s="7">
        <v>9.9885097427770493</v>
      </c>
      <c r="Z86" s="7">
        <v>10</v>
      </c>
      <c r="AA86" s="7">
        <v>10</v>
      </c>
      <c r="AB86" s="7">
        <v>98.583612367831407</v>
      </c>
      <c r="AC86" s="7">
        <v>100</v>
      </c>
      <c r="AD86" s="7">
        <v>100</v>
      </c>
      <c r="AE86" s="7">
        <v>100</v>
      </c>
      <c r="AF86" s="6">
        <v>13.116387380747</v>
      </c>
      <c r="AG86" s="6">
        <v>1.56638294609309</v>
      </c>
      <c r="AH86" s="6">
        <v>4.19580809242645</v>
      </c>
      <c r="AI86" s="6">
        <v>6.5431621637740802</v>
      </c>
      <c r="AJ86" s="6">
        <v>7.9675842854586802</v>
      </c>
      <c r="AK86" s="6">
        <v>77.398972471436196</v>
      </c>
      <c r="AL86" s="6">
        <v>90.954851792210903</v>
      </c>
      <c r="AM86" s="6">
        <v>95.184077567330405</v>
      </c>
      <c r="AN86" s="6">
        <v>97.059189394133</v>
      </c>
      <c r="AO86" s="6">
        <v>11.997979841675299</v>
      </c>
      <c r="AP86" s="7">
        <v>1.3855038383218701</v>
      </c>
      <c r="AQ86" s="7">
        <v>6.9621160613109101</v>
      </c>
      <c r="AR86" s="7">
        <v>9.6212509265649402</v>
      </c>
      <c r="AS86" s="7">
        <v>9.9012567202583295</v>
      </c>
      <c r="AT86" s="7">
        <v>69.718750266254304</v>
      </c>
      <c r="AU86" s="7">
        <v>98.790651705305507</v>
      </c>
      <c r="AV86" s="7">
        <v>99.714234593461697</v>
      </c>
      <c r="AW86" s="7">
        <v>99.9637042149119</v>
      </c>
      <c r="AX86" s="7">
        <v>10.664314833733</v>
      </c>
      <c r="AY86" s="7">
        <v>2.8381037582325801</v>
      </c>
      <c r="AZ86" s="7">
        <v>8.0589031175182502</v>
      </c>
      <c r="BA86" s="7">
        <v>9.7347681244621693</v>
      </c>
      <c r="BB86" s="7">
        <v>9.9676200700355295</v>
      </c>
      <c r="BC86" s="7">
        <v>84.195997239475503</v>
      </c>
      <c r="BD86" s="7">
        <v>99.662602561153307</v>
      </c>
      <c r="BE86" s="7">
        <v>100</v>
      </c>
      <c r="BF86" s="7">
        <v>100</v>
      </c>
      <c r="BG86" s="7">
        <v>7.8922298023783997</v>
      </c>
      <c r="BH86" s="7">
        <v>7.4948972897443102</v>
      </c>
      <c r="BI86" s="7">
        <v>9.99917525070504</v>
      </c>
      <c r="BJ86" s="7">
        <v>10</v>
      </c>
      <c r="BK86" s="7">
        <v>10</v>
      </c>
      <c r="BL86" s="7">
        <v>99.487939745588704</v>
      </c>
      <c r="BM86" s="7">
        <v>100</v>
      </c>
      <c r="BN86" s="7">
        <v>100</v>
      </c>
      <c r="BO86" s="7">
        <v>100</v>
      </c>
      <c r="BP86" s="6">
        <v>17.444901296446499</v>
      </c>
      <c r="BQ86" s="6">
        <v>0.98217076059266095</v>
      </c>
      <c r="BR86" s="6">
        <v>2.7426015387368001</v>
      </c>
      <c r="BS86" s="6">
        <v>4.6968518092511697</v>
      </c>
      <c r="BT86" s="6">
        <v>6.3229336536904999</v>
      </c>
      <c r="BU86" s="6">
        <v>58.689091668157701</v>
      </c>
      <c r="BV86" s="6">
        <v>82.998747539810395</v>
      </c>
      <c r="BW86" s="6">
        <v>92.430198774804296</v>
      </c>
      <c r="BX86" s="6">
        <v>96.949279622387493</v>
      </c>
      <c r="BY86" s="6" t="str">
        <f>TRIM(Table1[[#This Row],[LA_Name]])</f>
        <v>Derbyshire</v>
      </c>
      <c r="BZ86" s="7">
        <v>41.094482038104097</v>
      </c>
      <c r="CA86" s="7">
        <v>1.9393536623810399E-2</v>
      </c>
      <c r="CB86" s="7">
        <v>0.29697790728386497</v>
      </c>
      <c r="CC86" s="7">
        <v>1.7254913989213501</v>
      </c>
      <c r="CD86" s="7">
        <v>4.89354769998892</v>
      </c>
      <c r="CE86" s="7">
        <v>1.5348175412587699</v>
      </c>
      <c r="CF86" s="7">
        <v>19.979722073119799</v>
      </c>
      <c r="CG86" s="7">
        <v>66.710630575364902</v>
      </c>
      <c r="CH86" s="7">
        <v>92.424064275916095</v>
      </c>
      <c r="CI86" s="7">
        <v>42.655935508252597</v>
      </c>
      <c r="CJ86" s="7">
        <v>8.4034114629927797E-2</v>
      </c>
      <c r="CK86" s="7">
        <v>0.38767476931728101</v>
      </c>
      <c r="CL86" s="7">
        <v>1.45389157273215</v>
      </c>
      <c r="CM86" s="7">
        <v>3.7551465889630098</v>
      </c>
      <c r="CN86" s="7">
        <v>5.2935613322086796</v>
      </c>
      <c r="CO86" s="7">
        <v>22.760354096907999</v>
      </c>
      <c r="CP86" s="7">
        <v>61.607238708688001</v>
      </c>
      <c r="CQ86" s="7">
        <v>85.377740289173502</v>
      </c>
      <c r="CR86" s="7">
        <v>20.8047736808915</v>
      </c>
      <c r="CS86" s="7">
        <v>0.32089563683766598</v>
      </c>
      <c r="CT86" s="7">
        <v>4.8695805536385199</v>
      </c>
      <c r="CU86" s="7">
        <v>9.4671659467150597</v>
      </c>
      <c r="CV86" s="7">
        <v>9.9985856572007901</v>
      </c>
      <c r="CW86" s="7">
        <v>19.7982431476795</v>
      </c>
      <c r="CX86" s="7">
        <v>90.350092443490198</v>
      </c>
      <c r="CY86" s="7">
        <v>99.849023166253403</v>
      </c>
      <c r="CZ86" s="7">
        <v>100</v>
      </c>
      <c r="DA86" s="9">
        <v>97.873435464706603</v>
      </c>
      <c r="DB86" s="9">
        <v>1.41059393877429E-2</v>
      </c>
      <c r="DC86" s="9">
        <v>7.3322597960279096E-2</v>
      </c>
      <c r="DD86" s="9">
        <v>0.14176145319462499</v>
      </c>
      <c r="DE86" s="9">
        <v>0.25560412033842</v>
      </c>
      <c r="DF86" s="9">
        <v>1.0793309988157</v>
      </c>
      <c r="DG86" s="9">
        <v>4.74401247348107</v>
      </c>
      <c r="DH86" s="9">
        <v>8.2219325375524992</v>
      </c>
      <c r="DI86" s="9">
        <v>15.549761862161199</v>
      </c>
    </row>
    <row r="87" spans="1:113">
      <c r="A87" s="5" t="s">
        <v>275</v>
      </c>
      <c r="B87" s="5" t="s">
        <v>286</v>
      </c>
      <c r="C87" s="5" t="s">
        <v>287</v>
      </c>
      <c r="D87" s="6">
        <v>94119</v>
      </c>
      <c r="E87" s="7">
        <v>8.3793797211863392</v>
      </c>
      <c r="F87" s="7">
        <v>2.40499792815478</v>
      </c>
      <c r="G87" s="7">
        <v>9.2529776134468094</v>
      </c>
      <c r="H87" s="7">
        <v>9.9654586215323206</v>
      </c>
      <c r="I87" s="7">
        <v>9.9858264537447301</v>
      </c>
      <c r="J87" s="7">
        <v>90.877506135849302</v>
      </c>
      <c r="K87" s="7">
        <v>99.789628024097198</v>
      </c>
      <c r="L87" s="7">
        <v>99.908626313496697</v>
      </c>
      <c r="M87" s="7">
        <v>100</v>
      </c>
      <c r="N87" s="7">
        <v>8.4556815384473403</v>
      </c>
      <c r="O87" s="7">
        <v>4.5389772522019998</v>
      </c>
      <c r="P87" s="7">
        <v>9.7460130260627498</v>
      </c>
      <c r="Q87" s="7">
        <v>9.9946663266715507</v>
      </c>
      <c r="R87" s="7">
        <v>10</v>
      </c>
      <c r="S87" s="7">
        <v>96.466175798722901</v>
      </c>
      <c r="T87" s="7">
        <v>100</v>
      </c>
      <c r="U87" s="7">
        <v>100</v>
      </c>
      <c r="V87" s="7">
        <v>100</v>
      </c>
      <c r="W87" s="7">
        <v>6.9190343848138003</v>
      </c>
      <c r="X87" s="7">
        <v>9.6468832010539796</v>
      </c>
      <c r="Y87" s="7">
        <v>10</v>
      </c>
      <c r="Z87" s="7">
        <v>10</v>
      </c>
      <c r="AA87" s="7">
        <v>10</v>
      </c>
      <c r="AB87" s="7">
        <v>99.724816455763403</v>
      </c>
      <c r="AC87" s="7">
        <v>100</v>
      </c>
      <c r="AD87" s="7">
        <v>100</v>
      </c>
      <c r="AE87" s="7">
        <v>100</v>
      </c>
      <c r="AF87" s="6">
        <v>10.1734574351362</v>
      </c>
      <c r="AG87" s="6">
        <v>1.596064556572</v>
      </c>
      <c r="AH87" s="6">
        <v>4.4889023470287599</v>
      </c>
      <c r="AI87" s="6">
        <v>7.2012558569470597</v>
      </c>
      <c r="AJ87" s="6">
        <v>9.1194551578321104</v>
      </c>
      <c r="AK87" s="6">
        <v>82.524251213888803</v>
      </c>
      <c r="AL87" s="6">
        <v>96.280240971536003</v>
      </c>
      <c r="AM87" s="6">
        <v>97.537160403319206</v>
      </c>
      <c r="AN87" s="6">
        <v>99.724816455763403</v>
      </c>
      <c r="AO87" s="6">
        <v>11.023847457478</v>
      </c>
      <c r="AP87" s="7">
        <v>1.68211519459408</v>
      </c>
      <c r="AQ87" s="7">
        <v>8.6092606168786308</v>
      </c>
      <c r="AR87" s="7">
        <v>9.9501800911611902</v>
      </c>
      <c r="AS87" s="7">
        <v>9.9827983722734004</v>
      </c>
      <c r="AT87" s="7">
        <v>79.133862450727307</v>
      </c>
      <c r="AU87" s="7">
        <v>99.789628024097198</v>
      </c>
      <c r="AV87" s="7">
        <v>99.881001710600401</v>
      </c>
      <c r="AW87" s="7">
        <v>100</v>
      </c>
      <c r="AX87" s="7">
        <v>9.9277370313232804</v>
      </c>
      <c r="AY87" s="7">
        <v>2.8456528437403699</v>
      </c>
      <c r="AZ87" s="7">
        <v>9.3542430327564006</v>
      </c>
      <c r="BA87" s="7">
        <v>10</v>
      </c>
      <c r="BB87" s="7">
        <v>10</v>
      </c>
      <c r="BC87" s="7">
        <v>89.786334321444102</v>
      </c>
      <c r="BD87" s="7">
        <v>100</v>
      </c>
      <c r="BE87" s="7">
        <v>100</v>
      </c>
      <c r="BF87" s="7">
        <v>100</v>
      </c>
      <c r="BG87" s="7">
        <v>7.49674678610537</v>
      </c>
      <c r="BH87" s="7">
        <v>8.7810856468938301</v>
      </c>
      <c r="BI87" s="7">
        <v>10</v>
      </c>
      <c r="BJ87" s="7">
        <v>10</v>
      </c>
      <c r="BK87" s="7">
        <v>10</v>
      </c>
      <c r="BL87" s="7">
        <v>100</v>
      </c>
      <c r="BM87" s="7">
        <v>100</v>
      </c>
      <c r="BN87" s="7">
        <v>100</v>
      </c>
      <c r="BO87" s="7">
        <v>100</v>
      </c>
      <c r="BP87" s="6">
        <v>15.0947638999001</v>
      </c>
      <c r="BQ87" s="6">
        <v>1.06006226160499</v>
      </c>
      <c r="BR87" s="6">
        <v>2.7806819026976499</v>
      </c>
      <c r="BS87" s="6">
        <v>5.1266694291269603</v>
      </c>
      <c r="BT87" s="6">
        <v>7.6428032597031397</v>
      </c>
      <c r="BU87" s="6">
        <v>63.932893464656402</v>
      </c>
      <c r="BV87" s="6">
        <v>89.017095379253902</v>
      </c>
      <c r="BW87" s="6">
        <v>94.916010582347894</v>
      </c>
      <c r="BX87" s="6">
        <v>98.658081790074306</v>
      </c>
      <c r="BY87" s="6" t="str">
        <f>TRIM(Table1[[#This Row],[LA_Name]])</f>
        <v>Amber Valley</v>
      </c>
      <c r="BZ87" s="7">
        <v>43.198474695565999</v>
      </c>
      <c r="CA87" s="7">
        <v>0</v>
      </c>
      <c r="CB87" s="7">
        <v>6.7180909274429199E-2</v>
      </c>
      <c r="CC87" s="7">
        <v>1.7712045389347499</v>
      </c>
      <c r="CD87" s="7">
        <v>5.7134584940341497</v>
      </c>
      <c r="CE87" s="7">
        <v>0</v>
      </c>
      <c r="CF87" s="7">
        <v>5.5089833083649404</v>
      </c>
      <c r="CG87" s="7">
        <v>64.568259331272102</v>
      </c>
      <c r="CH87" s="7">
        <v>93.735590050892995</v>
      </c>
      <c r="CI87" s="7">
        <v>48.748630070955102</v>
      </c>
      <c r="CJ87" s="7">
        <v>0</v>
      </c>
      <c r="CK87" s="7">
        <v>5.3772352022439698E-2</v>
      </c>
      <c r="CL87" s="7">
        <v>0.64147515379466402</v>
      </c>
      <c r="CM87" s="7">
        <v>2.5372029027082701</v>
      </c>
      <c r="CN87" s="7">
        <v>0</v>
      </c>
      <c r="CO87" s="7">
        <v>2.0856575186731701</v>
      </c>
      <c r="CP87" s="7">
        <v>30.5538732880715</v>
      </c>
      <c r="CQ87" s="7">
        <v>92.666730415750294</v>
      </c>
      <c r="CR87" s="7">
        <v>22.401531386103599</v>
      </c>
      <c r="CS87" s="7">
        <v>3.06739340621979E-2</v>
      </c>
      <c r="CT87" s="7">
        <v>5.3352564306888102</v>
      </c>
      <c r="CU87" s="7">
        <v>9.9879726728928304</v>
      </c>
      <c r="CV87" s="7">
        <v>10</v>
      </c>
      <c r="CW87" s="7">
        <v>1.52466558293225</v>
      </c>
      <c r="CX87" s="7">
        <v>99.496382239505294</v>
      </c>
      <c r="CY87" s="7">
        <v>100</v>
      </c>
      <c r="CZ87" s="7">
        <v>100</v>
      </c>
      <c r="DA87" s="9">
        <v>114.51802984536</v>
      </c>
      <c r="DB87" s="9">
        <v>0</v>
      </c>
      <c r="DC87" s="9">
        <v>0</v>
      </c>
      <c r="DD87" s="9">
        <v>0</v>
      </c>
      <c r="DE87" s="9">
        <v>2.57015055408579E-2</v>
      </c>
      <c r="DF87" s="9">
        <v>0</v>
      </c>
      <c r="DG87" s="9">
        <v>0</v>
      </c>
      <c r="DH87" s="9">
        <v>0</v>
      </c>
      <c r="DI87" s="9">
        <v>1.02742273079824</v>
      </c>
    </row>
    <row r="88" spans="1:113">
      <c r="A88" s="5" t="s">
        <v>275</v>
      </c>
      <c r="B88" s="5" t="s">
        <v>288</v>
      </c>
      <c r="C88" s="5" t="s">
        <v>289</v>
      </c>
      <c r="D88" s="6">
        <v>59174</v>
      </c>
      <c r="E88" s="7">
        <v>9.8733197183849004</v>
      </c>
      <c r="F88" s="7">
        <v>1.50951431371886</v>
      </c>
      <c r="G88" s="7">
        <v>6.8350964950822997</v>
      </c>
      <c r="H88" s="7">
        <v>9.9547943353499804</v>
      </c>
      <c r="I88" s="7">
        <v>9.9980565789029008</v>
      </c>
      <c r="J88" s="7">
        <v>81.517220400851699</v>
      </c>
      <c r="K88" s="7">
        <v>99.521749416973705</v>
      </c>
      <c r="L88" s="7">
        <v>100</v>
      </c>
      <c r="M88" s="7">
        <v>100</v>
      </c>
      <c r="N88" s="7">
        <v>8.8628433382224703</v>
      </c>
      <c r="O88" s="7">
        <v>2.6199513299760002</v>
      </c>
      <c r="P88" s="7">
        <v>9.4259134079156404</v>
      </c>
      <c r="Q88" s="7">
        <v>10</v>
      </c>
      <c r="R88" s="7">
        <v>10</v>
      </c>
      <c r="S88" s="7">
        <v>96.324399229391304</v>
      </c>
      <c r="T88" s="7">
        <v>100</v>
      </c>
      <c r="U88" s="7">
        <v>100</v>
      </c>
      <c r="V88" s="7">
        <v>100</v>
      </c>
      <c r="W88" s="7">
        <v>7.1162914517450604</v>
      </c>
      <c r="X88" s="7">
        <v>8.5752019468009593</v>
      </c>
      <c r="Y88" s="7">
        <v>10</v>
      </c>
      <c r="Z88" s="7">
        <v>10</v>
      </c>
      <c r="AA88" s="7">
        <v>10</v>
      </c>
      <c r="AB88" s="7">
        <v>100</v>
      </c>
      <c r="AC88" s="7">
        <v>100</v>
      </c>
      <c r="AD88" s="7">
        <v>100</v>
      </c>
      <c r="AE88" s="7">
        <v>100</v>
      </c>
      <c r="AF88" s="6">
        <v>11.482083522594801</v>
      </c>
      <c r="AG88" s="6">
        <v>1.12059350390374</v>
      </c>
      <c r="AH88" s="6">
        <v>2.5087707439078</v>
      </c>
      <c r="AI88" s="6">
        <v>4.0531652414912003</v>
      </c>
      <c r="AJ88" s="6">
        <v>6.8243992293912896</v>
      </c>
      <c r="AK88" s="6">
        <v>72.536925000845002</v>
      </c>
      <c r="AL88" s="6">
        <v>95.974583431912706</v>
      </c>
      <c r="AM88" s="6">
        <v>100</v>
      </c>
      <c r="AN88" s="6">
        <v>100</v>
      </c>
      <c r="AO88" s="6">
        <v>14.1234434301289</v>
      </c>
      <c r="AP88" s="7">
        <v>0.95974583431912697</v>
      </c>
      <c r="AQ88" s="7">
        <v>5.49239530875046</v>
      </c>
      <c r="AR88" s="7">
        <v>9.7071686889512296</v>
      </c>
      <c r="AS88" s="7">
        <v>10</v>
      </c>
      <c r="AT88" s="7">
        <v>56.382870855443301</v>
      </c>
      <c r="AU88" s="7">
        <v>99.2006624531044</v>
      </c>
      <c r="AV88" s="7">
        <v>100</v>
      </c>
      <c r="AW88" s="7">
        <v>100</v>
      </c>
      <c r="AX88" s="7">
        <v>13.4273159091517</v>
      </c>
      <c r="AY88" s="7">
        <v>1.66966911143408</v>
      </c>
      <c r="AZ88" s="7">
        <v>6.3832426403487998</v>
      </c>
      <c r="BA88" s="7">
        <v>9.97209923277115</v>
      </c>
      <c r="BB88" s="7">
        <v>10</v>
      </c>
      <c r="BC88" s="7">
        <v>65.834657112921207</v>
      </c>
      <c r="BD88" s="7">
        <v>100</v>
      </c>
      <c r="BE88" s="7">
        <v>100</v>
      </c>
      <c r="BF88" s="7">
        <v>100</v>
      </c>
      <c r="BG88" s="7">
        <v>8.8264778465225007</v>
      </c>
      <c r="BH88" s="7">
        <v>5.8354682799878299</v>
      </c>
      <c r="BI88" s="7">
        <v>10</v>
      </c>
      <c r="BJ88" s="7">
        <v>10</v>
      </c>
      <c r="BK88" s="7">
        <v>10</v>
      </c>
      <c r="BL88" s="7">
        <v>99.667083516409207</v>
      </c>
      <c r="BM88" s="7">
        <v>100</v>
      </c>
      <c r="BN88" s="7">
        <v>100</v>
      </c>
      <c r="BO88" s="7">
        <v>100</v>
      </c>
      <c r="BP88" s="6">
        <v>26.422553388710298</v>
      </c>
      <c r="BQ88" s="6">
        <v>0.77366748909994298</v>
      </c>
      <c r="BR88" s="6">
        <v>1.69001588535505</v>
      </c>
      <c r="BS88" s="6">
        <v>2.4742623449488002</v>
      </c>
      <c r="BT88" s="6">
        <v>3.7840267685132001</v>
      </c>
      <c r="BU88" s="6">
        <v>49.195592658937997</v>
      </c>
      <c r="BV88" s="6">
        <v>64.773380200763896</v>
      </c>
      <c r="BW88" s="6">
        <v>71.277926116199694</v>
      </c>
      <c r="BX88" s="6">
        <v>87.584074086592096</v>
      </c>
      <c r="BY88" s="6" t="str">
        <f>TRIM(Table1[[#This Row],[LA_Name]])</f>
        <v>Bolsover</v>
      </c>
      <c r="BZ88" s="7">
        <v>41.270059579382597</v>
      </c>
      <c r="CA88" s="7">
        <v>0</v>
      </c>
      <c r="CB88" s="7">
        <v>0.118075506134451</v>
      </c>
      <c r="CC88" s="7">
        <v>1.10638118092405</v>
      </c>
      <c r="CD88" s="7">
        <v>3.3563727312671099</v>
      </c>
      <c r="CE88" s="7">
        <v>0</v>
      </c>
      <c r="CF88" s="7">
        <v>11.8075506134451</v>
      </c>
      <c r="CG88" s="7">
        <v>64.464122756616106</v>
      </c>
      <c r="CH88" s="7">
        <v>98.225572041775095</v>
      </c>
      <c r="CI88" s="7">
        <v>37.7538903667472</v>
      </c>
      <c r="CJ88" s="7">
        <v>0</v>
      </c>
      <c r="CK88" s="7">
        <v>0.35988778855578502</v>
      </c>
      <c r="CL88" s="7">
        <v>1.5407104471558499</v>
      </c>
      <c r="CM88" s="7">
        <v>3.31551019028627</v>
      </c>
      <c r="CN88" s="7">
        <v>0</v>
      </c>
      <c r="CO88" s="7">
        <v>31.545949234461101</v>
      </c>
      <c r="CP88" s="7">
        <v>70.032446682664698</v>
      </c>
      <c r="CQ88" s="7">
        <v>100</v>
      </c>
      <c r="CR88" s="7">
        <v>18.519187851885601</v>
      </c>
      <c r="CS88" s="7">
        <v>0.33371075134349498</v>
      </c>
      <c r="CT88" s="7">
        <v>5.7700510359279402</v>
      </c>
      <c r="CU88" s="7">
        <v>10</v>
      </c>
      <c r="CV88" s="7">
        <v>10</v>
      </c>
      <c r="CW88" s="7">
        <v>30.592827931186001</v>
      </c>
      <c r="CX88" s="7">
        <v>100</v>
      </c>
      <c r="CY88" s="7">
        <v>100</v>
      </c>
      <c r="CZ88" s="7">
        <v>100</v>
      </c>
      <c r="DA88" s="9">
        <v>96.127363787468695</v>
      </c>
      <c r="DB88" s="9">
        <v>0</v>
      </c>
      <c r="DC88" s="9">
        <v>0</v>
      </c>
      <c r="DD88" s="9">
        <v>1.80991651738939E-2</v>
      </c>
      <c r="DE88" s="9">
        <v>0.226518403352824</v>
      </c>
      <c r="DF88" s="9">
        <v>0</v>
      </c>
      <c r="DG88" s="9">
        <v>0</v>
      </c>
      <c r="DH88" s="9">
        <v>1.8099165173893901</v>
      </c>
      <c r="DI88" s="9">
        <v>22.651840335282401</v>
      </c>
    </row>
    <row r="89" spans="1:113">
      <c r="A89" s="5" t="s">
        <v>275</v>
      </c>
      <c r="B89" s="5" t="s">
        <v>290</v>
      </c>
      <c r="C89" s="5" t="s">
        <v>291</v>
      </c>
      <c r="D89" s="6">
        <v>76898</v>
      </c>
      <c r="E89" s="7">
        <v>8.3170273802858095</v>
      </c>
      <c r="F89" s="7">
        <v>2.52792010195324</v>
      </c>
      <c r="G89" s="7">
        <v>9.5624593617519302</v>
      </c>
      <c r="H89" s="7">
        <v>10</v>
      </c>
      <c r="I89" s="7">
        <v>10</v>
      </c>
      <c r="J89" s="7">
        <v>91.017971858826002</v>
      </c>
      <c r="K89" s="7">
        <v>100</v>
      </c>
      <c r="L89" s="7">
        <v>100</v>
      </c>
      <c r="M89" s="7">
        <v>100</v>
      </c>
      <c r="N89" s="7">
        <v>8.2132465072520109</v>
      </c>
      <c r="O89" s="7">
        <v>6.4339644724180101</v>
      </c>
      <c r="P89" s="7">
        <v>10</v>
      </c>
      <c r="Q89" s="7">
        <v>10</v>
      </c>
      <c r="R89" s="7">
        <v>10</v>
      </c>
      <c r="S89" s="7">
        <v>96.452443496579903</v>
      </c>
      <c r="T89" s="7">
        <v>100</v>
      </c>
      <c r="U89" s="7">
        <v>100</v>
      </c>
      <c r="V89" s="7">
        <v>100</v>
      </c>
      <c r="W89" s="7">
        <v>6.8754252370378799</v>
      </c>
      <c r="X89" s="7">
        <v>9.9506749200239302</v>
      </c>
      <c r="Y89" s="7">
        <v>10</v>
      </c>
      <c r="Z89" s="7">
        <v>10</v>
      </c>
      <c r="AA89" s="7">
        <v>10</v>
      </c>
      <c r="AB89" s="7">
        <v>100</v>
      </c>
      <c r="AC89" s="7">
        <v>100</v>
      </c>
      <c r="AD89" s="7">
        <v>100</v>
      </c>
      <c r="AE89" s="7">
        <v>100</v>
      </c>
      <c r="AF89" s="6">
        <v>9.6063204984122201</v>
      </c>
      <c r="AG89" s="6">
        <v>1.9262269499857001</v>
      </c>
      <c r="AH89" s="6">
        <v>6.2312803974095603</v>
      </c>
      <c r="AI89" s="6">
        <v>9.1443600613800093</v>
      </c>
      <c r="AJ89" s="6">
        <v>9.8057296678717307</v>
      </c>
      <c r="AK89" s="6">
        <v>86.158287601758204</v>
      </c>
      <c r="AL89" s="6">
        <v>94.964758511274695</v>
      </c>
      <c r="AM89" s="6">
        <v>99.703503342089505</v>
      </c>
      <c r="AN89" s="6">
        <v>100</v>
      </c>
      <c r="AO89" s="6">
        <v>10.5823306451787</v>
      </c>
      <c r="AP89" s="7">
        <v>1.6128377851179501</v>
      </c>
      <c r="AQ89" s="7">
        <v>8.8703347291216907</v>
      </c>
      <c r="AR89" s="7">
        <v>10</v>
      </c>
      <c r="AS89" s="7">
        <v>10</v>
      </c>
      <c r="AT89" s="7">
        <v>76.884964498426498</v>
      </c>
      <c r="AU89" s="7">
        <v>100</v>
      </c>
      <c r="AV89" s="7">
        <v>100</v>
      </c>
      <c r="AW89" s="7">
        <v>100</v>
      </c>
      <c r="AX89" s="7">
        <v>8.9610971677671998</v>
      </c>
      <c r="AY89" s="7">
        <v>4.6780800540976397</v>
      </c>
      <c r="AZ89" s="7">
        <v>9.9590106374678093</v>
      </c>
      <c r="BA89" s="7">
        <v>10</v>
      </c>
      <c r="BB89" s="7">
        <v>10</v>
      </c>
      <c r="BC89" s="7">
        <v>98.902442196155903</v>
      </c>
      <c r="BD89" s="7">
        <v>100</v>
      </c>
      <c r="BE89" s="7">
        <v>100</v>
      </c>
      <c r="BF89" s="7">
        <v>100</v>
      </c>
      <c r="BG89" s="7">
        <v>7.2535095720279497</v>
      </c>
      <c r="BH89" s="7">
        <v>9.8525319254076802</v>
      </c>
      <c r="BI89" s="7">
        <v>10</v>
      </c>
      <c r="BJ89" s="7">
        <v>10</v>
      </c>
      <c r="BK89" s="7">
        <v>10</v>
      </c>
      <c r="BL89" s="7">
        <v>100</v>
      </c>
      <c r="BM89" s="7">
        <v>100</v>
      </c>
      <c r="BN89" s="7">
        <v>100</v>
      </c>
      <c r="BO89" s="7">
        <v>100</v>
      </c>
      <c r="BP89" s="6">
        <v>11.9253361453554</v>
      </c>
      <c r="BQ89" s="6">
        <v>1.15844365263076</v>
      </c>
      <c r="BR89" s="6">
        <v>4.3650420036932003</v>
      </c>
      <c r="BS89" s="6">
        <v>7.9358760956071697</v>
      </c>
      <c r="BT89" s="6">
        <v>9.4967619443938691</v>
      </c>
      <c r="BU89" s="6">
        <v>68.927670420557106</v>
      </c>
      <c r="BV89" s="6">
        <v>97.795781424744504</v>
      </c>
      <c r="BW89" s="6">
        <v>100</v>
      </c>
      <c r="BX89" s="6">
        <v>100</v>
      </c>
      <c r="BY89" s="6" t="str">
        <f>TRIM(Table1[[#This Row],[LA_Name]])</f>
        <v>Chesterfield</v>
      </c>
      <c r="BZ89" s="7">
        <v>25.074773814285098</v>
      </c>
      <c r="CA89" s="7">
        <v>0.12490571926448001</v>
      </c>
      <c r="CB89" s="7">
        <v>1.2268069390621299</v>
      </c>
      <c r="CC89" s="7">
        <v>2.18960181019012</v>
      </c>
      <c r="CD89" s="7">
        <v>5.18767718276158</v>
      </c>
      <c r="CE89" s="7">
        <v>9.4033654971520697</v>
      </c>
      <c r="CF89" s="7">
        <v>72.438815053707501</v>
      </c>
      <c r="CG89" s="7">
        <v>100</v>
      </c>
      <c r="CH89" s="7">
        <v>100</v>
      </c>
      <c r="CI89" s="7">
        <v>18.932426984035601</v>
      </c>
      <c r="CJ89" s="7">
        <v>0.61750630705609999</v>
      </c>
      <c r="CK89" s="7">
        <v>1.73912195375692</v>
      </c>
      <c r="CL89" s="7">
        <v>2</v>
      </c>
      <c r="CM89" s="7">
        <v>2.0626024083851302</v>
      </c>
      <c r="CN89" s="7">
        <v>38.017893833389699</v>
      </c>
      <c r="CO89" s="7">
        <v>90.785195973887497</v>
      </c>
      <c r="CP89" s="7">
        <v>100</v>
      </c>
      <c r="CQ89" s="7">
        <v>100</v>
      </c>
      <c r="CR89" s="7">
        <v>12.341649565989</v>
      </c>
      <c r="CS89" s="7">
        <v>1.59385159562017</v>
      </c>
      <c r="CT89" s="7">
        <v>3.49443418554449</v>
      </c>
      <c r="CU89" s="7">
        <v>10</v>
      </c>
      <c r="CV89" s="7">
        <v>10</v>
      </c>
      <c r="CW89" s="7">
        <v>83.180316783271394</v>
      </c>
      <c r="CX89" s="7">
        <v>100</v>
      </c>
      <c r="CY89" s="7">
        <v>100</v>
      </c>
      <c r="CZ89" s="7">
        <v>100</v>
      </c>
      <c r="DA89" s="9">
        <v>43.698082237734297</v>
      </c>
      <c r="DB89" s="9">
        <v>0.10764909360451499</v>
      </c>
      <c r="DC89" s="9">
        <v>0.53812842986813703</v>
      </c>
      <c r="DD89" s="9">
        <v>0.99167728679549505</v>
      </c>
      <c r="DE89" s="9">
        <v>1.4649925875835501</v>
      </c>
      <c r="DF89" s="9">
        <v>8.2368852245832098</v>
      </c>
      <c r="DG89" s="9">
        <v>34.060703789435401</v>
      </c>
      <c r="DH89" s="9">
        <v>56.6347629327161</v>
      </c>
      <c r="DI89" s="9">
        <v>79.363572524643004</v>
      </c>
    </row>
    <row r="90" spans="1:113">
      <c r="A90" s="5" t="s">
        <v>275</v>
      </c>
      <c r="B90" s="5" t="s">
        <v>292</v>
      </c>
      <c r="C90" s="5" t="s">
        <v>293</v>
      </c>
      <c r="D90" s="6">
        <v>52594</v>
      </c>
      <c r="E90" s="7">
        <v>18.1826563597612</v>
      </c>
      <c r="F90" s="7">
        <v>0.76170285583906905</v>
      </c>
      <c r="G90" s="7">
        <v>3.0038977830170701</v>
      </c>
      <c r="H90" s="7">
        <v>7.1799634939346699</v>
      </c>
      <c r="I90" s="7">
        <v>9.0240711868274008</v>
      </c>
      <c r="J90" s="7">
        <v>51.159828117275701</v>
      </c>
      <c r="K90" s="7">
        <v>85.661862569874899</v>
      </c>
      <c r="L90" s="7">
        <v>96.087006122371406</v>
      </c>
      <c r="M90" s="7">
        <v>99.060729360763602</v>
      </c>
      <c r="N90" s="7">
        <v>16.5973373430602</v>
      </c>
      <c r="O90" s="7">
        <v>1.1854394037342699</v>
      </c>
      <c r="P90" s="7">
        <v>2.98737498573982</v>
      </c>
      <c r="Q90" s="7">
        <v>6.3972506369547899</v>
      </c>
      <c r="R90" s="7">
        <v>8.7819333003764708</v>
      </c>
      <c r="S90" s="7">
        <v>56.012092634140799</v>
      </c>
      <c r="T90" s="7">
        <v>85.091455299083506</v>
      </c>
      <c r="U90" s="7">
        <v>98.682359204471993</v>
      </c>
      <c r="V90" s="7">
        <v>100</v>
      </c>
      <c r="W90" s="7">
        <v>9.9218470246981205</v>
      </c>
      <c r="X90" s="7">
        <v>3.0095828421492898</v>
      </c>
      <c r="Y90" s="7">
        <v>9.8717914591018001</v>
      </c>
      <c r="Z90" s="7">
        <v>10</v>
      </c>
      <c r="AA90" s="7">
        <v>10</v>
      </c>
      <c r="AB90" s="7">
        <v>87.224778491843196</v>
      </c>
      <c r="AC90" s="7">
        <v>100</v>
      </c>
      <c r="AD90" s="7">
        <v>100</v>
      </c>
      <c r="AE90" s="7">
        <v>100</v>
      </c>
      <c r="AF90" s="6">
        <v>36.660019817843299</v>
      </c>
      <c r="AG90" s="6">
        <v>0.56960870061223701</v>
      </c>
      <c r="AH90" s="6">
        <v>1.19009772977906</v>
      </c>
      <c r="AI90" s="6">
        <v>1.6187397802030601</v>
      </c>
      <c r="AJ90" s="6">
        <v>2.1726812944442302</v>
      </c>
      <c r="AK90" s="6">
        <v>42.006692778644002</v>
      </c>
      <c r="AL90" s="6">
        <v>57.202342472525402</v>
      </c>
      <c r="AM90" s="6">
        <v>66.895463360839599</v>
      </c>
      <c r="AN90" s="6">
        <v>74.082594972810597</v>
      </c>
      <c r="AO90" s="6">
        <v>13.791703005956601</v>
      </c>
      <c r="AP90" s="7">
        <v>1.06795451952694</v>
      </c>
      <c r="AQ90" s="7">
        <v>4.3501540099631102</v>
      </c>
      <c r="AR90" s="7">
        <v>7.9323306841084502</v>
      </c>
      <c r="AS90" s="7">
        <v>9.2659238696429291</v>
      </c>
      <c r="AT90" s="7">
        <v>62.933034186409103</v>
      </c>
      <c r="AU90" s="7">
        <v>95.164847701258694</v>
      </c>
      <c r="AV90" s="7">
        <v>99.060729360763602</v>
      </c>
      <c r="AW90" s="7">
        <v>99.781343879529999</v>
      </c>
      <c r="AX90" s="7">
        <v>12.669737231410901</v>
      </c>
      <c r="AY90" s="7">
        <v>1.56015895349279</v>
      </c>
      <c r="AZ90" s="7">
        <v>4.2546298056812599</v>
      </c>
      <c r="BA90" s="7">
        <v>7.5796288550024702</v>
      </c>
      <c r="BB90" s="7">
        <v>9.7762292276685603</v>
      </c>
      <c r="BC90" s="7">
        <v>73.295432939118498</v>
      </c>
      <c r="BD90" s="7">
        <v>96.685933756702298</v>
      </c>
      <c r="BE90" s="7">
        <v>100</v>
      </c>
      <c r="BF90" s="7">
        <v>100</v>
      </c>
      <c r="BG90" s="7">
        <v>8.4614349514122509</v>
      </c>
      <c r="BH90" s="7">
        <v>4.2992736814085299</v>
      </c>
      <c r="BI90" s="7">
        <v>9.9953036468038192</v>
      </c>
      <c r="BJ90" s="7">
        <v>10</v>
      </c>
      <c r="BK90" s="7">
        <v>10</v>
      </c>
      <c r="BL90" s="7">
        <v>95.813210632391502</v>
      </c>
      <c r="BM90" s="7">
        <v>100</v>
      </c>
      <c r="BN90" s="7">
        <v>100</v>
      </c>
      <c r="BO90" s="7">
        <v>100</v>
      </c>
      <c r="BP90" s="6">
        <v>24.466892812654802</v>
      </c>
      <c r="BQ90" s="6">
        <v>0.71473932387724803</v>
      </c>
      <c r="BR90" s="6">
        <v>1.6027113358938301</v>
      </c>
      <c r="BS90" s="6">
        <v>2.3187055557668201</v>
      </c>
      <c r="BT90" s="6">
        <v>3.0837167737764801</v>
      </c>
      <c r="BU90" s="6">
        <v>52.9889340989467</v>
      </c>
      <c r="BV90" s="6">
        <v>72.129900749134904</v>
      </c>
      <c r="BW90" s="6">
        <v>79.661178081149899</v>
      </c>
      <c r="BX90" s="6">
        <v>86.397687949195699</v>
      </c>
      <c r="BY90" s="6" t="str">
        <f>TRIM(Table1[[#This Row],[LA_Name]])</f>
        <v>Derbyshire Dales</v>
      </c>
      <c r="BZ90" s="7">
        <v>64.264502812226098</v>
      </c>
      <c r="CA90" s="7">
        <v>0</v>
      </c>
      <c r="CB90" s="7">
        <v>0</v>
      </c>
      <c r="CC90" s="7">
        <v>0.16326957447617599</v>
      </c>
      <c r="CD90" s="7">
        <v>1.33279461535536</v>
      </c>
      <c r="CE90" s="7">
        <v>0</v>
      </c>
      <c r="CF90" s="7">
        <v>0</v>
      </c>
      <c r="CG90" s="7">
        <v>12.005171692588499</v>
      </c>
      <c r="CH90" s="7">
        <v>47.284861391033203</v>
      </c>
      <c r="CI90" s="7">
        <v>76.659307857599998</v>
      </c>
      <c r="CJ90" s="7">
        <v>0</v>
      </c>
      <c r="CK90" s="7">
        <v>0</v>
      </c>
      <c r="CL90" s="7">
        <v>0</v>
      </c>
      <c r="CM90" s="7">
        <v>0.15134806251663699</v>
      </c>
      <c r="CN90" s="7">
        <v>0</v>
      </c>
      <c r="CO90" s="7">
        <v>0</v>
      </c>
      <c r="CP90" s="7">
        <v>0</v>
      </c>
      <c r="CQ90" s="7">
        <v>9.1892611324485696</v>
      </c>
      <c r="CR90" s="7">
        <v>30.336957669427701</v>
      </c>
      <c r="CS90" s="7">
        <v>0</v>
      </c>
      <c r="CT90" s="7">
        <v>1.10603871164011</v>
      </c>
      <c r="CU90" s="7">
        <v>7.22439822032932</v>
      </c>
      <c r="CV90" s="7">
        <v>9.9842187321747708</v>
      </c>
      <c r="CW90" s="7">
        <v>0</v>
      </c>
      <c r="CX90" s="7">
        <v>51.384188310453702</v>
      </c>
      <c r="CY90" s="7">
        <v>98.315397193596198</v>
      </c>
      <c r="CZ90" s="7">
        <v>100</v>
      </c>
      <c r="DA90" s="9">
        <v>120</v>
      </c>
      <c r="DB90" s="9">
        <v>0</v>
      </c>
      <c r="DC90" s="9">
        <v>0</v>
      </c>
      <c r="DD90" s="9">
        <v>0</v>
      </c>
      <c r="DE90" s="9">
        <v>0</v>
      </c>
      <c r="DF90" s="9">
        <v>0</v>
      </c>
      <c r="DG90" s="9">
        <v>0</v>
      </c>
      <c r="DH90" s="9">
        <v>0</v>
      </c>
      <c r="DI90" s="9">
        <v>0</v>
      </c>
    </row>
    <row r="91" spans="1:113">
      <c r="A91" s="5" t="s">
        <v>275</v>
      </c>
      <c r="B91" s="5" t="s">
        <v>294</v>
      </c>
      <c r="C91" s="5" t="s">
        <v>295</v>
      </c>
      <c r="D91" s="6">
        <v>83525</v>
      </c>
      <c r="E91" s="7">
        <v>6.9779688906698203</v>
      </c>
      <c r="F91" s="7">
        <v>3.2424064651302</v>
      </c>
      <c r="G91" s="7">
        <v>9.7743070936845307</v>
      </c>
      <c r="H91" s="7">
        <v>10</v>
      </c>
      <c r="I91" s="7">
        <v>10</v>
      </c>
      <c r="J91" s="7">
        <v>94.853038012571105</v>
      </c>
      <c r="K91" s="7">
        <v>100</v>
      </c>
      <c r="L91" s="7">
        <v>100</v>
      </c>
      <c r="M91" s="7">
        <v>100</v>
      </c>
      <c r="N91" s="7">
        <v>7.4832748329907002</v>
      </c>
      <c r="O91" s="7">
        <v>7.2428374738102397</v>
      </c>
      <c r="P91" s="7">
        <v>10</v>
      </c>
      <c r="Q91" s="7">
        <v>10</v>
      </c>
      <c r="R91" s="7">
        <v>10</v>
      </c>
      <c r="S91" s="7">
        <v>99.305597126608802</v>
      </c>
      <c r="T91" s="7">
        <v>100</v>
      </c>
      <c r="U91" s="7">
        <v>100</v>
      </c>
      <c r="V91" s="7">
        <v>100</v>
      </c>
      <c r="W91" s="7">
        <v>6.5015116503994399</v>
      </c>
      <c r="X91" s="7">
        <v>9.9799341514516602</v>
      </c>
      <c r="Y91" s="7">
        <v>10</v>
      </c>
      <c r="Z91" s="7">
        <v>10</v>
      </c>
      <c r="AA91" s="7">
        <v>10</v>
      </c>
      <c r="AB91" s="7">
        <v>100</v>
      </c>
      <c r="AC91" s="7">
        <v>100</v>
      </c>
      <c r="AD91" s="7">
        <v>100</v>
      </c>
      <c r="AE91" s="7">
        <v>100</v>
      </c>
      <c r="AF91" s="6">
        <v>7.3371881581601599</v>
      </c>
      <c r="AG91" s="6">
        <v>2.4927387009877302</v>
      </c>
      <c r="AH91" s="6">
        <v>6.8432325651002701</v>
      </c>
      <c r="AI91" s="6">
        <v>9.2887758156240707</v>
      </c>
      <c r="AJ91" s="6">
        <v>9.8252259802454294</v>
      </c>
      <c r="AK91" s="6">
        <v>92.976953008081395</v>
      </c>
      <c r="AL91" s="6">
        <v>99.305597126608802</v>
      </c>
      <c r="AM91" s="6">
        <v>100</v>
      </c>
      <c r="AN91" s="6">
        <v>100</v>
      </c>
      <c r="AO91" s="6">
        <v>10.998738952997201</v>
      </c>
      <c r="AP91" s="7">
        <v>1.9268003591739</v>
      </c>
      <c r="AQ91" s="7">
        <v>9.1449506135887493</v>
      </c>
      <c r="AR91" s="7">
        <v>9.9927087698293899</v>
      </c>
      <c r="AS91" s="7">
        <v>10</v>
      </c>
      <c r="AT91" s="7">
        <v>69.581562406465096</v>
      </c>
      <c r="AU91" s="7">
        <v>100</v>
      </c>
      <c r="AV91" s="7">
        <v>100</v>
      </c>
      <c r="AW91" s="7">
        <v>100</v>
      </c>
      <c r="AX91" s="7">
        <v>10.0106285470861</v>
      </c>
      <c r="AY91" s="7">
        <v>4.7296857228374698</v>
      </c>
      <c r="AZ91" s="7">
        <v>9.7966477102663898</v>
      </c>
      <c r="BA91" s="7">
        <v>10</v>
      </c>
      <c r="BB91" s="7">
        <v>10</v>
      </c>
      <c r="BC91" s="7">
        <v>88.165219994013796</v>
      </c>
      <c r="BD91" s="7">
        <v>100</v>
      </c>
      <c r="BE91" s="7">
        <v>100</v>
      </c>
      <c r="BF91" s="7">
        <v>100</v>
      </c>
      <c r="BG91" s="7">
        <v>7.7494402709830803</v>
      </c>
      <c r="BH91" s="7">
        <v>9.5008320862017399</v>
      </c>
      <c r="BI91" s="7">
        <v>10</v>
      </c>
      <c r="BJ91" s="7">
        <v>10</v>
      </c>
      <c r="BK91" s="7">
        <v>10</v>
      </c>
      <c r="BL91" s="7">
        <v>100</v>
      </c>
      <c r="BM91" s="7">
        <v>100</v>
      </c>
      <c r="BN91" s="7">
        <v>100</v>
      </c>
      <c r="BO91" s="7">
        <v>100</v>
      </c>
      <c r="BP91" s="6">
        <v>15.259219069516201</v>
      </c>
      <c r="BQ91" s="6">
        <v>1.4904878778808699</v>
      </c>
      <c r="BR91" s="6">
        <v>4.5454295121221202</v>
      </c>
      <c r="BS91" s="6">
        <v>7.4457587548638102</v>
      </c>
      <c r="BT91" s="6">
        <v>8.7591739000299302</v>
      </c>
      <c r="BU91" s="6">
        <v>59.968871595330697</v>
      </c>
      <c r="BV91" s="6">
        <v>86.041304998503406</v>
      </c>
      <c r="BW91" s="6">
        <v>96.696797366058107</v>
      </c>
      <c r="BX91" s="6">
        <v>100</v>
      </c>
      <c r="BY91" s="6" t="str">
        <f>TRIM(Table1[[#This Row],[LA_Name]])</f>
        <v>Erewash</v>
      </c>
      <c r="BZ91" s="7">
        <v>38.666884038446199</v>
      </c>
      <c r="CA91" s="7">
        <v>0</v>
      </c>
      <c r="CB91" s="7">
        <v>0.15257707273271501</v>
      </c>
      <c r="CC91" s="7">
        <v>3.44166417240347</v>
      </c>
      <c r="CD91" s="7">
        <v>8.8582939239748608</v>
      </c>
      <c r="CE91" s="7">
        <v>0</v>
      </c>
      <c r="CF91" s="7">
        <v>12.2454354983538</v>
      </c>
      <c r="CG91" s="7">
        <v>80.777012870398096</v>
      </c>
      <c r="CH91" s="7">
        <v>100</v>
      </c>
      <c r="CI91" s="7">
        <v>38.739907207768802</v>
      </c>
      <c r="CJ91" s="7">
        <v>0</v>
      </c>
      <c r="CK91" s="7">
        <v>9.0344208320861999E-2</v>
      </c>
      <c r="CL91" s="7">
        <v>2.4262915294821901</v>
      </c>
      <c r="CM91" s="7">
        <v>9.0235618078419595</v>
      </c>
      <c r="CN91" s="7">
        <v>0</v>
      </c>
      <c r="CO91" s="7">
        <v>6.8530380125710897</v>
      </c>
      <c r="CP91" s="7">
        <v>81.339718647111695</v>
      </c>
      <c r="CQ91" s="7">
        <v>100</v>
      </c>
      <c r="CR91" s="7">
        <v>20.7086616261724</v>
      </c>
      <c r="CS91" s="7">
        <v>6.1490571685124201E-2</v>
      </c>
      <c r="CT91" s="7">
        <v>8.9315055372642895</v>
      </c>
      <c r="CU91" s="7">
        <v>10</v>
      </c>
      <c r="CV91" s="7">
        <v>10</v>
      </c>
      <c r="CW91" s="7">
        <v>5.4869799461239204</v>
      </c>
      <c r="CX91" s="7">
        <v>100</v>
      </c>
      <c r="CY91" s="7">
        <v>100</v>
      </c>
      <c r="CZ91" s="7">
        <v>100</v>
      </c>
      <c r="DA91" s="9">
        <v>104.71786836520801</v>
      </c>
      <c r="DB91" s="9">
        <v>0</v>
      </c>
      <c r="DC91" s="9">
        <v>0</v>
      </c>
      <c r="DD91" s="9">
        <v>0</v>
      </c>
      <c r="DE91" s="9">
        <v>8.4645315773720503E-3</v>
      </c>
      <c r="DF91" s="9">
        <v>0</v>
      </c>
      <c r="DG91" s="9">
        <v>0</v>
      </c>
      <c r="DH91" s="9">
        <v>0</v>
      </c>
      <c r="DI91" s="9">
        <v>0.66207722238850597</v>
      </c>
    </row>
    <row r="92" spans="1:113">
      <c r="A92" s="5" t="s">
        <v>275</v>
      </c>
      <c r="B92" s="5" t="s">
        <v>296</v>
      </c>
      <c r="C92" s="5" t="s">
        <v>297</v>
      </c>
      <c r="D92" s="6">
        <v>68370</v>
      </c>
      <c r="E92" s="7">
        <v>9.0626195342059201</v>
      </c>
      <c r="F92" s="7">
        <v>2.0071522597630498</v>
      </c>
      <c r="G92" s="7">
        <v>7.7563843791136504</v>
      </c>
      <c r="H92" s="7">
        <v>9.6684949539271603</v>
      </c>
      <c r="I92" s="7">
        <v>9.9273365511189091</v>
      </c>
      <c r="J92" s="7">
        <v>84.554629223343596</v>
      </c>
      <c r="K92" s="7">
        <v>98.904490273511797</v>
      </c>
      <c r="L92" s="7">
        <v>99.366681292964799</v>
      </c>
      <c r="M92" s="7">
        <v>99.6167909902004</v>
      </c>
      <c r="N92" s="7">
        <v>8.8678664341436004</v>
      </c>
      <c r="O92" s="7">
        <v>4.1121105748135101</v>
      </c>
      <c r="P92" s="7">
        <v>8.1620740090683004</v>
      </c>
      <c r="Q92" s="7">
        <v>9.4608307737311694</v>
      </c>
      <c r="R92" s="7">
        <v>9.8745502413339192</v>
      </c>
      <c r="S92" s="7">
        <v>95.302033055433697</v>
      </c>
      <c r="T92" s="7">
        <v>99.005411730291101</v>
      </c>
      <c r="U92" s="7">
        <v>99.653356735410298</v>
      </c>
      <c r="V92" s="7">
        <v>100</v>
      </c>
      <c r="W92" s="7">
        <v>6.9814415529769196</v>
      </c>
      <c r="X92" s="7">
        <v>8.0649700160889299</v>
      </c>
      <c r="Y92" s="7">
        <v>10</v>
      </c>
      <c r="Z92" s="7">
        <v>10</v>
      </c>
      <c r="AA92" s="7">
        <v>10</v>
      </c>
      <c r="AB92" s="7">
        <v>99.005411730291101</v>
      </c>
      <c r="AC92" s="7">
        <v>100</v>
      </c>
      <c r="AD92" s="7">
        <v>100</v>
      </c>
      <c r="AE92" s="7">
        <v>100</v>
      </c>
      <c r="AF92" s="6">
        <v>11.613401178501499</v>
      </c>
      <c r="AG92" s="6">
        <v>1.6023402076934301</v>
      </c>
      <c r="AH92" s="6">
        <v>4.0196284920286702</v>
      </c>
      <c r="AI92" s="6">
        <v>6.0248939593388897</v>
      </c>
      <c r="AJ92" s="6">
        <v>7.1494222612256797</v>
      </c>
      <c r="AK92" s="6">
        <v>77.959631417288307</v>
      </c>
      <c r="AL92" s="6">
        <v>93.675588708497898</v>
      </c>
      <c r="AM92" s="6">
        <v>96.979669445663305</v>
      </c>
      <c r="AN92" s="6">
        <v>97.728535907561806</v>
      </c>
      <c r="AO92" s="6">
        <v>10.281946338135</v>
      </c>
      <c r="AP92" s="7">
        <v>1.76418019599239</v>
      </c>
      <c r="AQ92" s="7">
        <v>6.30263273365511</v>
      </c>
      <c r="AR92" s="7">
        <v>9.7708059090244301</v>
      </c>
      <c r="AS92" s="7">
        <v>9.9419482229047809</v>
      </c>
      <c r="AT92" s="7">
        <v>80.122860903905206</v>
      </c>
      <c r="AU92" s="7">
        <v>98.31358783092</v>
      </c>
      <c r="AV92" s="7">
        <v>100</v>
      </c>
      <c r="AW92" s="7">
        <v>100</v>
      </c>
      <c r="AX92" s="7">
        <v>9.5238617541620201</v>
      </c>
      <c r="AY92" s="7">
        <v>3.0769050753254401</v>
      </c>
      <c r="AZ92" s="7">
        <v>6.6256545268392601</v>
      </c>
      <c r="BA92" s="7">
        <v>9.6695187947930403</v>
      </c>
      <c r="BB92" s="7">
        <v>9.8942079859587508</v>
      </c>
      <c r="BC92" s="7">
        <v>89.204329384232906</v>
      </c>
      <c r="BD92" s="7">
        <v>99.653356735410298</v>
      </c>
      <c r="BE92" s="7">
        <v>100</v>
      </c>
      <c r="BF92" s="7">
        <v>100</v>
      </c>
      <c r="BG92" s="7">
        <v>7.4405318356439096</v>
      </c>
      <c r="BH92" s="7">
        <v>5.8722977914289904</v>
      </c>
      <c r="BI92" s="7">
        <v>9.9965335673540991</v>
      </c>
      <c r="BJ92" s="7">
        <v>10</v>
      </c>
      <c r="BK92" s="7">
        <v>10</v>
      </c>
      <c r="BL92" s="7">
        <v>99.653356735410298</v>
      </c>
      <c r="BM92" s="7">
        <v>100</v>
      </c>
      <c r="BN92" s="7">
        <v>100</v>
      </c>
      <c r="BO92" s="7">
        <v>100</v>
      </c>
      <c r="BP92" s="6">
        <v>13.973921746225701</v>
      </c>
      <c r="BQ92" s="6">
        <v>1.29978060552874</v>
      </c>
      <c r="BR92" s="6">
        <v>2.9733362585929499</v>
      </c>
      <c r="BS92" s="6">
        <v>4.3365657452098896</v>
      </c>
      <c r="BT92" s="6">
        <v>5.2656135732046199</v>
      </c>
      <c r="BU92" s="6">
        <v>69.403247038174598</v>
      </c>
      <c r="BV92" s="6">
        <v>87.377504753546901</v>
      </c>
      <c r="BW92" s="6">
        <v>96.581834137779694</v>
      </c>
      <c r="BX92" s="6">
        <v>98.432060845400002</v>
      </c>
      <c r="BY92" s="6" t="str">
        <f>TRIM(Table1[[#This Row],[LA_Name]])</f>
        <v>High Peak</v>
      </c>
      <c r="BZ92" s="7">
        <v>51.175516455553897</v>
      </c>
      <c r="CA92" s="7">
        <v>0</v>
      </c>
      <c r="CB92" s="7">
        <v>0</v>
      </c>
      <c r="CC92" s="7">
        <v>0.47441860465116298</v>
      </c>
      <c r="CD92" s="7">
        <v>4.6011701038467203</v>
      </c>
      <c r="CE92" s="7">
        <v>0</v>
      </c>
      <c r="CF92" s="7">
        <v>0</v>
      </c>
      <c r="CG92" s="7">
        <v>24.3015942664912</v>
      </c>
      <c r="CH92" s="7">
        <v>89.621178879625603</v>
      </c>
      <c r="CI92" s="7">
        <v>60.288154255843402</v>
      </c>
      <c r="CJ92" s="7">
        <v>0</v>
      </c>
      <c r="CK92" s="7">
        <v>0</v>
      </c>
      <c r="CL92" s="7">
        <v>0.27678806494076302</v>
      </c>
      <c r="CM92" s="7">
        <v>1.7864267953780899</v>
      </c>
      <c r="CN92" s="7">
        <v>0</v>
      </c>
      <c r="CO92" s="7">
        <v>0</v>
      </c>
      <c r="CP92" s="7">
        <v>18.746526254205101</v>
      </c>
      <c r="CQ92" s="7">
        <v>54.443469357905499</v>
      </c>
      <c r="CR92" s="7">
        <v>29.202394671912302</v>
      </c>
      <c r="CS92" s="7">
        <v>0</v>
      </c>
      <c r="CT92" s="7">
        <v>1.4331139388620699</v>
      </c>
      <c r="CU92" s="7">
        <v>7.5810881965774497</v>
      </c>
      <c r="CV92" s="7">
        <v>10</v>
      </c>
      <c r="CW92" s="7">
        <v>0</v>
      </c>
      <c r="CX92" s="7">
        <v>55.262542050607003</v>
      </c>
      <c r="CY92" s="7">
        <v>100</v>
      </c>
      <c r="CZ92" s="7">
        <v>100</v>
      </c>
      <c r="DA92" s="9">
        <v>119.113022612186</v>
      </c>
      <c r="DB92" s="9">
        <v>0</v>
      </c>
      <c r="DC92" s="9">
        <v>0</v>
      </c>
      <c r="DD92" s="9">
        <v>0</v>
      </c>
      <c r="DE92" s="9">
        <v>0</v>
      </c>
      <c r="DF92" s="9">
        <v>0</v>
      </c>
      <c r="DG92" s="9">
        <v>0</v>
      </c>
      <c r="DH92" s="9">
        <v>0</v>
      </c>
      <c r="DI92" s="9">
        <v>0</v>
      </c>
    </row>
    <row r="93" spans="1:113">
      <c r="A93" s="5" t="s">
        <v>275</v>
      </c>
      <c r="B93" s="5" t="s">
        <v>298</v>
      </c>
      <c r="C93" s="5" t="s">
        <v>299</v>
      </c>
      <c r="D93" s="6">
        <v>73413</v>
      </c>
      <c r="E93" s="7">
        <v>9.6096653192320005</v>
      </c>
      <c r="F93" s="7">
        <v>1.94238077724654</v>
      </c>
      <c r="G93" s="7">
        <v>9.3291515126748692</v>
      </c>
      <c r="H93" s="7">
        <v>9.9615054554370506</v>
      </c>
      <c r="I93" s="7">
        <v>10</v>
      </c>
      <c r="J93" s="7">
        <v>83.052048002397399</v>
      </c>
      <c r="K93" s="7">
        <v>99.169084494571806</v>
      </c>
      <c r="L93" s="7">
        <v>100</v>
      </c>
      <c r="M93" s="7">
        <v>100</v>
      </c>
      <c r="N93" s="7">
        <v>9.4426184967138909</v>
      </c>
      <c r="O93" s="7">
        <v>3.3572936673341198</v>
      </c>
      <c r="P93" s="7">
        <v>9.8635119120591703</v>
      </c>
      <c r="Q93" s="7">
        <v>10</v>
      </c>
      <c r="R93" s="7">
        <v>10</v>
      </c>
      <c r="S93" s="7">
        <v>88.751311075695</v>
      </c>
      <c r="T93" s="7">
        <v>100</v>
      </c>
      <c r="U93" s="7">
        <v>100</v>
      </c>
      <c r="V93" s="7">
        <v>100</v>
      </c>
      <c r="W93" s="7">
        <v>7.4037114643338402</v>
      </c>
      <c r="X93" s="7">
        <v>9.7788130167681508</v>
      </c>
      <c r="Y93" s="7">
        <v>10</v>
      </c>
      <c r="Z93" s="7">
        <v>10</v>
      </c>
      <c r="AA93" s="7">
        <v>10</v>
      </c>
      <c r="AB93" s="7">
        <v>100</v>
      </c>
      <c r="AC93" s="7">
        <v>100</v>
      </c>
      <c r="AD93" s="7">
        <v>100</v>
      </c>
      <c r="AE93" s="7">
        <v>100</v>
      </c>
      <c r="AF93" s="6">
        <v>13.2745249500132</v>
      </c>
      <c r="AG93" s="6">
        <v>1.3170419408006799</v>
      </c>
      <c r="AH93" s="6">
        <v>3.2181902387860499</v>
      </c>
      <c r="AI93" s="6">
        <v>6.3595820903654703</v>
      </c>
      <c r="AJ93" s="6">
        <v>8.9288409409777607</v>
      </c>
      <c r="AK93" s="6">
        <v>71.524116982005907</v>
      </c>
      <c r="AL93" s="6">
        <v>90.312342500647006</v>
      </c>
      <c r="AM93" s="6">
        <v>97.183060220941798</v>
      </c>
      <c r="AN93" s="6">
        <v>98.725021453965894</v>
      </c>
      <c r="AO93" s="6">
        <v>13.3020323486317</v>
      </c>
      <c r="AP93" s="7">
        <v>0.83482489477340505</v>
      </c>
      <c r="AQ93" s="7">
        <v>6.2413741435440597</v>
      </c>
      <c r="AR93" s="7">
        <v>9.9231607480963895</v>
      </c>
      <c r="AS93" s="7">
        <v>9.9942244561589906</v>
      </c>
      <c r="AT93" s="7">
        <v>59.458134117935501</v>
      </c>
      <c r="AU93" s="7">
        <v>99.3938403280073</v>
      </c>
      <c r="AV93" s="7">
        <v>100</v>
      </c>
      <c r="AW93" s="7">
        <v>100</v>
      </c>
      <c r="AX93" s="7">
        <v>11.4738045483062</v>
      </c>
      <c r="AY93" s="7">
        <v>1.51448653508234</v>
      </c>
      <c r="AZ93" s="7">
        <v>8.8536090338223499</v>
      </c>
      <c r="BA93" s="7">
        <v>10</v>
      </c>
      <c r="BB93" s="7">
        <v>10</v>
      </c>
      <c r="BC93" s="7">
        <v>78.341710596215904</v>
      </c>
      <c r="BD93" s="7">
        <v>100</v>
      </c>
      <c r="BE93" s="7">
        <v>100</v>
      </c>
      <c r="BF93" s="7">
        <v>100</v>
      </c>
      <c r="BG93" s="7">
        <v>8.3972857536803893</v>
      </c>
      <c r="BH93" s="7">
        <v>7.6683421192431904</v>
      </c>
      <c r="BI93" s="7">
        <v>10</v>
      </c>
      <c r="BJ93" s="7">
        <v>10</v>
      </c>
      <c r="BK93" s="7">
        <v>10</v>
      </c>
      <c r="BL93" s="7">
        <v>100</v>
      </c>
      <c r="BM93" s="7">
        <v>100</v>
      </c>
      <c r="BN93" s="7">
        <v>100</v>
      </c>
      <c r="BO93" s="7">
        <v>100</v>
      </c>
      <c r="BP93" s="6">
        <v>19.213597491266999</v>
      </c>
      <c r="BQ93" s="6">
        <v>0.55678149646520403</v>
      </c>
      <c r="BR93" s="6">
        <v>1.4624793973819401</v>
      </c>
      <c r="BS93" s="6">
        <v>3.1813575252339499</v>
      </c>
      <c r="BT93" s="6">
        <v>5.5969514936046796</v>
      </c>
      <c r="BU93" s="6">
        <v>45.249478975113398</v>
      </c>
      <c r="BV93" s="6">
        <v>77.099423807772496</v>
      </c>
      <c r="BW93" s="6">
        <v>95.740536417255797</v>
      </c>
      <c r="BX93" s="6">
        <v>99.452413060357202</v>
      </c>
      <c r="BY93" s="6" t="str">
        <f>TRIM(Table1[[#This Row],[LA_Name]])</f>
        <v>North East Derbyshire</v>
      </c>
      <c r="BZ93" s="7">
        <v>37.351665976099099</v>
      </c>
      <c r="CA93" s="7">
        <v>8.5679648018743299E-3</v>
      </c>
      <c r="CB93" s="7">
        <v>0.30999959135303001</v>
      </c>
      <c r="CC93" s="7">
        <v>1.82636590249683</v>
      </c>
      <c r="CD93" s="7">
        <v>4.6360590086224498</v>
      </c>
      <c r="CE93" s="7">
        <v>0.85679648018743304</v>
      </c>
      <c r="CF93" s="7">
        <v>26.431286012014201</v>
      </c>
      <c r="CG93" s="7">
        <v>76.940051489518197</v>
      </c>
      <c r="CH93" s="7">
        <v>98.865323580292298</v>
      </c>
      <c r="CI93" s="7">
        <v>36.6292442208604</v>
      </c>
      <c r="CJ93" s="7">
        <v>2.4927465162845799E-2</v>
      </c>
      <c r="CK93" s="7">
        <v>0.433479084085925</v>
      </c>
      <c r="CL93" s="7">
        <v>2.1089452821707302</v>
      </c>
      <c r="CM93" s="7">
        <v>6.0034871208096696</v>
      </c>
      <c r="CN93" s="7">
        <v>2.4927465162845799</v>
      </c>
      <c r="CO93" s="7">
        <v>24.055684960429399</v>
      </c>
      <c r="CP93" s="7">
        <v>79.622137768515103</v>
      </c>
      <c r="CQ93" s="7">
        <v>100</v>
      </c>
      <c r="CR93" s="7">
        <v>18.380165545517201</v>
      </c>
      <c r="CS93" s="7">
        <v>0.339040769346029</v>
      </c>
      <c r="CT93" s="7">
        <v>6.3882282429542503</v>
      </c>
      <c r="CU93" s="7">
        <v>10</v>
      </c>
      <c r="CV93" s="7">
        <v>10</v>
      </c>
      <c r="CW93" s="7">
        <v>22.205876343426901</v>
      </c>
      <c r="CX93" s="7">
        <v>100</v>
      </c>
      <c r="CY93" s="7">
        <v>100</v>
      </c>
      <c r="CZ93" s="7">
        <v>100</v>
      </c>
      <c r="DA93" s="9">
        <v>96.664054878191905</v>
      </c>
      <c r="DB93" s="9">
        <v>0</v>
      </c>
      <c r="DC93" s="9">
        <v>2.2448340212223999E-2</v>
      </c>
      <c r="DD93" s="9">
        <v>7.9863239480745904E-2</v>
      </c>
      <c r="DE93" s="9">
        <v>0.20042771716181099</v>
      </c>
      <c r="DF93" s="9">
        <v>0</v>
      </c>
      <c r="DG93" s="9">
        <v>2.2448340212223998</v>
      </c>
      <c r="DH93" s="9">
        <v>4.9419040224483402</v>
      </c>
      <c r="DI93" s="9">
        <v>12.868293081606801</v>
      </c>
    </row>
    <row r="94" spans="1:113">
      <c r="A94" s="5" t="s">
        <v>275</v>
      </c>
      <c r="B94" s="5" t="s">
        <v>300</v>
      </c>
      <c r="C94" s="5" t="s">
        <v>301</v>
      </c>
      <c r="D94" s="6">
        <v>78752</v>
      </c>
      <c r="E94" s="7">
        <v>9.9246665511130097</v>
      </c>
      <c r="F94" s="7">
        <v>1.9783370581064601</v>
      </c>
      <c r="G94" s="7">
        <v>8.5920484559122308</v>
      </c>
      <c r="H94" s="7">
        <v>9.7659488013002793</v>
      </c>
      <c r="I94" s="7">
        <v>9.8846759447379107</v>
      </c>
      <c r="J94" s="7">
        <v>85.619412840308797</v>
      </c>
      <c r="K94" s="7">
        <v>96.3556481105242</v>
      </c>
      <c r="L94" s="7">
        <v>99.139069483949598</v>
      </c>
      <c r="M94" s="7">
        <v>99.748577813896802</v>
      </c>
      <c r="N94" s="7">
        <v>9.2379653679917695</v>
      </c>
      <c r="O94" s="7">
        <v>3.48264171068671</v>
      </c>
      <c r="P94" s="7">
        <v>9.1199588581877293</v>
      </c>
      <c r="Q94" s="7">
        <v>10</v>
      </c>
      <c r="R94" s="7">
        <v>10</v>
      </c>
      <c r="S94" s="7">
        <v>88.494260463226297</v>
      </c>
      <c r="T94" s="7">
        <v>99.748577813896802</v>
      </c>
      <c r="U94" s="7">
        <v>100</v>
      </c>
      <c r="V94" s="7">
        <v>100</v>
      </c>
      <c r="W94" s="7">
        <v>7.3203375147385401</v>
      </c>
      <c r="X94" s="7">
        <v>8.6057116009752104</v>
      </c>
      <c r="Y94" s="7">
        <v>10</v>
      </c>
      <c r="Z94" s="7">
        <v>10</v>
      </c>
      <c r="AA94" s="7">
        <v>10</v>
      </c>
      <c r="AB94" s="7">
        <v>99.169544900446994</v>
      </c>
      <c r="AC94" s="7">
        <v>100</v>
      </c>
      <c r="AD94" s="7">
        <v>100</v>
      </c>
      <c r="AE94" s="7">
        <v>100</v>
      </c>
      <c r="AF94" s="6">
        <v>12.852453348797701</v>
      </c>
      <c r="AG94" s="6">
        <v>1.3989105038602201</v>
      </c>
      <c r="AH94" s="6">
        <v>3.3893615400243799</v>
      </c>
      <c r="AI94" s="6">
        <v>6.0854708451848802</v>
      </c>
      <c r="AJ94" s="6">
        <v>7.3691334823242602</v>
      </c>
      <c r="AK94" s="6">
        <v>78.478006907761099</v>
      </c>
      <c r="AL94" s="6">
        <v>88.824410808614402</v>
      </c>
      <c r="AM94" s="6">
        <v>94.702356765542504</v>
      </c>
      <c r="AN94" s="6">
        <v>98.883837870784205</v>
      </c>
      <c r="AO94" s="6">
        <v>13.0834900314584</v>
      </c>
      <c r="AP94" s="7">
        <v>0.95150599349857801</v>
      </c>
      <c r="AQ94" s="7">
        <v>4.9082816944331604</v>
      </c>
      <c r="AR94" s="7">
        <v>9.1164287891101203</v>
      </c>
      <c r="AS94" s="7">
        <v>9.8307725518082094</v>
      </c>
      <c r="AT94" s="7">
        <v>66.699258431531902</v>
      </c>
      <c r="AU94" s="7">
        <v>97.098486387647299</v>
      </c>
      <c r="AV94" s="7">
        <v>98.640034538805395</v>
      </c>
      <c r="AW94" s="7">
        <v>99.875558715969106</v>
      </c>
      <c r="AX94" s="7">
        <v>10.721124092782199</v>
      </c>
      <c r="AY94" s="7">
        <v>1.7841832588378701</v>
      </c>
      <c r="AZ94" s="7">
        <v>7.1155780170662304</v>
      </c>
      <c r="BA94" s="7">
        <v>9.9478489435189008</v>
      </c>
      <c r="BB94" s="7">
        <v>10</v>
      </c>
      <c r="BC94" s="7">
        <v>81.130637952051998</v>
      </c>
      <c r="BD94" s="7">
        <v>100</v>
      </c>
      <c r="BE94" s="7">
        <v>100</v>
      </c>
      <c r="BF94" s="7">
        <v>100</v>
      </c>
      <c r="BG94" s="7">
        <v>7.9792144878736</v>
      </c>
      <c r="BH94" s="7">
        <v>6.1561611133685501</v>
      </c>
      <c r="BI94" s="7">
        <v>10</v>
      </c>
      <c r="BJ94" s="7">
        <v>10</v>
      </c>
      <c r="BK94" s="7">
        <v>10</v>
      </c>
      <c r="BL94" s="7">
        <v>99.531440471353093</v>
      </c>
      <c r="BM94" s="7">
        <v>100</v>
      </c>
      <c r="BN94" s="7">
        <v>100</v>
      </c>
      <c r="BO94" s="7">
        <v>100</v>
      </c>
      <c r="BP94" s="6">
        <v>17.8906370492615</v>
      </c>
      <c r="BQ94" s="6">
        <v>0.63391405932547695</v>
      </c>
      <c r="BR94" s="6">
        <v>1.74594930922389</v>
      </c>
      <c r="BS94" s="6">
        <v>3.0886961600975198</v>
      </c>
      <c r="BT94" s="6">
        <v>4.7282227752945998</v>
      </c>
      <c r="BU94" s="6">
        <v>55.234152783421401</v>
      </c>
      <c r="BV94" s="6">
        <v>80.781440471353093</v>
      </c>
      <c r="BW94" s="6">
        <v>95.273770824867896</v>
      </c>
      <c r="BX94" s="6">
        <v>99.155577001219001</v>
      </c>
      <c r="BY94" s="6" t="str">
        <f>TRIM(Table1[[#This Row],[LA_Name]])</f>
        <v>South Derbyshire</v>
      </c>
      <c r="BZ94" s="7">
        <v>35.928394769287699</v>
      </c>
      <c r="CA94" s="7">
        <v>1.4564709467696099E-2</v>
      </c>
      <c r="CB94" s="7">
        <v>0.39527885006095098</v>
      </c>
      <c r="CC94" s="7">
        <v>1.8981105241771601</v>
      </c>
      <c r="CD94" s="7">
        <v>3.4483187728565601</v>
      </c>
      <c r="CE94" s="7">
        <v>1.45647094676961</v>
      </c>
      <c r="CF94" s="7">
        <v>25.068569687119101</v>
      </c>
      <c r="CG94" s="7">
        <v>87.3514323445754</v>
      </c>
      <c r="CH94" s="7">
        <v>97.639425030475394</v>
      </c>
      <c r="CI94" s="7">
        <v>33.977568588257803</v>
      </c>
      <c r="CJ94" s="7">
        <v>0</v>
      </c>
      <c r="CK94" s="7">
        <v>0.35610524177163799</v>
      </c>
      <c r="CL94" s="7">
        <v>2.1772653392929699</v>
      </c>
      <c r="CM94" s="7">
        <v>3.6261047338480301</v>
      </c>
      <c r="CN94" s="7">
        <v>0</v>
      </c>
      <c r="CO94" s="7">
        <v>25.068569687119101</v>
      </c>
      <c r="CP94" s="7">
        <v>95.532811865095496</v>
      </c>
      <c r="CQ94" s="7">
        <v>100</v>
      </c>
      <c r="CR94" s="7">
        <v>17.5833167037989</v>
      </c>
      <c r="CS94" s="7">
        <v>0.16624339699309201</v>
      </c>
      <c r="CT94" s="7">
        <v>4.7522856562372997</v>
      </c>
      <c r="CU94" s="7">
        <v>9.9974857781389694</v>
      </c>
      <c r="CV94" s="7">
        <v>10</v>
      </c>
      <c r="CW94" s="7">
        <v>14.981206826493301</v>
      </c>
      <c r="CX94" s="7">
        <v>100</v>
      </c>
      <c r="CY94" s="7">
        <v>100</v>
      </c>
      <c r="CZ94" s="7">
        <v>100</v>
      </c>
      <c r="DA94" s="9">
        <v>92.844403438914895</v>
      </c>
      <c r="DB94" s="9">
        <v>0</v>
      </c>
      <c r="DC94" s="9">
        <v>0</v>
      </c>
      <c r="DD94" s="9">
        <v>0</v>
      </c>
      <c r="DE94" s="9">
        <v>7.7471048354327499E-2</v>
      </c>
      <c r="DF94" s="9">
        <v>0</v>
      </c>
      <c r="DG94" s="9">
        <v>0</v>
      </c>
      <c r="DH94" s="9">
        <v>0</v>
      </c>
      <c r="DI94" s="9">
        <v>7.4321921982933796</v>
      </c>
    </row>
    <row r="95" spans="1:113">
      <c r="A95" s="5" t="s">
        <v>275</v>
      </c>
      <c r="B95" s="5" t="s">
        <v>302</v>
      </c>
      <c r="C95" s="5" t="s">
        <v>303</v>
      </c>
      <c r="D95" s="6">
        <v>513867</v>
      </c>
      <c r="E95" s="7">
        <v>10.4635973529785</v>
      </c>
      <c r="F95" s="7">
        <v>2.0324188943831798</v>
      </c>
      <c r="G95" s="7">
        <v>7.8501188050604496</v>
      </c>
      <c r="H95" s="7">
        <v>9.6104517316737592</v>
      </c>
      <c r="I95" s="7">
        <v>9.8028322503682901</v>
      </c>
      <c r="J95" s="7">
        <v>80.809625837035696</v>
      </c>
      <c r="K95" s="7">
        <v>96.629672658489497</v>
      </c>
      <c r="L95" s="7">
        <v>98.456993735733207</v>
      </c>
      <c r="M95" s="7">
        <v>99.137130814004394</v>
      </c>
      <c r="N95" s="7">
        <v>9.4656586808615693</v>
      </c>
      <c r="O95" s="7">
        <v>4.68335386393756</v>
      </c>
      <c r="P95" s="7">
        <v>8.7447413435772301</v>
      </c>
      <c r="Q95" s="7">
        <v>9.7515816349366702</v>
      </c>
      <c r="R95" s="7">
        <v>9.9957868475695104</v>
      </c>
      <c r="S95" s="7">
        <v>90.364043614398298</v>
      </c>
      <c r="T95" s="7">
        <v>98.778283096598898</v>
      </c>
      <c r="U95" s="7">
        <v>99.976647653964903</v>
      </c>
      <c r="V95" s="7">
        <v>100</v>
      </c>
      <c r="W95" s="7">
        <v>7.3441849440258498</v>
      </c>
      <c r="X95" s="7">
        <v>8.5448880741514799</v>
      </c>
      <c r="Y95" s="7">
        <v>10</v>
      </c>
      <c r="Z95" s="7">
        <v>10</v>
      </c>
      <c r="AA95" s="7">
        <v>10</v>
      </c>
      <c r="AB95" s="7">
        <v>98.214518542735803</v>
      </c>
      <c r="AC95" s="7">
        <v>100</v>
      </c>
      <c r="AD95" s="7">
        <v>100</v>
      </c>
      <c r="AE95" s="7">
        <v>100</v>
      </c>
      <c r="AF95" s="6">
        <v>13.783502796723299</v>
      </c>
      <c r="AG95" s="6">
        <v>1.6331365898179899</v>
      </c>
      <c r="AH95" s="6">
        <v>4.49464744768588</v>
      </c>
      <c r="AI95" s="6">
        <v>6.5198212767116797</v>
      </c>
      <c r="AJ95" s="6">
        <v>7.6888650176018301</v>
      </c>
      <c r="AK95" s="6">
        <v>76.710121490580207</v>
      </c>
      <c r="AL95" s="6">
        <v>90.1167033493102</v>
      </c>
      <c r="AM95" s="6">
        <v>92.650822099881907</v>
      </c>
      <c r="AN95" s="6">
        <v>95.808837695356999</v>
      </c>
      <c r="AO95" s="6">
        <v>12.467470744910299</v>
      </c>
      <c r="AP95" s="7">
        <v>1.3396287366186199</v>
      </c>
      <c r="AQ95" s="7">
        <v>6.7145272998655301</v>
      </c>
      <c r="AR95" s="7">
        <v>9.4863807171894692</v>
      </c>
      <c r="AS95" s="7">
        <v>9.7885094781334505</v>
      </c>
      <c r="AT95" s="7">
        <v>69.306843988814194</v>
      </c>
      <c r="AU95" s="7">
        <v>97.346589681765906</v>
      </c>
      <c r="AV95" s="7">
        <v>98.868968040368401</v>
      </c>
      <c r="AW95" s="7">
        <v>99.401206927084203</v>
      </c>
      <c r="AX95" s="7">
        <v>10.3554983618486</v>
      </c>
      <c r="AY95" s="7">
        <v>3.1850731804143901</v>
      </c>
      <c r="AZ95" s="7">
        <v>8.3088016938235008</v>
      </c>
      <c r="BA95" s="7">
        <v>9.8019156707864106</v>
      </c>
      <c r="BB95" s="7">
        <v>9.9917449456766008</v>
      </c>
      <c r="BC95" s="7">
        <v>87.236775274536001</v>
      </c>
      <c r="BD95" s="7">
        <v>98.946614590934999</v>
      </c>
      <c r="BE95" s="7">
        <v>99.917877583109998</v>
      </c>
      <c r="BF95" s="7">
        <v>100</v>
      </c>
      <c r="BG95" s="7">
        <v>7.7809038732579801</v>
      </c>
      <c r="BH95" s="7">
        <v>7.8441289283024602</v>
      </c>
      <c r="BI95" s="7">
        <v>10</v>
      </c>
      <c r="BJ95" s="7">
        <v>10</v>
      </c>
      <c r="BK95" s="7">
        <v>10</v>
      </c>
      <c r="BL95" s="7">
        <v>98.918786378576598</v>
      </c>
      <c r="BM95" s="7">
        <v>100</v>
      </c>
      <c r="BN95" s="7">
        <v>100</v>
      </c>
      <c r="BO95" s="7">
        <v>100</v>
      </c>
      <c r="BP95" s="6">
        <v>16.3017159471977</v>
      </c>
      <c r="BQ95" s="6">
        <v>1.0894258631124401</v>
      </c>
      <c r="BR95" s="6">
        <v>3.0720225272298101</v>
      </c>
      <c r="BS95" s="6">
        <v>5.1005766083441797</v>
      </c>
      <c r="BT95" s="6">
        <v>6.6492808450435597</v>
      </c>
      <c r="BU95" s="6">
        <v>61.568071115677803</v>
      </c>
      <c r="BV95" s="6">
        <v>86.692471009035401</v>
      </c>
      <c r="BW95" s="6">
        <v>94.610667740874604</v>
      </c>
      <c r="BX95" s="6">
        <v>97.179425804731594</v>
      </c>
      <c r="BY95" s="6" t="str">
        <f>TRIM(Table1[[#This Row],[LA_Name]])</f>
        <v>Leicestershire</v>
      </c>
      <c r="BZ95" s="7">
        <v>32.965070603079297</v>
      </c>
      <c r="CA95" s="7">
        <v>8.1558068527459393E-2</v>
      </c>
      <c r="CB95" s="7">
        <v>0.72733606166576203</v>
      </c>
      <c r="CC95" s="7">
        <v>3.3332885746701</v>
      </c>
      <c r="CD95" s="7">
        <v>6.5729459179126097</v>
      </c>
      <c r="CE95" s="7">
        <v>8.0215308630443296</v>
      </c>
      <c r="CF95" s="7">
        <v>47.306987994948102</v>
      </c>
      <c r="CG95" s="7">
        <v>84.6267613993504</v>
      </c>
      <c r="CH95" s="7">
        <v>95.436173173214101</v>
      </c>
      <c r="CI95" s="7">
        <v>29.386838068004099</v>
      </c>
      <c r="CJ95" s="7">
        <v>0.21698026921362901</v>
      </c>
      <c r="CK95" s="7">
        <v>1.63242239723508</v>
      </c>
      <c r="CL95" s="7">
        <v>3.8823956393385801</v>
      </c>
      <c r="CM95" s="7">
        <v>5.4284163022727698</v>
      </c>
      <c r="CN95" s="7">
        <v>20.0005059674974</v>
      </c>
      <c r="CO95" s="7">
        <v>65.273504622791506</v>
      </c>
      <c r="CP95" s="7">
        <v>84.839073145385896</v>
      </c>
      <c r="CQ95" s="7">
        <v>89.0539770018312</v>
      </c>
      <c r="CR95" s="7">
        <v>15.3749985832628</v>
      </c>
      <c r="CS95" s="7">
        <v>0.77543800244032002</v>
      </c>
      <c r="CT95" s="7">
        <v>7.3917141984209902</v>
      </c>
      <c r="CU95" s="7">
        <v>9.9551946320740594</v>
      </c>
      <c r="CV95" s="7">
        <v>10</v>
      </c>
      <c r="CW95" s="7">
        <v>55.898705307015199</v>
      </c>
      <c r="CX95" s="7">
        <v>96.368904794431202</v>
      </c>
      <c r="CY95" s="7">
        <v>100</v>
      </c>
      <c r="CZ95" s="7">
        <v>100</v>
      </c>
      <c r="DA95" s="9">
        <v>65.305631460704106</v>
      </c>
      <c r="DB95" s="9">
        <v>5.8836235835342601E-2</v>
      </c>
      <c r="DC95" s="9">
        <v>0.21065956755347201</v>
      </c>
      <c r="DD95" s="9">
        <v>0.39572301782367802</v>
      </c>
      <c r="DE95" s="9">
        <v>0.74821111299227205</v>
      </c>
      <c r="DF95" s="9">
        <v>5.8836235835342601</v>
      </c>
      <c r="DG95" s="9">
        <v>19.669486462450401</v>
      </c>
      <c r="DH95" s="9">
        <v>34.097538857330797</v>
      </c>
      <c r="DI95" s="9">
        <v>49.955144035324302</v>
      </c>
    </row>
    <row r="96" spans="1:113">
      <c r="A96" s="5" t="s">
        <v>275</v>
      </c>
      <c r="B96" s="5" t="s">
        <v>304</v>
      </c>
      <c r="C96" s="5" t="s">
        <v>305</v>
      </c>
      <c r="D96" s="6">
        <v>72631</v>
      </c>
      <c r="E96" s="7">
        <v>7.2857426189366103</v>
      </c>
      <c r="F96" s="7">
        <v>2.6679241646129102</v>
      </c>
      <c r="G96" s="7">
        <v>8.7721496330767792</v>
      </c>
      <c r="H96" s="7">
        <v>9.9589706874475095</v>
      </c>
      <c r="I96" s="7">
        <v>10</v>
      </c>
      <c r="J96" s="7">
        <v>94.338505596783705</v>
      </c>
      <c r="K96" s="7">
        <v>100</v>
      </c>
      <c r="L96" s="7">
        <v>100</v>
      </c>
      <c r="M96" s="7">
        <v>100</v>
      </c>
      <c r="N96" s="7">
        <v>7.61476725151058</v>
      </c>
      <c r="O96" s="7">
        <v>5.7920584874227297</v>
      </c>
      <c r="P96" s="7">
        <v>10</v>
      </c>
      <c r="Q96" s="7">
        <v>10</v>
      </c>
      <c r="R96" s="7">
        <v>10</v>
      </c>
      <c r="S96" s="7">
        <v>98.862744558108801</v>
      </c>
      <c r="T96" s="7">
        <v>100</v>
      </c>
      <c r="U96" s="7">
        <v>100</v>
      </c>
      <c r="V96" s="7">
        <v>100</v>
      </c>
      <c r="W96" s="7">
        <v>6.55798074340432</v>
      </c>
      <c r="X96" s="7">
        <v>9.9933361787666399</v>
      </c>
      <c r="Y96" s="7">
        <v>10</v>
      </c>
      <c r="Z96" s="7">
        <v>10</v>
      </c>
      <c r="AA96" s="7">
        <v>10</v>
      </c>
      <c r="AB96" s="7">
        <v>100</v>
      </c>
      <c r="AC96" s="7">
        <v>100</v>
      </c>
      <c r="AD96" s="7">
        <v>100</v>
      </c>
      <c r="AE96" s="7">
        <v>100</v>
      </c>
      <c r="AF96" s="6">
        <v>7.8825182336304804</v>
      </c>
      <c r="AG96" s="6">
        <v>2.1243270779694599</v>
      </c>
      <c r="AH96" s="6">
        <v>5.4839944376368202</v>
      </c>
      <c r="AI96" s="6">
        <v>8.1966515675124896</v>
      </c>
      <c r="AJ96" s="6">
        <v>9.3865704726631893</v>
      </c>
      <c r="AK96" s="6">
        <v>92.106676212636501</v>
      </c>
      <c r="AL96" s="6">
        <v>98.862744558108801</v>
      </c>
      <c r="AM96" s="6">
        <v>98.862744558108801</v>
      </c>
      <c r="AN96" s="6">
        <v>100</v>
      </c>
      <c r="AO96" s="6">
        <v>12.9351718866259</v>
      </c>
      <c r="AP96" s="7">
        <v>0.85942641571780598</v>
      </c>
      <c r="AQ96" s="7">
        <v>6.1532816565929096</v>
      </c>
      <c r="AR96" s="7">
        <v>9.39669011854442</v>
      </c>
      <c r="AS96" s="7">
        <v>9.9053847530668708</v>
      </c>
      <c r="AT96" s="7">
        <v>61.2988944114772</v>
      </c>
      <c r="AU96" s="7">
        <v>99.127094491332898</v>
      </c>
      <c r="AV96" s="7">
        <v>100</v>
      </c>
      <c r="AW96" s="7">
        <v>100</v>
      </c>
      <c r="AX96" s="7">
        <v>10.4117854473616</v>
      </c>
      <c r="AY96" s="7">
        <v>2.4427861381503799</v>
      </c>
      <c r="AZ96" s="7">
        <v>9.6203274084068795</v>
      </c>
      <c r="BA96" s="7">
        <v>10</v>
      </c>
      <c r="BB96" s="7">
        <v>10</v>
      </c>
      <c r="BC96" s="7">
        <v>86.998664482108197</v>
      </c>
      <c r="BD96" s="7">
        <v>100</v>
      </c>
      <c r="BE96" s="7">
        <v>100</v>
      </c>
      <c r="BF96" s="7">
        <v>100</v>
      </c>
      <c r="BG96" s="7">
        <v>8.04140078554504</v>
      </c>
      <c r="BH96" s="7">
        <v>8.9103137778634505</v>
      </c>
      <c r="BI96" s="7">
        <v>10</v>
      </c>
      <c r="BJ96" s="7">
        <v>10</v>
      </c>
      <c r="BK96" s="7">
        <v>10</v>
      </c>
      <c r="BL96" s="7">
        <v>100</v>
      </c>
      <c r="BM96" s="7">
        <v>100</v>
      </c>
      <c r="BN96" s="7">
        <v>100</v>
      </c>
      <c r="BO96" s="7">
        <v>100</v>
      </c>
      <c r="BP96" s="6">
        <v>16.755519949141298</v>
      </c>
      <c r="BQ96" s="6">
        <v>0.69314755407470596</v>
      </c>
      <c r="BR96" s="6">
        <v>2.27064201236387</v>
      </c>
      <c r="BS96" s="6">
        <v>5.2605636711596997</v>
      </c>
      <c r="BT96" s="6">
        <v>7.9913535542674596</v>
      </c>
      <c r="BU96" s="6">
        <v>53.722239814955003</v>
      </c>
      <c r="BV96" s="6">
        <v>82.875080888325897</v>
      </c>
      <c r="BW96" s="6">
        <v>98.624554253693304</v>
      </c>
      <c r="BX96" s="6">
        <v>99.027963266373902</v>
      </c>
      <c r="BY96" s="6" t="str">
        <f>TRIM(Table1[[#This Row],[LA_Name]])</f>
        <v>Blaby</v>
      </c>
      <c r="BZ96" s="7">
        <v>28.489475633543599</v>
      </c>
      <c r="CA96" s="7">
        <v>0.184948575677053</v>
      </c>
      <c r="CB96" s="7">
        <v>1.3265410086602101</v>
      </c>
      <c r="CC96" s="7">
        <v>5.88794041111922</v>
      </c>
      <c r="CD96" s="7">
        <v>8.8240696121490796</v>
      </c>
      <c r="CE96" s="7">
        <v>17.544849995181099</v>
      </c>
      <c r="CF96" s="7">
        <v>56.8779171428178</v>
      </c>
      <c r="CG96" s="7">
        <v>86.289600859137295</v>
      </c>
      <c r="CH96" s="7">
        <v>96.398232159821603</v>
      </c>
      <c r="CI96" s="7">
        <v>17.528052096125201</v>
      </c>
      <c r="CJ96" s="7">
        <v>0.54719059354820898</v>
      </c>
      <c r="CK96" s="7">
        <v>4.4370034833611003</v>
      </c>
      <c r="CL96" s="7">
        <v>8.6748358139086594</v>
      </c>
      <c r="CM96" s="7">
        <v>9.5781966377992909</v>
      </c>
      <c r="CN96" s="7">
        <v>42.709036086519497</v>
      </c>
      <c r="CO96" s="7">
        <v>90.688548966694697</v>
      </c>
      <c r="CP96" s="7">
        <v>100</v>
      </c>
      <c r="CQ96" s="7">
        <v>100</v>
      </c>
      <c r="CR96" s="7">
        <v>11.746109224029199</v>
      </c>
      <c r="CS96" s="7">
        <v>1.98988035411876</v>
      </c>
      <c r="CT96" s="7">
        <v>9.8872382316090892</v>
      </c>
      <c r="CU96" s="7">
        <v>10</v>
      </c>
      <c r="CV96" s="7">
        <v>10</v>
      </c>
      <c r="CW96" s="7">
        <v>81.597389544409396</v>
      </c>
      <c r="CX96" s="7">
        <v>100</v>
      </c>
      <c r="CY96" s="7">
        <v>100</v>
      </c>
      <c r="CZ96" s="7">
        <v>100</v>
      </c>
      <c r="DA96" s="9">
        <v>39.4977026938164</v>
      </c>
      <c r="DB96" s="9">
        <v>0.17049193870385901</v>
      </c>
      <c r="DC96" s="9">
        <v>0.55256020156682395</v>
      </c>
      <c r="DD96" s="9">
        <v>0.99922897936142996</v>
      </c>
      <c r="DE96" s="9">
        <v>2.0486706778097501</v>
      </c>
      <c r="DF96" s="9">
        <v>17.049193870385899</v>
      </c>
      <c r="DG96" s="9">
        <v>45.375941402431501</v>
      </c>
      <c r="DH96" s="9">
        <v>65.107185636986998</v>
      </c>
      <c r="DI96" s="9">
        <v>81.520287480552398</v>
      </c>
    </row>
    <row r="97" spans="1:113">
      <c r="A97" s="5" t="s">
        <v>275</v>
      </c>
      <c r="B97" s="5" t="s">
        <v>306</v>
      </c>
      <c r="C97" s="5" t="s">
        <v>307</v>
      </c>
      <c r="D97" s="6">
        <v>138983</v>
      </c>
      <c r="E97" s="7">
        <v>8.7982920229511699</v>
      </c>
      <c r="F97" s="7">
        <v>2.1964269011317898</v>
      </c>
      <c r="G97" s="7">
        <v>8.6957325716094793</v>
      </c>
      <c r="H97" s="7">
        <v>9.9583258384118896</v>
      </c>
      <c r="I97" s="7">
        <v>9.9889195081412794</v>
      </c>
      <c r="J97" s="7">
        <v>84.762165156889694</v>
      </c>
      <c r="K97" s="7">
        <v>99.841707259161197</v>
      </c>
      <c r="L97" s="7">
        <v>99.841707259161197</v>
      </c>
      <c r="M97" s="7">
        <v>100</v>
      </c>
      <c r="N97" s="7">
        <v>8.4373887441811899</v>
      </c>
      <c r="O97" s="7">
        <v>4.9971075599174002</v>
      </c>
      <c r="P97" s="7">
        <v>9.7657123533094001</v>
      </c>
      <c r="Q97" s="7">
        <v>10</v>
      </c>
      <c r="R97" s="7">
        <v>10</v>
      </c>
      <c r="S97" s="7">
        <v>96.343437686623503</v>
      </c>
      <c r="T97" s="7">
        <v>99.474036392940206</v>
      </c>
      <c r="U97" s="7">
        <v>100</v>
      </c>
      <c r="V97" s="7">
        <v>100</v>
      </c>
      <c r="W97" s="7">
        <v>7.0448317473871498</v>
      </c>
      <c r="X97" s="7">
        <v>9.3595403754416004</v>
      </c>
      <c r="Y97" s="7">
        <v>10</v>
      </c>
      <c r="Z97" s="7">
        <v>10</v>
      </c>
      <c r="AA97" s="7">
        <v>10</v>
      </c>
      <c r="AB97" s="7">
        <v>100</v>
      </c>
      <c r="AC97" s="7">
        <v>100</v>
      </c>
      <c r="AD97" s="7">
        <v>100</v>
      </c>
      <c r="AE97" s="7">
        <v>100</v>
      </c>
      <c r="AF97" s="6">
        <v>10.427252399988101</v>
      </c>
      <c r="AG97" s="6">
        <v>1.70810099076866</v>
      </c>
      <c r="AH97" s="6">
        <v>4.7908952893519396</v>
      </c>
      <c r="AI97" s="6">
        <v>7.4856565191426299</v>
      </c>
      <c r="AJ97" s="6">
        <v>9.0144334199146705</v>
      </c>
      <c r="AK97" s="6">
        <v>79.897541425929802</v>
      </c>
      <c r="AL97" s="6">
        <v>96.333364512206501</v>
      </c>
      <c r="AM97" s="6">
        <v>97.752962592547306</v>
      </c>
      <c r="AN97" s="6">
        <v>98.941597173755099</v>
      </c>
      <c r="AO97" s="6">
        <v>10.2533554333352</v>
      </c>
      <c r="AP97" s="7">
        <v>2.0446745285394599</v>
      </c>
      <c r="AQ97" s="7">
        <v>8.8504781160285795</v>
      </c>
      <c r="AR97" s="7">
        <v>9.9776447479188093</v>
      </c>
      <c r="AS97" s="7">
        <v>9.9873365807329009</v>
      </c>
      <c r="AT97" s="7">
        <v>77.962772425404594</v>
      </c>
      <c r="AU97" s="7">
        <v>99.8424267716196</v>
      </c>
      <c r="AV97" s="7">
        <v>100</v>
      </c>
      <c r="AW97" s="7">
        <v>100</v>
      </c>
      <c r="AX97" s="7">
        <v>9.3432908512143609</v>
      </c>
      <c r="AY97" s="7">
        <v>4.5207687271105099</v>
      </c>
      <c r="AZ97" s="7">
        <v>9.6660814632005394</v>
      </c>
      <c r="BA97" s="7">
        <v>10</v>
      </c>
      <c r="BB97" s="7">
        <v>10</v>
      </c>
      <c r="BC97" s="7">
        <v>91.174460185778102</v>
      </c>
      <c r="BD97" s="7">
        <v>99.874085319787298</v>
      </c>
      <c r="BE97" s="7">
        <v>100</v>
      </c>
      <c r="BF97" s="7">
        <v>100</v>
      </c>
      <c r="BG97" s="7">
        <v>7.4688507081223996</v>
      </c>
      <c r="BH97" s="7">
        <v>9.2401013073541396</v>
      </c>
      <c r="BI97" s="7">
        <v>10</v>
      </c>
      <c r="BJ97" s="7">
        <v>10</v>
      </c>
      <c r="BK97" s="7">
        <v>10</v>
      </c>
      <c r="BL97" s="7">
        <v>99.874085319787298</v>
      </c>
      <c r="BM97" s="7">
        <v>100</v>
      </c>
      <c r="BN97" s="7">
        <v>100</v>
      </c>
      <c r="BO97" s="7">
        <v>100</v>
      </c>
      <c r="BP97" s="6">
        <v>12.474400922494899</v>
      </c>
      <c r="BQ97" s="6">
        <v>1.64894267644244</v>
      </c>
      <c r="BR97" s="6">
        <v>4.4735759049667898</v>
      </c>
      <c r="BS97" s="6">
        <v>7.0479195297266601</v>
      </c>
      <c r="BT97" s="6">
        <v>8.5355187325068496</v>
      </c>
      <c r="BU97" s="6">
        <v>69.456696142693701</v>
      </c>
      <c r="BV97" s="6">
        <v>93.452436628940205</v>
      </c>
      <c r="BW97" s="6">
        <v>98.306267673024806</v>
      </c>
      <c r="BX97" s="6">
        <v>99.474755905398496</v>
      </c>
      <c r="BY97" s="6" t="str">
        <f>TRIM(Table1[[#This Row],[LA_Name]])</f>
        <v>Charnwood</v>
      </c>
      <c r="BZ97" s="7">
        <v>27.334391123206402</v>
      </c>
      <c r="CA97" s="7">
        <v>0.101530402998928</v>
      </c>
      <c r="CB97" s="7">
        <v>0.88386349409639997</v>
      </c>
      <c r="CC97" s="7">
        <v>3.8232589597288902</v>
      </c>
      <c r="CD97" s="7">
        <v>7.7105041623795696</v>
      </c>
      <c r="CE97" s="7">
        <v>10.153040299892799</v>
      </c>
      <c r="CF97" s="7">
        <v>61.755754300885698</v>
      </c>
      <c r="CG97" s="7">
        <v>96.149169322866797</v>
      </c>
      <c r="CH97" s="7">
        <v>99.841707259161197</v>
      </c>
      <c r="CI97" s="7">
        <v>22.946486603269101</v>
      </c>
      <c r="CJ97" s="7">
        <v>0.27960973644258702</v>
      </c>
      <c r="CK97" s="7">
        <v>1.4082081981249499</v>
      </c>
      <c r="CL97" s="7">
        <v>3.5577804479684598</v>
      </c>
      <c r="CM97" s="7">
        <v>5.6847312261211798</v>
      </c>
      <c r="CN97" s="7">
        <v>27.960973644258701</v>
      </c>
      <c r="CO97" s="7">
        <v>71.564148133224904</v>
      </c>
      <c r="CP97" s="7">
        <v>98.7904995574998</v>
      </c>
      <c r="CQ97" s="7">
        <v>100</v>
      </c>
      <c r="CR97" s="7">
        <v>13.8325337000378</v>
      </c>
      <c r="CS97" s="7">
        <v>0.71669196952145198</v>
      </c>
      <c r="CT97" s="7">
        <v>7.4818502982379096</v>
      </c>
      <c r="CU97" s="7">
        <v>10</v>
      </c>
      <c r="CV97" s="7">
        <v>10</v>
      </c>
      <c r="CW97" s="7">
        <v>63.1329011461834</v>
      </c>
      <c r="CX97" s="7">
        <v>100</v>
      </c>
      <c r="CY97" s="7">
        <v>100</v>
      </c>
      <c r="CZ97" s="7">
        <v>100</v>
      </c>
      <c r="DA97" s="9">
        <v>56.048384986937201</v>
      </c>
      <c r="DB97" s="9">
        <v>5.4467093097717002E-2</v>
      </c>
      <c r="DC97" s="9">
        <v>0.27051509896893899</v>
      </c>
      <c r="DD97" s="9">
        <v>0.46389846240187599</v>
      </c>
      <c r="DE97" s="9">
        <v>0.72970075476856899</v>
      </c>
      <c r="DF97" s="9">
        <v>5.4467093097717001</v>
      </c>
      <c r="DG97" s="9">
        <v>27.051509896893901</v>
      </c>
      <c r="DH97" s="9">
        <v>44.838577379967298</v>
      </c>
      <c r="DI97" s="9">
        <v>59.386399775512103</v>
      </c>
    </row>
    <row r="98" spans="1:113">
      <c r="A98" s="5" t="s">
        <v>275</v>
      </c>
      <c r="B98" s="5" t="s">
        <v>308</v>
      </c>
      <c r="C98" s="5" t="s">
        <v>309</v>
      </c>
      <c r="D98" s="6">
        <v>67269</v>
      </c>
      <c r="E98" s="7">
        <v>15.750785600751099</v>
      </c>
      <c r="F98" s="7">
        <v>1.31947851164727</v>
      </c>
      <c r="G98" s="7">
        <v>5.51533395769225</v>
      </c>
      <c r="H98" s="7">
        <v>8.6536294578483393</v>
      </c>
      <c r="I98" s="7">
        <v>9.0828464820348191</v>
      </c>
      <c r="J98" s="7">
        <v>68.848949739107198</v>
      </c>
      <c r="K98" s="7">
        <v>89.411170078342195</v>
      </c>
      <c r="L98" s="7">
        <v>92.625131932985497</v>
      </c>
      <c r="M98" s="7">
        <v>94.376310038799403</v>
      </c>
      <c r="N98" s="7">
        <v>11.9267439800189</v>
      </c>
      <c r="O98" s="7">
        <v>3.1424281615603</v>
      </c>
      <c r="P98" s="7">
        <v>6.0813004504303603</v>
      </c>
      <c r="Q98" s="7">
        <v>9.1000163522573505</v>
      </c>
      <c r="R98" s="7">
        <v>9.9971606534956692</v>
      </c>
      <c r="S98" s="7">
        <v>78.562190607858</v>
      </c>
      <c r="T98" s="7">
        <v>95.506102365130999</v>
      </c>
      <c r="U98" s="7">
        <v>99.821611737947606</v>
      </c>
      <c r="V98" s="7">
        <v>100</v>
      </c>
      <c r="W98" s="7">
        <v>8.2125979145738306</v>
      </c>
      <c r="X98" s="7">
        <v>6.26964872378064</v>
      </c>
      <c r="Y98" s="7">
        <v>10</v>
      </c>
      <c r="Z98" s="7">
        <v>10</v>
      </c>
      <c r="AA98" s="7">
        <v>10</v>
      </c>
      <c r="AB98" s="7">
        <v>94.272250219268898</v>
      </c>
      <c r="AC98" s="7">
        <v>100</v>
      </c>
      <c r="AD98" s="7">
        <v>100</v>
      </c>
      <c r="AE98" s="7">
        <v>100</v>
      </c>
      <c r="AF98" s="6">
        <v>22.532875953113798</v>
      </c>
      <c r="AG98" s="6">
        <v>1.1296585351350501</v>
      </c>
      <c r="AH98" s="6">
        <v>2.9566962493867899</v>
      </c>
      <c r="AI98" s="6">
        <v>3.8780567571987099</v>
      </c>
      <c r="AJ98" s="6">
        <v>4.6936330256135799</v>
      </c>
      <c r="AK98" s="6">
        <v>63.338239010539802</v>
      </c>
      <c r="AL98" s="6">
        <v>78.0077004266453</v>
      </c>
      <c r="AM98" s="6">
        <v>81.5546537037863</v>
      </c>
      <c r="AN98" s="6">
        <v>87.399842423701898</v>
      </c>
      <c r="AO98" s="6">
        <v>17.719082787847999</v>
      </c>
      <c r="AP98" s="7">
        <v>0.99145222910999098</v>
      </c>
      <c r="AQ98" s="7">
        <v>4.6922505165826802</v>
      </c>
      <c r="AR98" s="7">
        <v>8.3046276888314097</v>
      </c>
      <c r="AS98" s="7">
        <v>9.1043868646776396</v>
      </c>
      <c r="AT98" s="7">
        <v>61.441377157383002</v>
      </c>
      <c r="AU98" s="7">
        <v>89.211969852383703</v>
      </c>
      <c r="AV98" s="7">
        <v>92.6994603755073</v>
      </c>
      <c r="AW98" s="7">
        <v>95.425827647207498</v>
      </c>
      <c r="AX98" s="7">
        <v>12.4949998350322</v>
      </c>
      <c r="AY98" s="7">
        <v>2.3331995421367901</v>
      </c>
      <c r="AZ98" s="7">
        <v>5.3301818073704101</v>
      </c>
      <c r="BA98" s="7">
        <v>9.4148716347797592</v>
      </c>
      <c r="BB98" s="7">
        <v>9.9508540338045695</v>
      </c>
      <c r="BC98" s="7">
        <v>76.458695684490607</v>
      </c>
      <c r="BD98" s="7">
        <v>94.105754508019999</v>
      </c>
      <c r="BE98" s="7">
        <v>99.372667945115893</v>
      </c>
      <c r="BF98" s="7">
        <v>100</v>
      </c>
      <c r="BG98" s="7">
        <v>8.4331934538217794</v>
      </c>
      <c r="BH98" s="7">
        <v>5.5296198843449398</v>
      </c>
      <c r="BI98" s="7">
        <v>10</v>
      </c>
      <c r="BJ98" s="7">
        <v>10</v>
      </c>
      <c r="BK98" s="7">
        <v>10</v>
      </c>
      <c r="BL98" s="7">
        <v>94.617134192570106</v>
      </c>
      <c r="BM98" s="7">
        <v>100</v>
      </c>
      <c r="BN98" s="7">
        <v>100</v>
      </c>
      <c r="BO98" s="7">
        <v>100</v>
      </c>
      <c r="BP98" s="6">
        <v>23.750661693346899</v>
      </c>
      <c r="BQ98" s="6">
        <v>0.84691313978206895</v>
      </c>
      <c r="BR98" s="6">
        <v>2.2152105724776598</v>
      </c>
      <c r="BS98" s="6">
        <v>2.83079873344334</v>
      </c>
      <c r="BT98" s="6">
        <v>3.8203778858017801</v>
      </c>
      <c r="BU98" s="6">
        <v>55.066969926712098</v>
      </c>
      <c r="BV98" s="6">
        <v>74.824956517861096</v>
      </c>
      <c r="BW98" s="6">
        <v>84.832538018998306</v>
      </c>
      <c r="BX98" s="6">
        <v>88.635181138414396</v>
      </c>
      <c r="BY98" s="6" t="str">
        <f>TRIM(Table1[[#This Row],[LA_Name]])</f>
        <v>Harborough</v>
      </c>
      <c r="BZ98" s="7">
        <v>49.511855826589198</v>
      </c>
      <c r="CA98" s="7">
        <v>2.0261933431446898E-2</v>
      </c>
      <c r="CB98" s="7">
        <v>4.8164830754136398E-2</v>
      </c>
      <c r="CC98" s="7">
        <v>1.9893710327193801</v>
      </c>
      <c r="CD98" s="7">
        <v>4.8210319760959699</v>
      </c>
      <c r="CE98" s="7">
        <v>2.0261933431446901</v>
      </c>
      <c r="CF98" s="7">
        <v>4.50579018567245</v>
      </c>
      <c r="CG98" s="7">
        <v>56.665031440931202</v>
      </c>
      <c r="CH98" s="7">
        <v>84.8801082222123</v>
      </c>
      <c r="CI98" s="7">
        <v>47.9633517223781</v>
      </c>
      <c r="CJ98" s="7">
        <v>2.2908025985223499E-2</v>
      </c>
      <c r="CK98" s="7">
        <v>0.328799298339503</v>
      </c>
      <c r="CL98" s="7">
        <v>1.62168309325246</v>
      </c>
      <c r="CM98" s="7">
        <v>3.4832240705228301</v>
      </c>
      <c r="CN98" s="7">
        <v>2.2908025985223501</v>
      </c>
      <c r="CO98" s="7">
        <v>24.830159508837699</v>
      </c>
      <c r="CP98" s="7">
        <v>44.937489779839197</v>
      </c>
      <c r="CQ98" s="7">
        <v>64.221260907698905</v>
      </c>
      <c r="CR98" s="7">
        <v>20.7084083208374</v>
      </c>
      <c r="CS98" s="7">
        <v>0.22050275758521801</v>
      </c>
      <c r="CT98" s="7">
        <v>7.1099317664897601</v>
      </c>
      <c r="CU98" s="7">
        <v>9.9594464017601005</v>
      </c>
      <c r="CV98" s="7">
        <v>10</v>
      </c>
      <c r="CW98" s="7">
        <v>20.759933996343001</v>
      </c>
      <c r="CX98" s="7">
        <v>98.941562978489301</v>
      </c>
      <c r="CY98" s="7">
        <v>100</v>
      </c>
      <c r="CZ98" s="7">
        <v>100</v>
      </c>
      <c r="DA98" s="9">
        <v>101.67912628075599</v>
      </c>
      <c r="DB98" s="9">
        <v>1.1357386017333399E-2</v>
      </c>
      <c r="DC98" s="9">
        <v>2.2908025985223499E-2</v>
      </c>
      <c r="DD98" s="9">
        <v>2.6178477456183399E-2</v>
      </c>
      <c r="DE98" s="9">
        <v>6.3461624225125995E-2</v>
      </c>
      <c r="DF98" s="9">
        <v>1.13573860173334</v>
      </c>
      <c r="DG98" s="9">
        <v>2.2908025985223501</v>
      </c>
      <c r="DH98" s="9">
        <v>2.6178477456183402</v>
      </c>
      <c r="DI98" s="9">
        <v>6.3461624225125997</v>
      </c>
    </row>
    <row r="99" spans="1:113">
      <c r="A99" s="5" t="s">
        <v>275</v>
      </c>
      <c r="B99" s="5" t="s">
        <v>310</v>
      </c>
      <c r="C99" s="5" t="s">
        <v>311</v>
      </c>
      <c r="D99" s="6">
        <v>82029</v>
      </c>
      <c r="E99" s="7">
        <v>9.4784216740068494</v>
      </c>
      <c r="F99" s="7">
        <v>2.3960550537005201</v>
      </c>
      <c r="G99" s="7">
        <v>8.6567799192968309</v>
      </c>
      <c r="H99" s="7">
        <v>9.6927428104694702</v>
      </c>
      <c r="I99" s="7">
        <v>9.8264638115788294</v>
      </c>
      <c r="J99" s="7">
        <v>83.659437516000395</v>
      </c>
      <c r="K99" s="7">
        <v>96.634117202452799</v>
      </c>
      <c r="L99" s="7">
        <v>98.9808482365993</v>
      </c>
      <c r="M99" s="7">
        <v>99.463604335052196</v>
      </c>
      <c r="N99" s="7">
        <v>9.1703898706361606</v>
      </c>
      <c r="O99" s="7">
        <v>5.1242243596776804</v>
      </c>
      <c r="P99" s="7">
        <v>9.0966609369856997</v>
      </c>
      <c r="Q99" s="7">
        <v>9.9745090151044096</v>
      </c>
      <c r="R99" s="7">
        <v>10</v>
      </c>
      <c r="S99" s="7">
        <v>88.801521413158795</v>
      </c>
      <c r="T99" s="7">
        <v>99.648904655670506</v>
      </c>
      <c r="U99" s="7">
        <v>100</v>
      </c>
      <c r="V99" s="7">
        <v>100</v>
      </c>
      <c r="W99" s="7">
        <v>7.1785464817127096</v>
      </c>
      <c r="X99" s="7">
        <v>8.9769471772178093</v>
      </c>
      <c r="Y99" s="7">
        <v>10</v>
      </c>
      <c r="Z99" s="7">
        <v>10</v>
      </c>
      <c r="AA99" s="7">
        <v>10</v>
      </c>
      <c r="AB99" s="7">
        <v>99.648904655670506</v>
      </c>
      <c r="AC99" s="7">
        <v>100</v>
      </c>
      <c r="AD99" s="7">
        <v>100</v>
      </c>
      <c r="AE99" s="7">
        <v>100</v>
      </c>
      <c r="AF99" s="6">
        <v>12.674634050926</v>
      </c>
      <c r="AG99" s="6">
        <v>1.9646222677345799</v>
      </c>
      <c r="AH99" s="6">
        <v>4.9857733240683197</v>
      </c>
      <c r="AI99" s="6">
        <v>6.8063245925221603</v>
      </c>
      <c r="AJ99" s="6">
        <v>7.9424593741237901</v>
      </c>
      <c r="AK99" s="6">
        <v>81.838130417291396</v>
      </c>
      <c r="AL99" s="6">
        <v>88.305355423082105</v>
      </c>
      <c r="AM99" s="6">
        <v>91.972351241634101</v>
      </c>
      <c r="AN99" s="6">
        <v>96.680442282607402</v>
      </c>
      <c r="AO99" s="6">
        <v>12.563465018520001</v>
      </c>
      <c r="AP99" s="7">
        <v>0.97369223079642597</v>
      </c>
      <c r="AQ99" s="7">
        <v>5.7781760109229703</v>
      </c>
      <c r="AR99" s="7">
        <v>9.5688841751087992</v>
      </c>
      <c r="AS99" s="7">
        <v>9.7295102951395194</v>
      </c>
      <c r="AT99" s="7">
        <v>66.148557217569405</v>
      </c>
      <c r="AU99" s="7">
        <v>98.256714088919793</v>
      </c>
      <c r="AV99" s="7">
        <v>99.517243901547005</v>
      </c>
      <c r="AW99" s="7">
        <v>100</v>
      </c>
      <c r="AX99" s="7">
        <v>10.220358293479601</v>
      </c>
      <c r="AY99" s="7">
        <v>2.5322020261127198</v>
      </c>
      <c r="AZ99" s="7">
        <v>8.2841312218849392</v>
      </c>
      <c r="BA99" s="7">
        <v>9.9526996550000604</v>
      </c>
      <c r="BB99" s="7">
        <v>10</v>
      </c>
      <c r="BC99" s="7">
        <v>88.7929878457619</v>
      </c>
      <c r="BD99" s="7">
        <v>100</v>
      </c>
      <c r="BE99" s="7">
        <v>100</v>
      </c>
      <c r="BF99" s="7">
        <v>100</v>
      </c>
      <c r="BG99" s="7">
        <v>7.6122294666984303</v>
      </c>
      <c r="BH99" s="7">
        <v>7.5638249887234998</v>
      </c>
      <c r="BI99" s="7">
        <v>10</v>
      </c>
      <c r="BJ99" s="7">
        <v>10</v>
      </c>
      <c r="BK99" s="7">
        <v>10</v>
      </c>
      <c r="BL99" s="7">
        <v>100</v>
      </c>
      <c r="BM99" s="7">
        <v>100</v>
      </c>
      <c r="BN99" s="7">
        <v>100</v>
      </c>
      <c r="BO99" s="7">
        <v>100</v>
      </c>
      <c r="BP99" s="6">
        <v>16.2473192412522</v>
      </c>
      <c r="BQ99" s="6">
        <v>0.79638908191005597</v>
      </c>
      <c r="BR99" s="6">
        <v>2.3995294347121101</v>
      </c>
      <c r="BS99" s="6">
        <v>3.9080325250825898</v>
      </c>
      <c r="BT99" s="6">
        <v>5.5436979604773899</v>
      </c>
      <c r="BU99" s="6">
        <v>60.323787928659399</v>
      </c>
      <c r="BV99" s="6">
        <v>86.971680747052901</v>
      </c>
      <c r="BW99" s="6">
        <v>92.418534908386107</v>
      </c>
      <c r="BX99" s="6">
        <v>100</v>
      </c>
      <c r="BY99" s="6" t="str">
        <f>TRIM(Table1[[#This Row],[LA_Name]])</f>
        <v>Hinckley and Bosworth</v>
      </c>
      <c r="BZ99" s="7">
        <v>30.863790482787302</v>
      </c>
      <c r="CA99" s="7">
        <v>5.8186738836265198E-2</v>
      </c>
      <c r="CB99" s="7">
        <v>0.67075058820661004</v>
      </c>
      <c r="CC99" s="7">
        <v>3.05973497177827</v>
      </c>
      <c r="CD99" s="7">
        <v>7.4361750112765002</v>
      </c>
      <c r="CE99" s="7">
        <v>5.8186738836265199</v>
      </c>
      <c r="CF99" s="7">
        <v>52.574089651220902</v>
      </c>
      <c r="CG99" s="7">
        <v>92.737934145241297</v>
      </c>
      <c r="CH99" s="7">
        <v>96.697509417401207</v>
      </c>
      <c r="CI99" s="7">
        <v>24.923199966442201</v>
      </c>
      <c r="CJ99" s="7">
        <v>0.14558265979105001</v>
      </c>
      <c r="CK99" s="7">
        <v>0.84272635287520303</v>
      </c>
      <c r="CL99" s="7">
        <v>3.1129722415243402</v>
      </c>
      <c r="CM99" s="7">
        <v>5.6502700264540602</v>
      </c>
      <c r="CN99" s="7">
        <v>14.558265979105</v>
      </c>
      <c r="CO99" s="7">
        <v>63.249582464738097</v>
      </c>
      <c r="CP99" s="7">
        <v>97.478940374745505</v>
      </c>
      <c r="CQ99" s="7">
        <v>100</v>
      </c>
      <c r="CR99" s="7">
        <v>13.6787271268566</v>
      </c>
      <c r="CS99" s="7">
        <v>0.59364371137036898</v>
      </c>
      <c r="CT99" s="7">
        <v>9.0112155457216403</v>
      </c>
      <c r="CU99" s="7">
        <v>10</v>
      </c>
      <c r="CV99" s="7">
        <v>10</v>
      </c>
      <c r="CW99" s="7">
        <v>57.658876738714397</v>
      </c>
      <c r="CX99" s="7">
        <v>100</v>
      </c>
      <c r="CY99" s="7">
        <v>100</v>
      </c>
      <c r="CZ99" s="7">
        <v>100</v>
      </c>
      <c r="DA99" s="9">
        <v>63.755426714567399</v>
      </c>
      <c r="DB99" s="9">
        <v>4.2838508332418999E-2</v>
      </c>
      <c r="DC99" s="9">
        <v>0.12752806934133101</v>
      </c>
      <c r="DD99" s="9">
        <v>0.3481939314145</v>
      </c>
      <c r="DE99" s="9">
        <v>0.58614636287166699</v>
      </c>
      <c r="DF99" s="9">
        <v>4.2838508332418996</v>
      </c>
      <c r="DG99" s="9">
        <v>12.752806934133099</v>
      </c>
      <c r="DH99" s="9">
        <v>34.504870228821503</v>
      </c>
      <c r="DI99" s="9">
        <v>54.519743017713303</v>
      </c>
    </row>
    <row r="100" spans="1:113">
      <c r="A100" s="5" t="s">
        <v>275</v>
      </c>
      <c r="B100" s="5" t="s">
        <v>312</v>
      </c>
      <c r="C100" s="5" t="s">
        <v>313</v>
      </c>
      <c r="D100" s="6">
        <v>37061</v>
      </c>
      <c r="E100" s="7">
        <v>14.527806049350399</v>
      </c>
      <c r="F100" s="7">
        <v>1.0292760583902201</v>
      </c>
      <c r="G100" s="7">
        <v>4.9834327190307901</v>
      </c>
      <c r="H100" s="7">
        <v>8.7927470926310693</v>
      </c>
      <c r="I100" s="7">
        <v>9.7583983162893606</v>
      </c>
      <c r="J100" s="7">
        <v>62.559024311270598</v>
      </c>
      <c r="K100" s="7">
        <v>90.232319689161102</v>
      </c>
      <c r="L100" s="7">
        <v>96.737810636518205</v>
      </c>
      <c r="M100" s="7">
        <v>99.4306683575726</v>
      </c>
      <c r="N100" s="7">
        <v>12.879908774154501</v>
      </c>
      <c r="O100" s="7">
        <v>2.02112733061709</v>
      </c>
      <c r="P100" s="7">
        <v>5.6906991176708699</v>
      </c>
      <c r="Q100" s="7">
        <v>8.2455411348857304</v>
      </c>
      <c r="R100" s="7">
        <v>9.9467364615093992</v>
      </c>
      <c r="S100" s="7">
        <v>71.722295674698501</v>
      </c>
      <c r="T100" s="7">
        <v>93.966703542807807</v>
      </c>
      <c r="U100" s="7">
        <v>100</v>
      </c>
      <c r="V100" s="7">
        <v>100</v>
      </c>
      <c r="W100" s="7">
        <v>8.7401400066992405</v>
      </c>
      <c r="X100" s="7">
        <v>5.17425325814198</v>
      </c>
      <c r="Y100" s="7">
        <v>10</v>
      </c>
      <c r="Z100" s="7">
        <v>10</v>
      </c>
      <c r="AA100" s="7">
        <v>10</v>
      </c>
      <c r="AB100" s="7">
        <v>93.966703542807807</v>
      </c>
      <c r="AC100" s="7">
        <v>100</v>
      </c>
      <c r="AD100" s="7">
        <v>100</v>
      </c>
      <c r="AE100" s="7">
        <v>100</v>
      </c>
      <c r="AF100" s="6">
        <v>23.9782828458717</v>
      </c>
      <c r="AG100" s="6">
        <v>0.78279053452416303</v>
      </c>
      <c r="AH100" s="6">
        <v>1.98739915274817</v>
      </c>
      <c r="AI100" s="6">
        <v>3.3636707050538299</v>
      </c>
      <c r="AJ100" s="6">
        <v>4.1680742559563999</v>
      </c>
      <c r="AK100" s="6">
        <v>53.894929980302699</v>
      </c>
      <c r="AL100" s="6">
        <v>73.195542484012805</v>
      </c>
      <c r="AM100" s="6">
        <v>78.4355521977281</v>
      </c>
      <c r="AN100" s="6">
        <v>89.495696284503893</v>
      </c>
      <c r="AO100" s="6">
        <v>12.724846342414001</v>
      </c>
      <c r="AP100" s="7">
        <v>1.2817247241035099</v>
      </c>
      <c r="AQ100" s="7">
        <v>5.6325517390248496</v>
      </c>
      <c r="AR100" s="7">
        <v>9.3866328485469896</v>
      </c>
      <c r="AS100" s="7">
        <v>9.8590701815925108</v>
      </c>
      <c r="AT100" s="7">
        <v>71.1421710153531</v>
      </c>
      <c r="AU100" s="7">
        <v>94.223037694611605</v>
      </c>
      <c r="AV100" s="7">
        <v>99.4306683575726</v>
      </c>
      <c r="AW100" s="7">
        <v>100</v>
      </c>
      <c r="AX100" s="7">
        <v>12.6410361338587</v>
      </c>
      <c r="AY100" s="7">
        <v>2.9552899274169602</v>
      </c>
      <c r="AZ100" s="7">
        <v>5.1616524108901496</v>
      </c>
      <c r="BA100" s="7">
        <v>8.4276732953778897</v>
      </c>
      <c r="BB100" s="7">
        <v>9.9747443404117497</v>
      </c>
      <c r="BC100" s="7">
        <v>71.271687218369706</v>
      </c>
      <c r="BD100" s="7">
        <v>96.565122365829296</v>
      </c>
      <c r="BE100" s="7">
        <v>100</v>
      </c>
      <c r="BF100" s="7">
        <v>100</v>
      </c>
      <c r="BG100" s="7">
        <v>8.6175488970321599</v>
      </c>
      <c r="BH100" s="7">
        <v>5.1091443835838204</v>
      </c>
      <c r="BI100" s="7">
        <v>10</v>
      </c>
      <c r="BJ100" s="7">
        <v>10</v>
      </c>
      <c r="BK100" s="7">
        <v>10</v>
      </c>
      <c r="BL100" s="7">
        <v>95.251072556056201</v>
      </c>
      <c r="BM100" s="7">
        <v>100</v>
      </c>
      <c r="BN100" s="7">
        <v>100</v>
      </c>
      <c r="BO100" s="7">
        <v>100</v>
      </c>
      <c r="BP100" s="6">
        <v>22.890453631404899</v>
      </c>
      <c r="BQ100" s="6">
        <v>0.96632578721567097</v>
      </c>
      <c r="BR100" s="6">
        <v>2.9109576104260499</v>
      </c>
      <c r="BS100" s="6">
        <v>4.0330266317692498</v>
      </c>
      <c r="BT100" s="6">
        <v>4.2927875664445097</v>
      </c>
      <c r="BU100" s="6">
        <v>60.119802487790402</v>
      </c>
      <c r="BV100" s="6">
        <v>72.688270688864307</v>
      </c>
      <c r="BW100" s="6">
        <v>82.534200372359095</v>
      </c>
      <c r="BX100" s="6">
        <v>86.452065513612695</v>
      </c>
      <c r="BY100" s="6" t="str">
        <f>TRIM(Table1[[#This Row],[LA_Name]])</f>
        <v>Melton</v>
      </c>
      <c r="BZ100" s="7">
        <v>51.5948182128122</v>
      </c>
      <c r="CA100" s="7">
        <v>0</v>
      </c>
      <c r="CB100" s="7">
        <v>4.2902242249264703E-3</v>
      </c>
      <c r="CC100" s="7">
        <v>0.74585143412212296</v>
      </c>
      <c r="CD100" s="7">
        <v>3.9012708777421001</v>
      </c>
      <c r="CE100" s="7">
        <v>0</v>
      </c>
      <c r="CF100" s="7">
        <v>0.42902242249264699</v>
      </c>
      <c r="CG100" s="7">
        <v>39.394511750897202</v>
      </c>
      <c r="CH100" s="7">
        <v>82.844499608753097</v>
      </c>
      <c r="CI100" s="7">
        <v>75.484347180017394</v>
      </c>
      <c r="CJ100" s="7">
        <v>0</v>
      </c>
      <c r="CK100" s="7">
        <v>0</v>
      </c>
      <c r="CL100" s="7">
        <v>4.3172067672216097E-3</v>
      </c>
      <c r="CM100" s="7">
        <v>0.13170178894255399</v>
      </c>
      <c r="CN100" s="7">
        <v>0</v>
      </c>
      <c r="CO100" s="7">
        <v>0</v>
      </c>
      <c r="CP100" s="7">
        <v>0.43172067672216102</v>
      </c>
      <c r="CQ100" s="7">
        <v>13.1701788942554</v>
      </c>
      <c r="CR100" s="7">
        <v>28.8826547790303</v>
      </c>
      <c r="CS100" s="7">
        <v>0</v>
      </c>
      <c r="CT100" s="7">
        <v>0.77604489895037898</v>
      </c>
      <c r="CU100" s="7">
        <v>9.4523623215779402</v>
      </c>
      <c r="CV100" s="7">
        <v>10</v>
      </c>
      <c r="CW100" s="7">
        <v>0</v>
      </c>
      <c r="CX100" s="7">
        <v>51.574431342921102</v>
      </c>
      <c r="CY100" s="7">
        <v>100</v>
      </c>
      <c r="CZ100" s="7">
        <v>100</v>
      </c>
      <c r="DA100" s="9">
        <v>119.982601661998</v>
      </c>
      <c r="DB100" s="9">
        <v>0</v>
      </c>
      <c r="DC100" s="9">
        <v>0</v>
      </c>
      <c r="DD100" s="9">
        <v>0</v>
      </c>
      <c r="DE100" s="9">
        <v>0</v>
      </c>
      <c r="DF100" s="9">
        <v>0</v>
      </c>
      <c r="DG100" s="9">
        <v>0</v>
      </c>
      <c r="DH100" s="9">
        <v>0</v>
      </c>
      <c r="DI100" s="9">
        <v>0</v>
      </c>
    </row>
    <row r="101" spans="1:113">
      <c r="A101" s="5" t="s">
        <v>275</v>
      </c>
      <c r="B101" s="5" t="s">
        <v>314</v>
      </c>
      <c r="C101" s="5" t="s">
        <v>315</v>
      </c>
      <c r="D101" s="6">
        <v>75773</v>
      </c>
      <c r="E101" s="7">
        <v>12.678884713268999</v>
      </c>
      <c r="F101" s="7">
        <v>1.33668984994655</v>
      </c>
      <c r="G101" s="7">
        <v>6.8955168727647003</v>
      </c>
      <c r="H101" s="7">
        <v>9.5923481979069098</v>
      </c>
      <c r="I101" s="7">
        <v>9.8034524170878807</v>
      </c>
      <c r="J101" s="7">
        <v>68.292135721167199</v>
      </c>
      <c r="K101" s="7">
        <v>95.255565966769197</v>
      </c>
      <c r="L101" s="7">
        <v>99.072228894197096</v>
      </c>
      <c r="M101" s="7">
        <v>100</v>
      </c>
      <c r="N101" s="7">
        <v>10.6403907763394</v>
      </c>
      <c r="O101" s="7">
        <v>2.9170944795639602</v>
      </c>
      <c r="P101" s="7">
        <v>8.4815171631055897</v>
      </c>
      <c r="Q101" s="7">
        <v>10</v>
      </c>
      <c r="R101" s="7">
        <v>10</v>
      </c>
      <c r="S101" s="7">
        <v>87.434838266928907</v>
      </c>
      <c r="T101" s="7">
        <v>100</v>
      </c>
      <c r="U101" s="7">
        <v>100</v>
      </c>
      <c r="V101" s="7">
        <v>100</v>
      </c>
      <c r="W101" s="7">
        <v>7.8099636852771903</v>
      </c>
      <c r="X101" s="7">
        <v>8.0925527562588293</v>
      </c>
      <c r="Y101" s="7">
        <v>10</v>
      </c>
      <c r="Z101" s="7">
        <v>10</v>
      </c>
      <c r="AA101" s="7">
        <v>10</v>
      </c>
      <c r="AB101" s="7">
        <v>96.307391815026406</v>
      </c>
      <c r="AC101" s="7">
        <v>100</v>
      </c>
      <c r="AD101" s="7">
        <v>100</v>
      </c>
      <c r="AE101" s="7">
        <v>100</v>
      </c>
      <c r="AF101" s="6">
        <v>17.507340876533799</v>
      </c>
      <c r="AG101" s="6">
        <v>0.99090705132434997</v>
      </c>
      <c r="AH101" s="6">
        <v>2.7692185870956698</v>
      </c>
      <c r="AI101" s="6">
        <v>4.9084106475921496</v>
      </c>
      <c r="AJ101" s="6">
        <v>6.5130587412402798</v>
      </c>
      <c r="AK101" s="6">
        <v>62.654243596003901</v>
      </c>
      <c r="AL101" s="6">
        <v>86.084753144259807</v>
      </c>
      <c r="AM101" s="6">
        <v>90.984915471210101</v>
      </c>
      <c r="AN101" s="6">
        <v>93.435656500336506</v>
      </c>
      <c r="AO101" s="6">
        <v>11.596816655265201</v>
      </c>
      <c r="AP101" s="7">
        <v>1.20739577422037</v>
      </c>
      <c r="AQ101" s="7">
        <v>5.6495057606271404</v>
      </c>
      <c r="AR101" s="7">
        <v>9.4079157483536395</v>
      </c>
      <c r="AS101" s="7">
        <v>9.8365116862206907</v>
      </c>
      <c r="AT101" s="7">
        <v>71.408021326857806</v>
      </c>
      <c r="AU101" s="7">
        <v>97.421245034511003</v>
      </c>
      <c r="AV101" s="7">
        <v>99.611998997004207</v>
      </c>
      <c r="AW101" s="7">
        <v>100</v>
      </c>
      <c r="AX101" s="7">
        <v>9.8252381564693803</v>
      </c>
      <c r="AY101" s="7">
        <v>2.20197167856624</v>
      </c>
      <c r="AZ101" s="7">
        <v>7.8769878452746998</v>
      </c>
      <c r="BA101" s="7">
        <v>9.9963575416045298</v>
      </c>
      <c r="BB101" s="7">
        <v>10</v>
      </c>
      <c r="BC101" s="7">
        <v>91.828223773639706</v>
      </c>
      <c r="BD101" s="7">
        <v>100</v>
      </c>
      <c r="BE101" s="7">
        <v>100</v>
      </c>
      <c r="BF101" s="7">
        <v>100</v>
      </c>
      <c r="BG101" s="7">
        <v>7.4717169870362499</v>
      </c>
      <c r="BH101" s="7">
        <v>6.9940216171987402</v>
      </c>
      <c r="BI101" s="7">
        <v>10</v>
      </c>
      <c r="BJ101" s="7">
        <v>10</v>
      </c>
      <c r="BK101" s="7">
        <v>10</v>
      </c>
      <c r="BL101" s="7">
        <v>100</v>
      </c>
      <c r="BM101" s="7">
        <v>100</v>
      </c>
      <c r="BN101" s="7">
        <v>100</v>
      </c>
      <c r="BO101" s="7">
        <v>100</v>
      </c>
      <c r="BP101" s="6">
        <v>14.8535426832885</v>
      </c>
      <c r="BQ101" s="6">
        <v>0.96654481147638305</v>
      </c>
      <c r="BR101" s="6">
        <v>2.1458435062621199</v>
      </c>
      <c r="BS101" s="6">
        <v>3.5200797117706801</v>
      </c>
      <c r="BT101" s="6">
        <v>5.1140907711189998</v>
      </c>
      <c r="BU101" s="6">
        <v>60.856769561717201</v>
      </c>
      <c r="BV101" s="6">
        <v>90.500574083116703</v>
      </c>
      <c r="BW101" s="6">
        <v>98.091668536285994</v>
      </c>
      <c r="BX101" s="6">
        <v>99.4826653293389</v>
      </c>
      <c r="BY101" s="6" t="str">
        <f>TRIM(Table1[[#This Row],[LA_Name]])</f>
        <v>North West Leicestershire</v>
      </c>
      <c r="BZ101" s="7">
        <v>27.721336408815802</v>
      </c>
      <c r="CA101" s="7">
        <v>0.10861388621276701</v>
      </c>
      <c r="CB101" s="7">
        <v>0.65651353384450895</v>
      </c>
      <c r="CC101" s="7">
        <v>1.1747192271653499</v>
      </c>
      <c r="CD101" s="7">
        <v>2.8642920301426602</v>
      </c>
      <c r="CE101" s="7">
        <v>10.861388621276699</v>
      </c>
      <c r="CF101" s="7">
        <v>64.723582278648095</v>
      </c>
      <c r="CG101" s="7">
        <v>91.924564158737297</v>
      </c>
      <c r="CH101" s="7">
        <v>98.181410264870095</v>
      </c>
      <c r="CI101" s="7">
        <v>22.0468819143119</v>
      </c>
      <c r="CJ101" s="7">
        <v>0.25333562086759098</v>
      </c>
      <c r="CK101" s="7">
        <v>0.82832935214390302</v>
      </c>
      <c r="CL101" s="7">
        <v>1.5899594842490099</v>
      </c>
      <c r="CM101" s="7">
        <v>2.63733783801618</v>
      </c>
      <c r="CN101" s="7">
        <v>25.333562086759098</v>
      </c>
      <c r="CO101" s="7">
        <v>81.007746822746896</v>
      </c>
      <c r="CP101" s="7">
        <v>99.713618307312601</v>
      </c>
      <c r="CQ101" s="7">
        <v>100</v>
      </c>
      <c r="CR101" s="7">
        <v>12.6999794155013</v>
      </c>
      <c r="CS101" s="7">
        <v>0.75873992055217598</v>
      </c>
      <c r="CT101" s="7">
        <v>5.1859897324904596</v>
      </c>
      <c r="CU101" s="7">
        <v>10</v>
      </c>
      <c r="CV101" s="7">
        <v>10</v>
      </c>
      <c r="CW101" s="7">
        <v>71.574307470998903</v>
      </c>
      <c r="CX101" s="7">
        <v>100</v>
      </c>
      <c r="CY101" s="7">
        <v>100</v>
      </c>
      <c r="CZ101" s="7">
        <v>100</v>
      </c>
      <c r="DA101" s="9">
        <v>54.539189764258701</v>
      </c>
      <c r="DB101" s="9">
        <v>7.9223470101487295E-2</v>
      </c>
      <c r="DC101" s="9">
        <v>0.24155042033442001</v>
      </c>
      <c r="DD101" s="9">
        <v>0.37439457326488301</v>
      </c>
      <c r="DE101" s="9">
        <v>0.56537289007958003</v>
      </c>
      <c r="DF101" s="9">
        <v>7.9223470101487301</v>
      </c>
      <c r="DG101" s="9">
        <v>24.155042033442001</v>
      </c>
      <c r="DH101" s="9">
        <v>37.439457326488302</v>
      </c>
      <c r="DI101" s="9">
        <v>56.537289007958002</v>
      </c>
    </row>
    <row r="102" spans="1:113">
      <c r="A102" s="5" t="s">
        <v>275</v>
      </c>
      <c r="B102" s="5" t="s">
        <v>316</v>
      </c>
      <c r="C102" s="5" t="s">
        <v>317</v>
      </c>
      <c r="D102" s="6">
        <v>40121</v>
      </c>
      <c r="E102" s="7">
        <v>7.1966398931646598</v>
      </c>
      <c r="F102" s="7">
        <v>3.0063059245781498</v>
      </c>
      <c r="G102" s="7">
        <v>9.9679718850477297</v>
      </c>
      <c r="H102" s="7">
        <v>10</v>
      </c>
      <c r="I102" s="7">
        <v>10</v>
      </c>
      <c r="J102" s="7">
        <v>97.353007153361105</v>
      </c>
      <c r="K102" s="7">
        <v>100</v>
      </c>
      <c r="L102" s="7">
        <v>100</v>
      </c>
      <c r="M102" s="7">
        <v>100</v>
      </c>
      <c r="N102" s="7">
        <v>7.4831930514314502</v>
      </c>
      <c r="O102" s="7">
        <v>9.0665736148151801</v>
      </c>
      <c r="P102" s="7">
        <v>10</v>
      </c>
      <c r="Q102" s="7">
        <v>10</v>
      </c>
      <c r="R102" s="7">
        <v>10</v>
      </c>
      <c r="S102" s="7">
        <v>100</v>
      </c>
      <c r="T102" s="7">
        <v>100</v>
      </c>
      <c r="U102" s="7">
        <v>100</v>
      </c>
      <c r="V102" s="7">
        <v>100</v>
      </c>
      <c r="W102" s="7">
        <v>6.51790306656748</v>
      </c>
      <c r="X102" s="7">
        <v>10</v>
      </c>
      <c r="Y102" s="7">
        <v>10</v>
      </c>
      <c r="Z102" s="7">
        <v>10</v>
      </c>
      <c r="AA102" s="7">
        <v>10</v>
      </c>
      <c r="AB102" s="7">
        <v>100</v>
      </c>
      <c r="AC102" s="7">
        <v>100</v>
      </c>
      <c r="AD102" s="7">
        <v>100</v>
      </c>
      <c r="AE102" s="7">
        <v>100</v>
      </c>
      <c r="AF102" s="6">
        <v>7.2397686913978996</v>
      </c>
      <c r="AG102" s="6">
        <v>2.6490865132972798</v>
      </c>
      <c r="AH102" s="6">
        <v>8.8265746117993107</v>
      </c>
      <c r="AI102" s="6">
        <v>9.9408289922983002</v>
      </c>
      <c r="AJ102" s="6">
        <v>10</v>
      </c>
      <c r="AK102" s="6">
        <v>97.353007153361105</v>
      </c>
      <c r="AL102" s="6">
        <v>100</v>
      </c>
      <c r="AM102" s="6">
        <v>100</v>
      </c>
      <c r="AN102" s="6">
        <v>100</v>
      </c>
      <c r="AO102" s="6">
        <v>11.695886219448999</v>
      </c>
      <c r="AP102" s="7">
        <v>1.4017596769771401</v>
      </c>
      <c r="AQ102" s="7">
        <v>8.6473417910819794</v>
      </c>
      <c r="AR102" s="7">
        <v>10</v>
      </c>
      <c r="AS102" s="7">
        <v>10</v>
      </c>
      <c r="AT102" s="7">
        <v>67.799905286508306</v>
      </c>
      <c r="AU102" s="7">
        <v>100</v>
      </c>
      <c r="AV102" s="7">
        <v>100</v>
      </c>
      <c r="AW102" s="7">
        <v>100</v>
      </c>
      <c r="AX102" s="7">
        <v>9.3393178176185803</v>
      </c>
      <c r="AY102" s="7">
        <v>4.7339298621669403</v>
      </c>
      <c r="AZ102" s="7">
        <v>10</v>
      </c>
      <c r="BA102" s="7">
        <v>10</v>
      </c>
      <c r="BB102" s="7">
        <v>10</v>
      </c>
      <c r="BC102" s="7">
        <v>94.992647242092701</v>
      </c>
      <c r="BD102" s="7">
        <v>100</v>
      </c>
      <c r="BE102" s="7">
        <v>100</v>
      </c>
      <c r="BF102" s="7">
        <v>100</v>
      </c>
      <c r="BG102" s="7">
        <v>7.4526063636751596</v>
      </c>
      <c r="BH102" s="7">
        <v>9.6638668029211594</v>
      </c>
      <c r="BI102" s="7">
        <v>10</v>
      </c>
      <c r="BJ102" s="7">
        <v>10</v>
      </c>
      <c r="BK102" s="7">
        <v>10</v>
      </c>
      <c r="BL102" s="7">
        <v>100</v>
      </c>
      <c r="BM102" s="7">
        <v>100</v>
      </c>
      <c r="BN102" s="7">
        <v>100</v>
      </c>
      <c r="BO102" s="7">
        <v>100</v>
      </c>
      <c r="BP102" s="6">
        <v>13.009118230769401</v>
      </c>
      <c r="BQ102" s="6">
        <v>1.2201091697614701</v>
      </c>
      <c r="BR102" s="6">
        <v>4.3771341691383601</v>
      </c>
      <c r="BS102" s="6">
        <v>8.2800777647616002</v>
      </c>
      <c r="BT102" s="6">
        <v>9.7652600882331004</v>
      </c>
      <c r="BU102" s="6">
        <v>64.569676727898099</v>
      </c>
      <c r="BV102" s="6">
        <v>95.256848034695096</v>
      </c>
      <c r="BW102" s="6">
        <v>100</v>
      </c>
      <c r="BX102" s="6">
        <v>100</v>
      </c>
      <c r="BY102" s="6" t="str">
        <f>TRIM(Table1[[#This Row],[LA_Name]])</f>
        <v>Oadby and Wigston</v>
      </c>
      <c r="BZ102" s="7">
        <v>29.8198915474294</v>
      </c>
      <c r="CA102" s="7">
        <v>0</v>
      </c>
      <c r="CB102" s="7">
        <v>1.1564517335061399</v>
      </c>
      <c r="CC102" s="7">
        <v>6.2906707210687696</v>
      </c>
      <c r="CD102" s="7">
        <v>9.2016898880885307</v>
      </c>
      <c r="CE102" s="7">
        <v>0</v>
      </c>
      <c r="CF102" s="7">
        <v>51.332220034395903</v>
      </c>
      <c r="CG102" s="7">
        <v>100</v>
      </c>
      <c r="CH102" s="7">
        <v>100</v>
      </c>
      <c r="CI102" s="7">
        <v>22.425143115164701</v>
      </c>
      <c r="CJ102" s="7">
        <v>5.3837142643503397E-3</v>
      </c>
      <c r="CK102" s="7">
        <v>4.1588195707983404</v>
      </c>
      <c r="CL102" s="7">
        <v>9.6065152912439906</v>
      </c>
      <c r="CM102" s="7">
        <v>10</v>
      </c>
      <c r="CN102" s="7">
        <v>0.538371426435034</v>
      </c>
      <c r="CO102" s="7">
        <v>100</v>
      </c>
      <c r="CP102" s="7">
        <v>100</v>
      </c>
      <c r="CQ102" s="7">
        <v>100</v>
      </c>
      <c r="CR102" s="7">
        <v>14.3880728511991</v>
      </c>
      <c r="CS102" s="7">
        <v>0.83038807606988896</v>
      </c>
      <c r="CT102" s="7">
        <v>10</v>
      </c>
      <c r="CU102" s="7">
        <v>10</v>
      </c>
      <c r="CV102" s="7">
        <v>10</v>
      </c>
      <c r="CW102" s="7">
        <v>61.663468009272002</v>
      </c>
      <c r="CX102" s="7">
        <v>100</v>
      </c>
      <c r="CY102" s="7">
        <v>100</v>
      </c>
      <c r="CZ102" s="7">
        <v>100</v>
      </c>
      <c r="DA102" s="9">
        <v>56.104242587962503</v>
      </c>
      <c r="DB102" s="9">
        <v>0</v>
      </c>
      <c r="DC102" s="9">
        <v>5.3837142643503397E-3</v>
      </c>
      <c r="DD102" s="9">
        <v>0.189626380199895</v>
      </c>
      <c r="DE102" s="9">
        <v>0.974003638992049</v>
      </c>
      <c r="DF102" s="9">
        <v>0</v>
      </c>
      <c r="DG102" s="9">
        <v>0.538371426435034</v>
      </c>
      <c r="DH102" s="9">
        <v>17.8858951671195</v>
      </c>
      <c r="DI102" s="9">
        <v>57.640637072854602</v>
      </c>
    </row>
    <row r="103" spans="1:113">
      <c r="A103" s="5" t="s">
        <v>275</v>
      </c>
      <c r="B103" s="5" t="s">
        <v>318</v>
      </c>
      <c r="C103" s="5" t="s">
        <v>319</v>
      </c>
      <c r="D103" s="6">
        <v>548505</v>
      </c>
      <c r="E103" s="7">
        <v>13.6602473240072</v>
      </c>
      <c r="F103" s="7">
        <v>1.34796218812955</v>
      </c>
      <c r="G103" s="7">
        <v>5.7542137264017601</v>
      </c>
      <c r="H103" s="7">
        <v>8.5330124611443807</v>
      </c>
      <c r="I103" s="7">
        <v>9.3618800193252607</v>
      </c>
      <c r="J103" s="7">
        <v>69.860803456668606</v>
      </c>
      <c r="K103" s="7">
        <v>92.771077747695998</v>
      </c>
      <c r="L103" s="7">
        <v>97.620805644433503</v>
      </c>
      <c r="M103" s="7">
        <v>98.599648134474606</v>
      </c>
      <c r="N103" s="7">
        <v>11.8500868366657</v>
      </c>
      <c r="O103" s="7">
        <v>3.05922826592283</v>
      </c>
      <c r="P103" s="7">
        <v>6.2869490706556901</v>
      </c>
      <c r="Q103" s="7">
        <v>8.3629574935506508</v>
      </c>
      <c r="R103" s="7">
        <v>9.5355794386559793</v>
      </c>
      <c r="S103" s="7">
        <v>79.156798935287696</v>
      </c>
      <c r="T103" s="7">
        <v>94.583823301519601</v>
      </c>
      <c r="U103" s="7">
        <v>99.099552419759206</v>
      </c>
      <c r="V103" s="7">
        <v>100</v>
      </c>
      <c r="W103" s="7">
        <v>8.2278486635140293</v>
      </c>
      <c r="X103" s="7">
        <v>6.20748397917977</v>
      </c>
      <c r="Y103" s="7">
        <v>9.8478573577269106</v>
      </c>
      <c r="Z103" s="7">
        <v>10</v>
      </c>
      <c r="AA103" s="7">
        <v>10</v>
      </c>
      <c r="AB103" s="7">
        <v>94.786009243306793</v>
      </c>
      <c r="AC103" s="7">
        <v>100</v>
      </c>
      <c r="AD103" s="7">
        <v>100</v>
      </c>
      <c r="AE103" s="7">
        <v>100</v>
      </c>
      <c r="AF103" s="6">
        <v>21.565508982433599</v>
      </c>
      <c r="AG103" s="6">
        <v>1.05751087045697</v>
      </c>
      <c r="AH103" s="6">
        <v>2.90346304956199</v>
      </c>
      <c r="AI103" s="6">
        <v>4.5287481426787402</v>
      </c>
      <c r="AJ103" s="6">
        <v>5.4340908469385001</v>
      </c>
      <c r="AK103" s="6">
        <v>62.999243397963603</v>
      </c>
      <c r="AL103" s="6">
        <v>78.218065468865404</v>
      </c>
      <c r="AM103" s="6">
        <v>84.737422630604996</v>
      </c>
      <c r="AN103" s="6">
        <v>89.963993035615005</v>
      </c>
      <c r="AO103" s="6">
        <v>15.790564657870499</v>
      </c>
      <c r="AP103" s="7">
        <v>1.09076125103691</v>
      </c>
      <c r="AQ103" s="7">
        <v>5.0114420105559701</v>
      </c>
      <c r="AR103" s="7">
        <v>8.00459248320435</v>
      </c>
      <c r="AS103" s="7">
        <v>9.2510369094174205</v>
      </c>
      <c r="AT103" s="7">
        <v>59.257071494334603</v>
      </c>
      <c r="AU103" s="7">
        <v>90.372558135294994</v>
      </c>
      <c r="AV103" s="7">
        <v>97.140044302239701</v>
      </c>
      <c r="AW103" s="7">
        <v>98.510679027538501</v>
      </c>
      <c r="AX103" s="7">
        <v>13.9382932859</v>
      </c>
      <c r="AY103" s="7">
        <v>2.6238521070910901</v>
      </c>
      <c r="AZ103" s="7">
        <v>5.44998495911614</v>
      </c>
      <c r="BA103" s="7">
        <v>7.3589028358902802</v>
      </c>
      <c r="BB103" s="7">
        <v>8.8588034748999593</v>
      </c>
      <c r="BC103" s="7">
        <v>71.992962689492302</v>
      </c>
      <c r="BD103" s="7">
        <v>90.793885197035607</v>
      </c>
      <c r="BE103" s="7">
        <v>98.619702646283997</v>
      </c>
      <c r="BF103" s="7">
        <v>100</v>
      </c>
      <c r="BG103" s="7">
        <v>9.0666048316622803</v>
      </c>
      <c r="BH103" s="7">
        <v>5.2876746793556997</v>
      </c>
      <c r="BI103" s="7">
        <v>9.4956199123070899</v>
      </c>
      <c r="BJ103" s="7">
        <v>9.9995515081904394</v>
      </c>
      <c r="BK103" s="7">
        <v>10</v>
      </c>
      <c r="BL103" s="7">
        <v>90.867904576986504</v>
      </c>
      <c r="BM103" s="7">
        <v>100</v>
      </c>
      <c r="BN103" s="7">
        <v>100</v>
      </c>
      <c r="BO103" s="7">
        <v>100</v>
      </c>
      <c r="BP103" s="6">
        <v>28.082245682784201</v>
      </c>
      <c r="BQ103" s="6">
        <v>0.85359659437926705</v>
      </c>
      <c r="BR103" s="6">
        <v>2.5139041576649301</v>
      </c>
      <c r="BS103" s="6">
        <v>3.8518172122405399</v>
      </c>
      <c r="BT103" s="6">
        <v>4.6297226096389297</v>
      </c>
      <c r="BU103" s="6">
        <v>52.067893638161898</v>
      </c>
      <c r="BV103" s="6">
        <v>70.684132323315197</v>
      </c>
      <c r="BW103" s="6">
        <v>78.239213863137095</v>
      </c>
      <c r="BX103" s="6">
        <v>84.098595272604598</v>
      </c>
      <c r="BY103" s="6" t="str">
        <f>TRIM(Table1[[#This Row],[LA_Name]])</f>
        <v>Lincolnshire</v>
      </c>
      <c r="BZ103" s="7">
        <v>52.132422237183199</v>
      </c>
      <c r="CA103" s="7">
        <v>0.13997319987967299</v>
      </c>
      <c r="CB103" s="7">
        <v>0.67852070628344296</v>
      </c>
      <c r="CC103" s="7">
        <v>1.33060956600213</v>
      </c>
      <c r="CD103" s="7">
        <v>2.1565436960465298</v>
      </c>
      <c r="CE103" s="7">
        <v>10.1760239195632</v>
      </c>
      <c r="CF103" s="7">
        <v>31.682117756447099</v>
      </c>
      <c r="CG103" s="7">
        <v>48.664278356623903</v>
      </c>
      <c r="CH103" s="7">
        <v>67.101849572930107</v>
      </c>
      <c r="CI103" s="7">
        <v>61.119856004669501</v>
      </c>
      <c r="CJ103" s="7">
        <v>0.334857476230846</v>
      </c>
      <c r="CK103" s="7">
        <v>0.88089078495182405</v>
      </c>
      <c r="CL103" s="7">
        <v>1.26181165167136</v>
      </c>
      <c r="CM103" s="7">
        <v>1.5312804805790301</v>
      </c>
      <c r="CN103" s="7">
        <v>17.090819591434901</v>
      </c>
      <c r="CO103" s="7">
        <v>32.2319760075113</v>
      </c>
      <c r="CP103" s="7">
        <v>39.8324536695199</v>
      </c>
      <c r="CQ103" s="7">
        <v>47.998833192040202</v>
      </c>
      <c r="CR103" s="7">
        <v>27.7231702156047</v>
      </c>
      <c r="CS103" s="7">
        <v>0.63744359668553596</v>
      </c>
      <c r="CT103" s="7">
        <v>2.08005396486814</v>
      </c>
      <c r="CU103" s="7">
        <v>4.6797403852289401</v>
      </c>
      <c r="CV103" s="7">
        <v>7.4990565263762399</v>
      </c>
      <c r="CW103" s="7">
        <v>30.26845698763</v>
      </c>
      <c r="CX103" s="7">
        <v>61.576284628216698</v>
      </c>
      <c r="CY103" s="7">
        <v>86.2313014466596</v>
      </c>
      <c r="CZ103" s="7">
        <v>91.855315812982596</v>
      </c>
      <c r="DA103" s="9">
        <v>90.752200323966093</v>
      </c>
      <c r="DB103" s="9">
        <v>0.104261583759492</v>
      </c>
      <c r="DC103" s="9">
        <v>0.30373287390269899</v>
      </c>
      <c r="DD103" s="9">
        <v>0.50575108704569705</v>
      </c>
      <c r="DE103" s="9">
        <v>0.66562930146489097</v>
      </c>
      <c r="DF103" s="9">
        <v>7.3166151630340703</v>
      </c>
      <c r="DG103" s="9">
        <v>16.370680303734702</v>
      </c>
      <c r="DH103" s="9">
        <v>23.334883000154999</v>
      </c>
      <c r="DI103" s="9">
        <v>28.8712044557479</v>
      </c>
    </row>
    <row r="104" spans="1:113">
      <c r="A104" s="5" t="s">
        <v>275</v>
      </c>
      <c r="B104" s="5" t="s">
        <v>320</v>
      </c>
      <c r="C104" s="5" t="s">
        <v>321</v>
      </c>
      <c r="D104" s="6">
        <v>49943</v>
      </c>
      <c r="E104" s="7">
        <v>12.6993324669351</v>
      </c>
      <c r="F104" s="7">
        <v>1.58941192959974</v>
      </c>
      <c r="G104" s="7">
        <v>6.5135254189776299</v>
      </c>
      <c r="H104" s="7">
        <v>9.2446188655066805</v>
      </c>
      <c r="I104" s="7">
        <v>9.5902729111186709</v>
      </c>
      <c r="J104" s="7">
        <v>70.300142162064702</v>
      </c>
      <c r="K104" s="7">
        <v>94.495725126644402</v>
      </c>
      <c r="L104" s="7">
        <v>97.809502833229899</v>
      </c>
      <c r="M104" s="7">
        <v>98.816650982119597</v>
      </c>
      <c r="N104" s="7">
        <v>11.437086074393299</v>
      </c>
      <c r="O104" s="7">
        <v>4.2963978935986997</v>
      </c>
      <c r="P104" s="7">
        <v>7.7561820475341898</v>
      </c>
      <c r="Q104" s="7">
        <v>9.3455539314818896</v>
      </c>
      <c r="R104" s="7">
        <v>10</v>
      </c>
      <c r="S104" s="7">
        <v>77.422261377970898</v>
      </c>
      <c r="T104" s="7">
        <v>95.380734036801996</v>
      </c>
      <c r="U104" s="7">
        <v>99.473399675630205</v>
      </c>
      <c r="V104" s="7">
        <v>100</v>
      </c>
      <c r="W104" s="7">
        <v>7.7942379784259899</v>
      </c>
      <c r="X104" s="7">
        <v>7.6281560979516696</v>
      </c>
      <c r="Y104" s="7">
        <v>10</v>
      </c>
      <c r="Z104" s="7">
        <v>10</v>
      </c>
      <c r="AA104" s="7">
        <v>10</v>
      </c>
      <c r="AB104" s="7">
        <v>98.117854353963494</v>
      </c>
      <c r="AC104" s="7">
        <v>100</v>
      </c>
      <c r="AD104" s="7">
        <v>100</v>
      </c>
      <c r="AE104" s="7">
        <v>100</v>
      </c>
      <c r="AF104" s="6">
        <v>20.434364267609698</v>
      </c>
      <c r="AG104" s="6">
        <v>1.2353082514066001</v>
      </c>
      <c r="AH104" s="6">
        <v>4.10209638988447</v>
      </c>
      <c r="AI104" s="6">
        <v>6.3515607792883904</v>
      </c>
      <c r="AJ104" s="6">
        <v>7.1689325831447803</v>
      </c>
      <c r="AK104" s="6">
        <v>60.975512083775499</v>
      </c>
      <c r="AL104" s="6">
        <v>76.537252467813303</v>
      </c>
      <c r="AM104" s="6">
        <v>88.707126123781094</v>
      </c>
      <c r="AN104" s="6">
        <v>93.434515347496102</v>
      </c>
      <c r="AO104" s="6">
        <v>14.8207336237385</v>
      </c>
      <c r="AP104" s="7">
        <v>1.15763970926857</v>
      </c>
      <c r="AQ104" s="7">
        <v>6.0917245660052499</v>
      </c>
      <c r="AR104" s="7">
        <v>8.8473659972368495</v>
      </c>
      <c r="AS104" s="7">
        <v>9.55341088841279</v>
      </c>
      <c r="AT104" s="7">
        <v>56.888853292753701</v>
      </c>
      <c r="AU104" s="7">
        <v>93.654766433734494</v>
      </c>
      <c r="AV104" s="7">
        <v>97.959674028392399</v>
      </c>
      <c r="AW104" s="7">
        <v>100</v>
      </c>
      <c r="AX104" s="7">
        <v>11.7929133256693</v>
      </c>
      <c r="AY104" s="7">
        <v>3.7301523737060198</v>
      </c>
      <c r="AZ104" s="7">
        <v>8.1444847125723303</v>
      </c>
      <c r="BA104" s="7">
        <v>9.2847446088540906</v>
      </c>
      <c r="BB104" s="7">
        <v>9.8263420299141</v>
      </c>
      <c r="BC104" s="7">
        <v>81.188554952646001</v>
      </c>
      <c r="BD104" s="7">
        <v>99.0549226117774</v>
      </c>
      <c r="BE104" s="7">
        <v>99.473399675630205</v>
      </c>
      <c r="BF104" s="7">
        <v>100</v>
      </c>
      <c r="BG104" s="7">
        <v>8.2324716605782697</v>
      </c>
      <c r="BH104" s="7">
        <v>7.9661013555453204</v>
      </c>
      <c r="BI104" s="7">
        <v>9.9785955989828405</v>
      </c>
      <c r="BJ104" s="7">
        <v>10</v>
      </c>
      <c r="BK104" s="7">
        <v>10</v>
      </c>
      <c r="BL104" s="7">
        <v>98.620427287107304</v>
      </c>
      <c r="BM104" s="7">
        <v>100</v>
      </c>
      <c r="BN104" s="7">
        <v>100</v>
      </c>
      <c r="BO104" s="7">
        <v>100</v>
      </c>
      <c r="BP104" s="6">
        <v>20.688443958577899</v>
      </c>
      <c r="BQ104" s="6">
        <v>1.0112928738762199</v>
      </c>
      <c r="BR104" s="6">
        <v>3.6199267164567601</v>
      </c>
      <c r="BS104" s="6">
        <v>5.5995434795667096</v>
      </c>
      <c r="BT104" s="6">
        <v>7.2481428828864898</v>
      </c>
      <c r="BU104" s="6">
        <v>53.006427327152899</v>
      </c>
      <c r="BV104" s="6">
        <v>79.538674088460894</v>
      </c>
      <c r="BW104" s="6">
        <v>85.119035700698802</v>
      </c>
      <c r="BX104" s="6">
        <v>93.536631760206603</v>
      </c>
      <c r="BY104" s="6" t="str">
        <f>TRIM(Table1[[#This Row],[LA_Name]])</f>
        <v>Boston</v>
      </c>
      <c r="BZ104" s="7">
        <v>60.470650114242702</v>
      </c>
      <c r="CA104" s="7">
        <v>0</v>
      </c>
      <c r="CB104" s="7">
        <v>7.8689706265142306E-3</v>
      </c>
      <c r="CC104" s="7">
        <v>0.18326892657629701</v>
      </c>
      <c r="CD104" s="7">
        <v>0.59479806979957195</v>
      </c>
      <c r="CE104" s="7">
        <v>0</v>
      </c>
      <c r="CF104" s="7">
        <v>0.78689706265142301</v>
      </c>
      <c r="CG104" s="7">
        <v>18.326892657629699</v>
      </c>
      <c r="CH104" s="7">
        <v>59.479806979957203</v>
      </c>
      <c r="CI104" s="7">
        <v>88.267892905388905</v>
      </c>
      <c r="CJ104" s="7">
        <v>0</v>
      </c>
      <c r="CK104" s="7">
        <v>0</v>
      </c>
      <c r="CL104" s="7">
        <v>0</v>
      </c>
      <c r="CM104" s="7">
        <v>4.3970125943575702E-2</v>
      </c>
      <c r="CN104" s="7">
        <v>0</v>
      </c>
      <c r="CO104" s="7">
        <v>0</v>
      </c>
      <c r="CP104" s="7">
        <v>0</v>
      </c>
      <c r="CQ104" s="7">
        <v>4.3970125943575704</v>
      </c>
      <c r="CR104" s="7">
        <v>31.134183576386199</v>
      </c>
      <c r="CS104" s="7">
        <v>0</v>
      </c>
      <c r="CT104" s="7">
        <v>0.36001041186953098</v>
      </c>
      <c r="CU104" s="7">
        <v>1.0832749334241001</v>
      </c>
      <c r="CV104" s="7">
        <v>4.4819694451674899</v>
      </c>
      <c r="CW104" s="7">
        <v>0</v>
      </c>
      <c r="CX104" s="7">
        <v>36.001041186953103</v>
      </c>
      <c r="CY104" s="7">
        <v>94.840117734217003</v>
      </c>
      <c r="CZ104" s="7">
        <v>100</v>
      </c>
      <c r="DA104" s="9">
        <v>120</v>
      </c>
      <c r="DB104" s="9">
        <v>0</v>
      </c>
      <c r="DC104" s="9">
        <v>0</v>
      </c>
      <c r="DD104" s="9">
        <v>0</v>
      </c>
      <c r="DE104" s="9">
        <v>0</v>
      </c>
      <c r="DF104" s="9">
        <v>0</v>
      </c>
      <c r="DG104" s="9">
        <v>0</v>
      </c>
      <c r="DH104" s="9">
        <v>0</v>
      </c>
      <c r="DI104" s="9">
        <v>0</v>
      </c>
    </row>
    <row r="105" spans="1:113">
      <c r="A105" s="5" t="s">
        <v>275</v>
      </c>
      <c r="B105" s="5" t="s">
        <v>322</v>
      </c>
      <c r="C105" s="5" t="s">
        <v>323</v>
      </c>
      <c r="D105" s="6">
        <v>101436</v>
      </c>
      <c r="E105" s="7">
        <v>16.578262824023</v>
      </c>
      <c r="F105" s="7">
        <v>0.95775661500847797</v>
      </c>
      <c r="G105" s="7">
        <v>3.7388796876848498</v>
      </c>
      <c r="H105" s="7">
        <v>6.9273926416656799</v>
      </c>
      <c r="I105" s="7">
        <v>8.8184865333806499</v>
      </c>
      <c r="J105" s="7">
        <v>57.349461729563501</v>
      </c>
      <c r="K105" s="7">
        <v>88.836310580070204</v>
      </c>
      <c r="L105" s="7">
        <v>96.568279506289699</v>
      </c>
      <c r="M105" s="7">
        <v>98.074648053945296</v>
      </c>
      <c r="N105" s="7">
        <v>13.402634664309399</v>
      </c>
      <c r="O105" s="7">
        <v>1.7864860601758701</v>
      </c>
      <c r="P105" s="7">
        <v>3.5843093181907801</v>
      </c>
      <c r="Q105" s="7">
        <v>5.9564355849994097</v>
      </c>
      <c r="R105" s="7">
        <v>8.5059742103395202</v>
      </c>
      <c r="S105" s="7">
        <v>67.753065972632996</v>
      </c>
      <c r="T105" s="7">
        <v>94.942623920501603</v>
      </c>
      <c r="U105" s="7">
        <v>100</v>
      </c>
      <c r="V105" s="7">
        <v>100</v>
      </c>
      <c r="W105" s="7">
        <v>8.8704907521731808</v>
      </c>
      <c r="X105" s="7">
        <v>3.4514965101147501</v>
      </c>
      <c r="Y105" s="7">
        <v>9.3434875192239399</v>
      </c>
      <c r="Z105" s="7">
        <v>10</v>
      </c>
      <c r="AA105" s="7">
        <v>10</v>
      </c>
      <c r="AB105" s="7">
        <v>92.192121140423495</v>
      </c>
      <c r="AC105" s="7">
        <v>100</v>
      </c>
      <c r="AD105" s="7">
        <v>100</v>
      </c>
      <c r="AE105" s="7">
        <v>100</v>
      </c>
      <c r="AF105" s="6">
        <v>26.7198718765462</v>
      </c>
      <c r="AG105" s="6">
        <v>0.741324579044915</v>
      </c>
      <c r="AH105" s="6">
        <v>1.70425687132773</v>
      </c>
      <c r="AI105" s="6">
        <v>2.3269746441105701</v>
      </c>
      <c r="AJ105" s="6">
        <v>2.83350092669269</v>
      </c>
      <c r="AK105" s="6">
        <v>51.925351946054697</v>
      </c>
      <c r="AL105" s="6">
        <v>67.304507275523505</v>
      </c>
      <c r="AM105" s="6">
        <v>75.208012934264005</v>
      </c>
      <c r="AN105" s="6">
        <v>86.747308647817306</v>
      </c>
      <c r="AO105" s="6">
        <v>18.628995227328499</v>
      </c>
      <c r="AP105" s="7">
        <v>0.98921487440356504</v>
      </c>
      <c r="AQ105" s="7">
        <v>3.0748255057376102</v>
      </c>
      <c r="AR105" s="7">
        <v>6.2366812571473602</v>
      </c>
      <c r="AS105" s="7">
        <v>8.5221026065696606</v>
      </c>
      <c r="AT105" s="7">
        <v>52.284198903742301</v>
      </c>
      <c r="AU105" s="7">
        <v>84.964903978863504</v>
      </c>
      <c r="AV105" s="7">
        <v>95.760873851492605</v>
      </c>
      <c r="AW105" s="7">
        <v>97.047399345400095</v>
      </c>
      <c r="AX105" s="7">
        <v>17.258698001269501</v>
      </c>
      <c r="AY105" s="7">
        <v>1.7175361804487601</v>
      </c>
      <c r="AZ105" s="7">
        <v>2.75613194526598</v>
      </c>
      <c r="BA105" s="7">
        <v>4.5859162427540499</v>
      </c>
      <c r="BB105" s="7">
        <v>6.7540320990575298</v>
      </c>
      <c r="BC105" s="7">
        <v>59.774636223825901</v>
      </c>
      <c r="BD105" s="7">
        <v>82.804921329705394</v>
      </c>
      <c r="BE105" s="7">
        <v>95.470050080839201</v>
      </c>
      <c r="BF105" s="7">
        <v>100</v>
      </c>
      <c r="BG105" s="7">
        <v>10.259755187711701</v>
      </c>
      <c r="BH105" s="7">
        <v>2.6566603572696099</v>
      </c>
      <c r="BI105" s="7">
        <v>7.7453566781024499</v>
      </c>
      <c r="BJ105" s="7">
        <v>9.9975748255057404</v>
      </c>
      <c r="BK105" s="7">
        <v>10</v>
      </c>
      <c r="BL105" s="7">
        <v>81.592334082574197</v>
      </c>
      <c r="BM105" s="7">
        <v>100</v>
      </c>
      <c r="BN105" s="7">
        <v>100</v>
      </c>
      <c r="BO105" s="7">
        <v>100</v>
      </c>
      <c r="BP105" s="6">
        <v>38.2375560148406</v>
      </c>
      <c r="BQ105" s="6">
        <v>0.80599589889191203</v>
      </c>
      <c r="BR105" s="6">
        <v>1.67601246105919</v>
      </c>
      <c r="BS105" s="6">
        <v>1.95265980519737</v>
      </c>
      <c r="BT105" s="6">
        <v>2.2578867463228001</v>
      </c>
      <c r="BU105" s="6">
        <v>43.0862810047715</v>
      </c>
      <c r="BV105" s="6">
        <v>58.712883000118303</v>
      </c>
      <c r="BW105" s="6">
        <v>64.994676446232106</v>
      </c>
      <c r="BX105" s="6">
        <v>72.257383966244703</v>
      </c>
      <c r="BY105" s="6" t="str">
        <f>TRIM(Table1[[#This Row],[LA_Name]])</f>
        <v>East Lindsey</v>
      </c>
      <c r="BZ105" s="7">
        <v>94.808879029699597</v>
      </c>
      <c r="CA105" s="7">
        <v>0</v>
      </c>
      <c r="CB105" s="7">
        <v>1.04006467131985E-2</v>
      </c>
      <c r="CC105" s="7">
        <v>8.7907646200560005E-2</v>
      </c>
      <c r="CD105" s="7">
        <v>0.23070704680783899</v>
      </c>
      <c r="CE105" s="7">
        <v>0</v>
      </c>
      <c r="CF105" s="7">
        <v>1.04006467131985</v>
      </c>
      <c r="CG105" s="7">
        <v>5.1086399305966301</v>
      </c>
      <c r="CH105" s="7">
        <v>14.1300918805947</v>
      </c>
      <c r="CI105" s="7">
        <v>110.00223427634199</v>
      </c>
      <c r="CJ105" s="7">
        <v>0</v>
      </c>
      <c r="CK105" s="7">
        <v>0</v>
      </c>
      <c r="CL105" s="7">
        <v>2.72191332465791E-2</v>
      </c>
      <c r="CM105" s="7">
        <v>4.9223155487203803E-2</v>
      </c>
      <c r="CN105" s="7">
        <v>0</v>
      </c>
      <c r="CO105" s="7">
        <v>0</v>
      </c>
      <c r="CP105" s="7">
        <v>2.7219133246579101</v>
      </c>
      <c r="CQ105" s="7">
        <v>4.9223155487203796</v>
      </c>
      <c r="CR105" s="7">
        <v>56.508951130140503</v>
      </c>
      <c r="CS105" s="7">
        <v>0</v>
      </c>
      <c r="CT105" s="7">
        <v>8.0287077566150097E-2</v>
      </c>
      <c r="CU105" s="7">
        <v>0.46100003943373202</v>
      </c>
      <c r="CV105" s="7">
        <v>1.89262194881502</v>
      </c>
      <c r="CW105" s="7">
        <v>0</v>
      </c>
      <c r="CX105" s="7">
        <v>6.3882645214716698</v>
      </c>
      <c r="CY105" s="7">
        <v>29.314050238574101</v>
      </c>
      <c r="CZ105" s="7">
        <v>55.958436846878797</v>
      </c>
      <c r="DA105" s="9">
        <v>119.512665335484</v>
      </c>
      <c r="DB105" s="9">
        <v>0</v>
      </c>
      <c r="DC105" s="9">
        <v>0</v>
      </c>
      <c r="DD105" s="9">
        <v>0</v>
      </c>
      <c r="DE105" s="9">
        <v>0</v>
      </c>
      <c r="DF105" s="9">
        <v>0</v>
      </c>
      <c r="DG105" s="9">
        <v>0</v>
      </c>
      <c r="DH105" s="9">
        <v>0</v>
      </c>
      <c r="DI105" s="9">
        <v>0</v>
      </c>
    </row>
    <row r="106" spans="1:113">
      <c r="A106" s="5" t="s">
        <v>275</v>
      </c>
      <c r="B106" s="5" t="s">
        <v>324</v>
      </c>
      <c r="C106" s="5" t="s">
        <v>325</v>
      </c>
      <c r="D106" s="6">
        <v>75810</v>
      </c>
      <c r="E106" s="7">
        <v>7.7827032084420198</v>
      </c>
      <c r="F106" s="7">
        <v>2.1369344413665701</v>
      </c>
      <c r="G106" s="7">
        <v>9.4635800026381691</v>
      </c>
      <c r="H106" s="7">
        <v>10</v>
      </c>
      <c r="I106" s="7">
        <v>10</v>
      </c>
      <c r="J106" s="7">
        <v>96.441102756892207</v>
      </c>
      <c r="K106" s="7">
        <v>100</v>
      </c>
      <c r="L106" s="7">
        <v>100</v>
      </c>
      <c r="M106" s="7">
        <v>100</v>
      </c>
      <c r="N106" s="7">
        <v>7.7941503697563803</v>
      </c>
      <c r="O106" s="7">
        <v>6.3751352064371503</v>
      </c>
      <c r="P106" s="7">
        <v>10</v>
      </c>
      <c r="Q106" s="7">
        <v>10</v>
      </c>
      <c r="R106" s="7">
        <v>10</v>
      </c>
      <c r="S106" s="7">
        <v>100</v>
      </c>
      <c r="T106" s="7">
        <v>100</v>
      </c>
      <c r="U106" s="7">
        <v>100</v>
      </c>
      <c r="V106" s="7">
        <v>100</v>
      </c>
      <c r="W106" s="7">
        <v>6.8817773508437501</v>
      </c>
      <c r="X106" s="7">
        <v>9.9891571032845299</v>
      </c>
      <c r="Y106" s="7">
        <v>10</v>
      </c>
      <c r="Z106" s="7">
        <v>10</v>
      </c>
      <c r="AA106" s="7">
        <v>10</v>
      </c>
      <c r="AB106" s="7">
        <v>100</v>
      </c>
      <c r="AC106" s="7">
        <v>100</v>
      </c>
      <c r="AD106" s="7">
        <v>100</v>
      </c>
      <c r="AE106" s="7">
        <v>100</v>
      </c>
      <c r="AF106" s="6">
        <v>8.3566910639771308</v>
      </c>
      <c r="AG106" s="6">
        <v>1.7571560480147701</v>
      </c>
      <c r="AH106" s="6">
        <v>5.9651629072681702</v>
      </c>
      <c r="AI106" s="6">
        <v>9.4094050916765593</v>
      </c>
      <c r="AJ106" s="6">
        <v>9.9888537132304407</v>
      </c>
      <c r="AK106" s="6">
        <v>88.529217781295301</v>
      </c>
      <c r="AL106" s="6">
        <v>100</v>
      </c>
      <c r="AM106" s="6">
        <v>100</v>
      </c>
      <c r="AN106" s="6">
        <v>100</v>
      </c>
      <c r="AO106" s="6">
        <v>9.3442587843119806</v>
      </c>
      <c r="AP106" s="7">
        <v>1.8801741195093</v>
      </c>
      <c r="AQ106" s="7">
        <v>9.3432396781427194</v>
      </c>
      <c r="AR106" s="7">
        <v>10</v>
      </c>
      <c r="AS106" s="7">
        <v>10</v>
      </c>
      <c r="AT106" s="7">
        <v>89.358923624851599</v>
      </c>
      <c r="AU106" s="7">
        <v>100</v>
      </c>
      <c r="AV106" s="7">
        <v>100</v>
      </c>
      <c r="AW106" s="7">
        <v>100</v>
      </c>
      <c r="AX106" s="7">
        <v>8.4200068946250095</v>
      </c>
      <c r="AY106" s="7">
        <v>5.7641340192586696</v>
      </c>
      <c r="AZ106" s="7">
        <v>10</v>
      </c>
      <c r="BA106" s="7">
        <v>10</v>
      </c>
      <c r="BB106" s="7">
        <v>10</v>
      </c>
      <c r="BC106" s="7">
        <v>99.729587125709003</v>
      </c>
      <c r="BD106" s="7">
        <v>100</v>
      </c>
      <c r="BE106" s="7">
        <v>100</v>
      </c>
      <c r="BF106" s="7">
        <v>100</v>
      </c>
      <c r="BG106" s="7">
        <v>7.2091372153608404</v>
      </c>
      <c r="BH106" s="7">
        <v>9.8700039572615808</v>
      </c>
      <c r="BI106" s="7">
        <v>10</v>
      </c>
      <c r="BJ106" s="7">
        <v>10</v>
      </c>
      <c r="BK106" s="7">
        <v>10</v>
      </c>
      <c r="BL106" s="7">
        <v>100</v>
      </c>
      <c r="BM106" s="7">
        <v>100</v>
      </c>
      <c r="BN106" s="7">
        <v>100</v>
      </c>
      <c r="BO106" s="7">
        <v>100</v>
      </c>
      <c r="BP106" s="6">
        <v>10.246999435825</v>
      </c>
      <c r="BQ106" s="6">
        <v>1.3331618519984201</v>
      </c>
      <c r="BR106" s="6">
        <v>5.4774172272787203</v>
      </c>
      <c r="BS106" s="6">
        <v>9.0165413533834595</v>
      </c>
      <c r="BT106" s="6">
        <v>9.83706635008574</v>
      </c>
      <c r="BU106" s="6">
        <v>80.274370135865993</v>
      </c>
      <c r="BV106" s="6">
        <v>99.729587125709003</v>
      </c>
      <c r="BW106" s="6">
        <v>100</v>
      </c>
      <c r="BX106" s="6">
        <v>100</v>
      </c>
      <c r="BY106" s="6" t="str">
        <f>TRIM(Table1[[#This Row],[LA_Name]])</f>
        <v>Lincoln</v>
      </c>
      <c r="BZ106" s="7">
        <v>16.5162046141823</v>
      </c>
      <c r="CA106" s="7">
        <v>0.75222266191795295</v>
      </c>
      <c r="CB106" s="7">
        <v>3.2444268566152199</v>
      </c>
      <c r="CC106" s="7">
        <v>4.5592402057776003</v>
      </c>
      <c r="CD106" s="7">
        <v>5.3069515895000698</v>
      </c>
      <c r="CE106" s="7">
        <v>47.574198654531102</v>
      </c>
      <c r="CF106" s="7">
        <v>94.955810579079298</v>
      </c>
      <c r="CG106" s="7">
        <v>100</v>
      </c>
      <c r="CH106" s="7">
        <v>100</v>
      </c>
      <c r="CI106" s="7">
        <v>12.7643626775894</v>
      </c>
      <c r="CJ106" s="7">
        <v>1.8532911225432001</v>
      </c>
      <c r="CK106" s="7">
        <v>4.3957789209866798</v>
      </c>
      <c r="CL106" s="7">
        <v>5</v>
      </c>
      <c r="CM106" s="7">
        <v>5</v>
      </c>
      <c r="CN106" s="7">
        <v>67.016224772457505</v>
      </c>
      <c r="CO106" s="7">
        <v>100</v>
      </c>
      <c r="CP106" s="7">
        <v>100</v>
      </c>
      <c r="CQ106" s="7">
        <v>100</v>
      </c>
      <c r="CR106" s="7">
        <v>9.4113825335601398</v>
      </c>
      <c r="CS106" s="7">
        <v>3.3182693576045401</v>
      </c>
      <c r="CT106" s="7">
        <v>5.3361957525392398</v>
      </c>
      <c r="CU106" s="7">
        <v>7.2668909114892504</v>
      </c>
      <c r="CV106" s="7">
        <v>9.9644637910565894</v>
      </c>
      <c r="CW106" s="7">
        <v>98.6426592797784</v>
      </c>
      <c r="CX106" s="7">
        <v>100</v>
      </c>
      <c r="CY106" s="7">
        <v>100</v>
      </c>
      <c r="CZ106" s="7">
        <v>100</v>
      </c>
      <c r="DA106" s="9">
        <v>23.982465117800999</v>
      </c>
      <c r="DB106" s="9">
        <v>0.60758475135206402</v>
      </c>
      <c r="DC106" s="9">
        <v>1.6510882469331201</v>
      </c>
      <c r="DD106" s="9">
        <v>2.8337950138504202</v>
      </c>
      <c r="DE106" s="9">
        <v>3.6082706766917299</v>
      </c>
      <c r="DF106" s="9">
        <v>38.260123994196</v>
      </c>
      <c r="DG106" s="9">
        <v>64.104999340456402</v>
      </c>
      <c r="DH106" s="9">
        <v>87.495053423031294</v>
      </c>
      <c r="DI106" s="9">
        <v>99.039704524469101</v>
      </c>
    </row>
    <row r="107" spans="1:113">
      <c r="A107" s="5" t="s">
        <v>275</v>
      </c>
      <c r="B107" s="5" t="s">
        <v>326</v>
      </c>
      <c r="C107" s="5" t="s">
        <v>327</v>
      </c>
      <c r="D107" s="6">
        <v>83609</v>
      </c>
      <c r="E107" s="7">
        <v>12.272077515361801</v>
      </c>
      <c r="F107" s="7">
        <v>1.1632479756964</v>
      </c>
      <c r="G107" s="7">
        <v>5.5949718331758502</v>
      </c>
      <c r="H107" s="7">
        <v>8.9079524931526493</v>
      </c>
      <c r="I107" s="7">
        <v>9.4775801648147908</v>
      </c>
      <c r="J107" s="7">
        <v>75.619849537729195</v>
      </c>
      <c r="K107" s="7">
        <v>94.555610041981097</v>
      </c>
      <c r="L107" s="7">
        <v>97.177337367986695</v>
      </c>
      <c r="M107" s="7">
        <v>98.7202334676889</v>
      </c>
      <c r="N107" s="7">
        <v>10.565626436463299</v>
      </c>
      <c r="O107" s="7">
        <v>2.0931119855517899</v>
      </c>
      <c r="P107" s="7">
        <v>6.1578179382602398</v>
      </c>
      <c r="Q107" s="7">
        <v>9.2482507863985894</v>
      </c>
      <c r="R107" s="7">
        <v>9.9924768864595901</v>
      </c>
      <c r="S107" s="7">
        <v>84.334222392326197</v>
      </c>
      <c r="T107" s="7">
        <v>98.771663337679001</v>
      </c>
      <c r="U107" s="7">
        <v>100</v>
      </c>
      <c r="V107" s="7">
        <v>100</v>
      </c>
      <c r="W107" s="7">
        <v>7.7637565615393598</v>
      </c>
      <c r="X107" s="7">
        <v>5.6393211257161298</v>
      </c>
      <c r="Y107" s="7">
        <v>10</v>
      </c>
      <c r="Z107" s="7">
        <v>10</v>
      </c>
      <c r="AA107" s="7">
        <v>10</v>
      </c>
      <c r="AB107" s="7">
        <v>98.309990551256405</v>
      </c>
      <c r="AC107" s="7">
        <v>100</v>
      </c>
      <c r="AD107" s="7">
        <v>100</v>
      </c>
      <c r="AE107" s="7">
        <v>100</v>
      </c>
      <c r="AF107" s="6">
        <v>17.542708461543601</v>
      </c>
      <c r="AG107" s="6">
        <v>0.90093171787726201</v>
      </c>
      <c r="AH107" s="6">
        <v>1.9698836249686</v>
      </c>
      <c r="AI107" s="6">
        <v>3.4933200971187301</v>
      </c>
      <c r="AJ107" s="6">
        <v>4.7819851929816197</v>
      </c>
      <c r="AK107" s="6">
        <v>68.573957349089198</v>
      </c>
      <c r="AL107" s="6">
        <v>80.2796349675274</v>
      </c>
      <c r="AM107" s="6">
        <v>88.956930473992003</v>
      </c>
      <c r="AN107" s="6">
        <v>93.633460512624197</v>
      </c>
      <c r="AO107" s="6">
        <v>16.837904444787998</v>
      </c>
      <c r="AP107" s="7">
        <v>0.72226674161872495</v>
      </c>
      <c r="AQ107" s="7">
        <v>4.4124436364506199</v>
      </c>
      <c r="AR107" s="7">
        <v>7.7800715234005899</v>
      </c>
      <c r="AS107" s="7">
        <v>9.1586790895717005</v>
      </c>
      <c r="AT107" s="7">
        <v>49.615472018562599</v>
      </c>
      <c r="AU107" s="7">
        <v>90.724682749464804</v>
      </c>
      <c r="AV107" s="7">
        <v>97.030224018945304</v>
      </c>
      <c r="AW107" s="7">
        <v>98.684352163044693</v>
      </c>
      <c r="AX107" s="7">
        <v>14.659265428945099</v>
      </c>
      <c r="AY107" s="7">
        <v>1.50977765551555</v>
      </c>
      <c r="AZ107" s="7">
        <v>4.5442476288437801</v>
      </c>
      <c r="BA107" s="7">
        <v>7.4875192862012501</v>
      </c>
      <c r="BB107" s="7">
        <v>9.2189357605042499</v>
      </c>
      <c r="BC107" s="7">
        <v>61.475439246971</v>
      </c>
      <c r="BD107" s="7">
        <v>91.496130799315907</v>
      </c>
      <c r="BE107" s="7">
        <v>100</v>
      </c>
      <c r="BF107" s="7">
        <v>100</v>
      </c>
      <c r="BG107" s="7">
        <v>9.4075173561279506</v>
      </c>
      <c r="BH107" s="7">
        <v>3.8588190266598099</v>
      </c>
      <c r="BI107" s="7">
        <v>9.8277936585774306</v>
      </c>
      <c r="BJ107" s="7">
        <v>10</v>
      </c>
      <c r="BK107" s="7">
        <v>10</v>
      </c>
      <c r="BL107" s="7">
        <v>92.728055592101299</v>
      </c>
      <c r="BM107" s="7">
        <v>100</v>
      </c>
      <c r="BN107" s="7">
        <v>100</v>
      </c>
      <c r="BO107" s="7">
        <v>100</v>
      </c>
      <c r="BP107" s="6">
        <v>31.091357456863101</v>
      </c>
      <c r="BQ107" s="6">
        <v>0.59427812795273205</v>
      </c>
      <c r="BR107" s="6">
        <v>1.49474338886962</v>
      </c>
      <c r="BS107" s="6">
        <v>2.55439007762322</v>
      </c>
      <c r="BT107" s="6">
        <v>3.5530983506560299</v>
      </c>
      <c r="BU107" s="6">
        <v>43.3936537932519</v>
      </c>
      <c r="BV107" s="6">
        <v>59.389539403652698</v>
      </c>
      <c r="BW107" s="6">
        <v>74.170244830102007</v>
      </c>
      <c r="BX107" s="6">
        <v>86.398593452857895</v>
      </c>
      <c r="BY107" s="6" t="str">
        <f>TRIM(Table1[[#This Row],[LA_Name]])</f>
        <v>North Kesteven</v>
      </c>
      <c r="BZ107" s="7">
        <v>45.8636866196371</v>
      </c>
      <c r="CA107" s="7">
        <v>4.0892726859548603E-2</v>
      </c>
      <c r="CB107" s="7">
        <v>0.55507182241146302</v>
      </c>
      <c r="CC107" s="7">
        <v>1.89403054695069</v>
      </c>
      <c r="CD107" s="7">
        <v>3.2012941190541699</v>
      </c>
      <c r="CE107" s="7">
        <v>4.0892726859548603</v>
      </c>
      <c r="CF107" s="7">
        <v>38.032986879402898</v>
      </c>
      <c r="CG107" s="7">
        <v>57.614610867251102</v>
      </c>
      <c r="CH107" s="7">
        <v>74.387924744943703</v>
      </c>
      <c r="CI107" s="7">
        <v>54.9451079370873</v>
      </c>
      <c r="CJ107" s="7">
        <v>9.8721429511177003E-2</v>
      </c>
      <c r="CK107" s="7">
        <v>0.80009329139207497</v>
      </c>
      <c r="CL107" s="7">
        <v>1.9902761664414099</v>
      </c>
      <c r="CM107" s="7">
        <v>2.55962874810128</v>
      </c>
      <c r="CN107" s="7">
        <v>9.5922687748926592</v>
      </c>
      <c r="CO107" s="7">
        <v>32.553911660228003</v>
      </c>
      <c r="CP107" s="7">
        <v>47.673097393821202</v>
      </c>
      <c r="CQ107" s="7">
        <v>56.6458156418567</v>
      </c>
      <c r="CR107" s="7">
        <v>23.602735502995401</v>
      </c>
      <c r="CS107" s="7">
        <v>0.29293497111555</v>
      </c>
      <c r="CT107" s="7">
        <v>3.3059240033967598</v>
      </c>
      <c r="CU107" s="7">
        <v>7.2673396404693298</v>
      </c>
      <c r="CV107" s="7">
        <v>9.5235919578035908</v>
      </c>
      <c r="CW107" s="7">
        <v>22.449736272410899</v>
      </c>
      <c r="CX107" s="7">
        <v>67.586025427884607</v>
      </c>
      <c r="CY107" s="7">
        <v>98.512121900752305</v>
      </c>
      <c r="CZ107" s="7">
        <v>100</v>
      </c>
      <c r="DA107" s="9">
        <v>91.398162732438394</v>
      </c>
      <c r="DB107" s="9">
        <v>4.0892726859548603E-2</v>
      </c>
      <c r="DC107" s="9">
        <v>0.104091664772931</v>
      </c>
      <c r="DD107" s="9">
        <v>0.172385747945795</v>
      </c>
      <c r="DE107" s="9">
        <v>0.32252508701216398</v>
      </c>
      <c r="DF107" s="9">
        <v>4.0892726859548603</v>
      </c>
      <c r="DG107" s="9">
        <v>10.1292923010681</v>
      </c>
      <c r="DH107" s="9">
        <v>16.1453910464184</v>
      </c>
      <c r="DI107" s="9">
        <v>23.984260067696098</v>
      </c>
    </row>
    <row r="108" spans="1:113">
      <c r="A108" s="5" t="s">
        <v>275</v>
      </c>
      <c r="B108" s="5" t="s">
        <v>328</v>
      </c>
      <c r="C108" s="5" t="s">
        <v>329</v>
      </c>
      <c r="D108" s="6">
        <v>67515</v>
      </c>
      <c r="E108" s="7">
        <v>15.373813932694</v>
      </c>
      <c r="F108" s="7">
        <v>1.11342664593053</v>
      </c>
      <c r="G108" s="7">
        <v>4.7781233799896299</v>
      </c>
      <c r="H108" s="7">
        <v>8.2582833444419794</v>
      </c>
      <c r="I108" s="7">
        <v>8.9936902910464305</v>
      </c>
      <c r="J108" s="7">
        <v>65.865363252610507</v>
      </c>
      <c r="K108" s="7">
        <v>91.981041250092602</v>
      </c>
      <c r="L108" s="7">
        <v>97.0228838035992</v>
      </c>
      <c r="M108" s="7">
        <v>98.130785751314505</v>
      </c>
      <c r="N108" s="7">
        <v>11.383261192394899</v>
      </c>
      <c r="O108" s="7">
        <v>2.45130711693698</v>
      </c>
      <c r="P108" s="7">
        <v>5.7605272902318001</v>
      </c>
      <c r="Q108" s="7">
        <v>9.0469377175442496</v>
      </c>
      <c r="R108" s="7">
        <v>9.9637710138487705</v>
      </c>
      <c r="S108" s="7">
        <v>81.257498333703595</v>
      </c>
      <c r="T108" s="7">
        <v>95.861660371769204</v>
      </c>
      <c r="U108" s="7">
        <v>100</v>
      </c>
      <c r="V108" s="7">
        <v>100</v>
      </c>
      <c r="W108" s="7">
        <v>8.0489911849309994</v>
      </c>
      <c r="X108" s="7">
        <v>6.2276086795526897</v>
      </c>
      <c r="Y108" s="7">
        <v>10</v>
      </c>
      <c r="Z108" s="7">
        <v>10</v>
      </c>
      <c r="AA108" s="7">
        <v>10</v>
      </c>
      <c r="AB108" s="7">
        <v>97.415389172776401</v>
      </c>
      <c r="AC108" s="7">
        <v>100</v>
      </c>
      <c r="AD108" s="7">
        <v>100</v>
      </c>
      <c r="AE108" s="7">
        <v>100</v>
      </c>
      <c r="AF108" s="6">
        <v>20.080895460618699</v>
      </c>
      <c r="AG108" s="6">
        <v>0.91575205509886703</v>
      </c>
      <c r="AH108" s="6">
        <v>2.3578908390727999</v>
      </c>
      <c r="AI108" s="6">
        <v>3.6225135155150698</v>
      </c>
      <c r="AJ108" s="6">
        <v>4.50098496630378</v>
      </c>
      <c r="AK108" s="6">
        <v>61.024957416870301</v>
      </c>
      <c r="AL108" s="6">
        <v>81.257498333703595</v>
      </c>
      <c r="AM108" s="6">
        <v>88.889876323779902</v>
      </c>
      <c r="AN108" s="6">
        <v>93.454787824927806</v>
      </c>
      <c r="AO108" s="6">
        <v>20.058394994726399</v>
      </c>
      <c r="AP108" s="7">
        <v>0.83091164926312699</v>
      </c>
      <c r="AQ108" s="7">
        <v>3.8902762349107598</v>
      </c>
      <c r="AR108" s="7">
        <v>7.12021032363179</v>
      </c>
      <c r="AS108" s="7">
        <v>8.6746648892838607</v>
      </c>
      <c r="AT108" s="7">
        <v>47.387987854550801</v>
      </c>
      <c r="AU108" s="7">
        <v>79.477153225209193</v>
      </c>
      <c r="AV108" s="7">
        <v>92.419462341701802</v>
      </c>
      <c r="AW108" s="7">
        <v>96.697030289565305</v>
      </c>
      <c r="AX108" s="7">
        <v>15.909648071196701</v>
      </c>
      <c r="AY108" s="7">
        <v>1.9356735540250301</v>
      </c>
      <c r="AZ108" s="7">
        <v>4.6166333407390896</v>
      </c>
      <c r="BA108" s="7">
        <v>7.2264830037769396</v>
      </c>
      <c r="BB108" s="7">
        <v>9.1502184699696407</v>
      </c>
      <c r="BC108" s="7">
        <v>66.687402799377907</v>
      </c>
      <c r="BD108" s="7">
        <v>86.718506998444795</v>
      </c>
      <c r="BE108" s="7">
        <v>97.824187217655293</v>
      </c>
      <c r="BF108" s="7">
        <v>100</v>
      </c>
      <c r="BG108" s="7">
        <v>9.8575082320562402</v>
      </c>
      <c r="BH108" s="7">
        <v>4.7932311338221103</v>
      </c>
      <c r="BI108" s="7">
        <v>9.9008368510701299</v>
      </c>
      <c r="BJ108" s="7">
        <v>10</v>
      </c>
      <c r="BK108" s="7">
        <v>10</v>
      </c>
      <c r="BL108" s="7">
        <v>84.6893282974154</v>
      </c>
      <c r="BM108" s="7">
        <v>100</v>
      </c>
      <c r="BN108" s="7">
        <v>100</v>
      </c>
      <c r="BO108" s="7">
        <v>100</v>
      </c>
      <c r="BP108" s="6">
        <v>33.952274376132301</v>
      </c>
      <c r="BQ108" s="6">
        <v>0.60962749018736595</v>
      </c>
      <c r="BR108" s="6">
        <v>1.8446863659927399</v>
      </c>
      <c r="BS108" s="6">
        <v>2.8895800933125999</v>
      </c>
      <c r="BT108" s="6">
        <v>3.5488261867733102</v>
      </c>
      <c r="BU108" s="6">
        <v>41.450048137450899</v>
      </c>
      <c r="BV108" s="6">
        <v>65.058135229208304</v>
      </c>
      <c r="BW108" s="6">
        <v>73.044508627712403</v>
      </c>
      <c r="BX108" s="6">
        <v>76.892542397985594</v>
      </c>
      <c r="BY108" s="6" t="str">
        <f>TRIM(Table1[[#This Row],[LA_Name]])</f>
        <v>South Holland</v>
      </c>
      <c r="BZ108" s="7">
        <v>52.2594803443072</v>
      </c>
      <c r="CA108" s="7">
        <v>4.3975412871213801E-2</v>
      </c>
      <c r="CB108" s="7">
        <v>0.24775235132933399</v>
      </c>
      <c r="CC108" s="7">
        <v>0.54722654224987</v>
      </c>
      <c r="CD108" s="7">
        <v>1.1738428497371001</v>
      </c>
      <c r="CE108" s="7">
        <v>4.3975412871213804</v>
      </c>
      <c r="CF108" s="7">
        <v>24.7752351329334</v>
      </c>
      <c r="CG108" s="7">
        <v>49.143153373324402</v>
      </c>
      <c r="CH108" s="7">
        <v>67.811597422794904</v>
      </c>
      <c r="CI108" s="7">
        <v>41.321541535298998</v>
      </c>
      <c r="CJ108" s="7">
        <v>8.88543286677035E-2</v>
      </c>
      <c r="CK108" s="7">
        <v>0.424335332888988</v>
      </c>
      <c r="CL108" s="7">
        <v>0.52452047693105197</v>
      </c>
      <c r="CM108" s="7">
        <v>0.77773828038213699</v>
      </c>
      <c r="CN108" s="7">
        <v>8.8854328667703495</v>
      </c>
      <c r="CO108" s="7">
        <v>42.433533288898801</v>
      </c>
      <c r="CP108" s="7">
        <v>52.4520476931052</v>
      </c>
      <c r="CQ108" s="7">
        <v>71.647781974376102</v>
      </c>
      <c r="CR108" s="7">
        <v>18.793687170116701</v>
      </c>
      <c r="CS108" s="7">
        <v>0.41886988076723702</v>
      </c>
      <c r="CT108" s="7">
        <v>1.2141153817670101</v>
      </c>
      <c r="CU108" s="7">
        <v>3.93287417610901</v>
      </c>
      <c r="CV108" s="7">
        <v>6.8609197956009798</v>
      </c>
      <c r="CW108" s="7">
        <v>41.886988076723704</v>
      </c>
      <c r="CX108" s="7">
        <v>94.630822780122898</v>
      </c>
      <c r="CY108" s="7">
        <v>100</v>
      </c>
      <c r="CZ108" s="7">
        <v>100</v>
      </c>
      <c r="DA108" s="9">
        <v>85.909990096895598</v>
      </c>
      <c r="DB108" s="9">
        <v>3.5429163889506003E-2</v>
      </c>
      <c r="DC108" s="9">
        <v>8.5092201732948194E-2</v>
      </c>
      <c r="DD108" s="9">
        <v>0.20306598533659201</v>
      </c>
      <c r="DE108" s="9">
        <v>0.36867362808264798</v>
      </c>
      <c r="DF108" s="9">
        <v>3.5429163889506001</v>
      </c>
      <c r="DG108" s="9">
        <v>8.5092201732948194</v>
      </c>
      <c r="DH108" s="9">
        <v>20.306598533659201</v>
      </c>
      <c r="DI108" s="9">
        <v>36.867362808264801</v>
      </c>
    </row>
    <row r="109" spans="1:113">
      <c r="A109" s="5" t="s">
        <v>275</v>
      </c>
      <c r="B109" s="5" t="s">
        <v>330</v>
      </c>
      <c r="C109" s="5" t="s">
        <v>331</v>
      </c>
      <c r="D109" s="6">
        <v>101479</v>
      </c>
      <c r="E109" s="7">
        <v>13.7107661621568</v>
      </c>
      <c r="F109" s="7">
        <v>1.4779313946727901</v>
      </c>
      <c r="G109" s="7">
        <v>5.8799554587648704</v>
      </c>
      <c r="H109" s="7">
        <v>8.8135969018220504</v>
      </c>
      <c r="I109" s="7">
        <v>9.62562697701002</v>
      </c>
      <c r="J109" s="7">
        <v>66.268883217217393</v>
      </c>
      <c r="K109" s="7">
        <v>93.007420254436894</v>
      </c>
      <c r="L109" s="7">
        <v>98.203569211363899</v>
      </c>
      <c r="M109" s="7">
        <v>99.174213384049906</v>
      </c>
      <c r="N109" s="7">
        <v>11.838836143694801</v>
      </c>
      <c r="O109" s="7">
        <v>3.1327269681411898</v>
      </c>
      <c r="P109" s="7">
        <v>6.9575380127908204</v>
      </c>
      <c r="Q109" s="7">
        <v>8.6172508597838</v>
      </c>
      <c r="R109" s="7">
        <v>9.8223573350151305</v>
      </c>
      <c r="S109" s="7">
        <v>79.692350141408596</v>
      </c>
      <c r="T109" s="7">
        <v>94.153470176095496</v>
      </c>
      <c r="U109" s="7">
        <v>100</v>
      </c>
      <c r="V109" s="7">
        <v>100</v>
      </c>
      <c r="W109" s="7">
        <v>8.3152460159060606</v>
      </c>
      <c r="X109" s="7">
        <v>6.8379763300781402</v>
      </c>
      <c r="Y109" s="7">
        <v>10</v>
      </c>
      <c r="Z109" s="7">
        <v>10</v>
      </c>
      <c r="AA109" s="7">
        <v>10</v>
      </c>
      <c r="AB109" s="7">
        <v>96.275091398220297</v>
      </c>
      <c r="AC109" s="7">
        <v>100</v>
      </c>
      <c r="AD109" s="7">
        <v>100</v>
      </c>
      <c r="AE109" s="7">
        <v>100</v>
      </c>
      <c r="AF109" s="6">
        <v>21.7833549308119</v>
      </c>
      <c r="AG109" s="6">
        <v>1.12818415632791</v>
      </c>
      <c r="AH109" s="6">
        <v>2.9880763507720798</v>
      </c>
      <c r="AI109" s="6">
        <v>4.8786054257531104</v>
      </c>
      <c r="AJ109" s="6">
        <v>6.1905615940243797</v>
      </c>
      <c r="AK109" s="6">
        <v>59.518718158436698</v>
      </c>
      <c r="AL109" s="6">
        <v>78.958208102168896</v>
      </c>
      <c r="AM109" s="6">
        <v>84.795869096069097</v>
      </c>
      <c r="AN109" s="6">
        <v>88.235989712157206</v>
      </c>
      <c r="AO109" s="6">
        <v>13.899198023639199</v>
      </c>
      <c r="AP109" s="7">
        <v>1.31962277909715</v>
      </c>
      <c r="AQ109" s="7">
        <v>5.6930300850422304</v>
      </c>
      <c r="AR109" s="7">
        <v>9.0914672001103707</v>
      </c>
      <c r="AS109" s="7">
        <v>9.78058514569517</v>
      </c>
      <c r="AT109" s="7">
        <v>65.914130017047896</v>
      </c>
      <c r="AU109" s="7">
        <v>93.378925689058804</v>
      </c>
      <c r="AV109" s="7">
        <v>99.193921895170405</v>
      </c>
      <c r="AW109" s="7">
        <v>99.5200977542152</v>
      </c>
      <c r="AX109" s="7">
        <v>12.804446866690601</v>
      </c>
      <c r="AY109" s="7">
        <v>2.9492308753535199</v>
      </c>
      <c r="AZ109" s="7">
        <v>6.2080036263660503</v>
      </c>
      <c r="BA109" s="7">
        <v>8.3601631864720805</v>
      </c>
      <c r="BB109" s="7">
        <v>9.6861025433833596</v>
      </c>
      <c r="BC109" s="7">
        <v>78.442830536367097</v>
      </c>
      <c r="BD109" s="7">
        <v>92.472334177514597</v>
      </c>
      <c r="BE109" s="7">
        <v>99.158446575153505</v>
      </c>
      <c r="BF109" s="7">
        <v>100</v>
      </c>
      <c r="BG109" s="7">
        <v>8.5735818422884194</v>
      </c>
      <c r="BH109" s="7">
        <v>6.2776633589215498</v>
      </c>
      <c r="BI109" s="7">
        <v>9.9986696754993591</v>
      </c>
      <c r="BJ109" s="7">
        <v>10</v>
      </c>
      <c r="BK109" s="7">
        <v>10</v>
      </c>
      <c r="BL109" s="7">
        <v>93.081327171138895</v>
      </c>
      <c r="BM109" s="7">
        <v>100</v>
      </c>
      <c r="BN109" s="7">
        <v>100</v>
      </c>
      <c r="BO109" s="7">
        <v>100</v>
      </c>
      <c r="BP109" s="6">
        <v>24.557965758211498</v>
      </c>
      <c r="BQ109" s="6">
        <v>1.0139930428955699</v>
      </c>
      <c r="BR109" s="6">
        <v>2.7750371998147401</v>
      </c>
      <c r="BS109" s="6">
        <v>4.2539047487657502</v>
      </c>
      <c r="BT109" s="6">
        <v>5.1526128558617996</v>
      </c>
      <c r="BU109" s="6">
        <v>56.304259994678702</v>
      </c>
      <c r="BV109" s="6">
        <v>77.110535184619494</v>
      </c>
      <c r="BW109" s="6">
        <v>84.542614728170406</v>
      </c>
      <c r="BX109" s="6">
        <v>87.974851939810193</v>
      </c>
      <c r="BY109" s="6" t="str">
        <f>TRIM(Table1[[#This Row],[LA_Name]])</f>
        <v>South Kesteven</v>
      </c>
      <c r="BZ109" s="7">
        <v>39.376760887741902</v>
      </c>
      <c r="CA109" s="7">
        <v>0.114447324076903</v>
      </c>
      <c r="CB109" s="7">
        <v>0.374757338956829</v>
      </c>
      <c r="CC109" s="7">
        <v>0.72158771765587004</v>
      </c>
      <c r="CD109" s="7">
        <v>1.8929335133377301</v>
      </c>
      <c r="CE109" s="7">
        <v>11.444732407690299</v>
      </c>
      <c r="CF109" s="7">
        <v>37.4757338956829</v>
      </c>
      <c r="CG109" s="7">
        <v>60.895357660205597</v>
      </c>
      <c r="CH109" s="7">
        <v>84.019353757920399</v>
      </c>
      <c r="CI109" s="7">
        <v>48.073908546290703</v>
      </c>
      <c r="CJ109" s="7">
        <v>0.28498507080282598</v>
      </c>
      <c r="CK109" s="7">
        <v>0.36371071847377301</v>
      </c>
      <c r="CL109" s="7">
        <v>0.41938726238926299</v>
      </c>
      <c r="CM109" s="7">
        <v>0.76782388474462704</v>
      </c>
      <c r="CN109" s="7">
        <v>28.4985070802826</v>
      </c>
      <c r="CO109" s="7">
        <v>36.371071847377301</v>
      </c>
      <c r="CP109" s="7">
        <v>40.947388129563699</v>
      </c>
      <c r="CQ109" s="7">
        <v>57.161580228421599</v>
      </c>
      <c r="CR109" s="7">
        <v>20.5809315335846</v>
      </c>
      <c r="CS109" s="7">
        <v>0.365415504685699</v>
      </c>
      <c r="CT109" s="7">
        <v>2.1059135387617101</v>
      </c>
      <c r="CU109" s="7">
        <v>5.8763389469742497</v>
      </c>
      <c r="CV109" s="7">
        <v>9.8925097803486395</v>
      </c>
      <c r="CW109" s="7">
        <v>36.541550468569902</v>
      </c>
      <c r="CX109" s="7">
        <v>77.763872328264995</v>
      </c>
      <c r="CY109" s="7">
        <v>100</v>
      </c>
      <c r="CZ109" s="7">
        <v>100</v>
      </c>
      <c r="DA109" s="9">
        <v>85.722492710135498</v>
      </c>
      <c r="DB109" s="9">
        <v>5.2385222558361803E-2</v>
      </c>
      <c r="DC109" s="9">
        <v>0.26588752352703499</v>
      </c>
      <c r="DD109" s="9">
        <v>0.33592171779382901</v>
      </c>
      <c r="DE109" s="9">
        <v>0.34505661269819399</v>
      </c>
      <c r="DF109" s="9">
        <v>5.2385222558361804</v>
      </c>
      <c r="DG109" s="9">
        <v>26.588752352703501</v>
      </c>
      <c r="DH109" s="9">
        <v>33.592171779382902</v>
      </c>
      <c r="DI109" s="9">
        <v>34.505661269819399</v>
      </c>
    </row>
    <row r="110" spans="1:113">
      <c r="A110" s="5" t="s">
        <v>275</v>
      </c>
      <c r="B110" s="5" t="s">
        <v>332</v>
      </c>
      <c r="C110" s="5" t="s">
        <v>333</v>
      </c>
      <c r="D110" s="6">
        <v>68713</v>
      </c>
      <c r="E110" s="7">
        <v>16.466429685672601</v>
      </c>
      <c r="F110" s="7">
        <v>1.1412978621221599</v>
      </c>
      <c r="G110" s="7">
        <v>5.0520571070976397</v>
      </c>
      <c r="H110" s="7">
        <v>8.1668825404217493</v>
      </c>
      <c r="I110" s="7">
        <v>9.1254929925923793</v>
      </c>
      <c r="J110" s="7">
        <v>60.908416165791003</v>
      </c>
      <c r="K110" s="7">
        <v>87.606420910162598</v>
      </c>
      <c r="L110" s="7">
        <v>96.678939938585103</v>
      </c>
      <c r="M110" s="7">
        <v>97.137368474669998</v>
      </c>
      <c r="N110" s="7">
        <v>16.371424738186299</v>
      </c>
      <c r="O110" s="7">
        <v>2.0448095702414402</v>
      </c>
      <c r="P110" s="7">
        <v>4.7962248773885596</v>
      </c>
      <c r="Q110" s="7">
        <v>7.2704000698557802</v>
      </c>
      <c r="R110" s="7">
        <v>8.8053643415365404</v>
      </c>
      <c r="S110" s="7">
        <v>65.101218110110196</v>
      </c>
      <c r="T110" s="7">
        <v>81.7836508375417</v>
      </c>
      <c r="U110" s="7">
        <v>93.194883064340104</v>
      </c>
      <c r="V110" s="7">
        <v>100</v>
      </c>
      <c r="W110" s="7">
        <v>9.6907928669515009</v>
      </c>
      <c r="X110" s="7">
        <v>4.8115058285913896</v>
      </c>
      <c r="Y110" s="7">
        <v>9.7546752434037192</v>
      </c>
      <c r="Z110" s="7">
        <v>10</v>
      </c>
      <c r="AA110" s="7">
        <v>10</v>
      </c>
      <c r="AB110" s="7">
        <v>81.370337490722306</v>
      </c>
      <c r="AC110" s="7">
        <v>100</v>
      </c>
      <c r="AD110" s="7">
        <v>100</v>
      </c>
      <c r="AE110" s="7">
        <v>100</v>
      </c>
      <c r="AF110" s="6">
        <v>35.383629484294701</v>
      </c>
      <c r="AG110" s="6">
        <v>0.84857305022339302</v>
      </c>
      <c r="AH110" s="6">
        <v>1.9716938570576199</v>
      </c>
      <c r="AI110" s="6">
        <v>2.7030692881987401</v>
      </c>
      <c r="AJ110" s="6">
        <v>3.5801231208068298</v>
      </c>
      <c r="AK110" s="6">
        <v>52.947768253459998</v>
      </c>
      <c r="AL110" s="6">
        <v>64.930944653850105</v>
      </c>
      <c r="AM110" s="6">
        <v>69.780099835547901</v>
      </c>
      <c r="AN110" s="6">
        <v>75.774598693114797</v>
      </c>
      <c r="AO110" s="6">
        <v>16.742874608047799</v>
      </c>
      <c r="AP110" s="7">
        <v>0.68681326677630095</v>
      </c>
      <c r="AQ110" s="7">
        <v>3.1298007655028899</v>
      </c>
      <c r="AR110" s="7">
        <v>7.3373742959847501</v>
      </c>
      <c r="AS110" s="7">
        <v>9.1776519726980297</v>
      </c>
      <c r="AT110" s="7">
        <v>51.623419149214897</v>
      </c>
      <c r="AU110" s="7">
        <v>91.185074148996506</v>
      </c>
      <c r="AV110" s="7">
        <v>97.163564391017701</v>
      </c>
      <c r="AW110" s="7">
        <v>98.025118973120101</v>
      </c>
      <c r="AX110" s="7">
        <v>15.544470464977</v>
      </c>
      <c r="AY110" s="7">
        <v>1.2442914732292301</v>
      </c>
      <c r="AZ110" s="7">
        <v>3.24973440251481</v>
      </c>
      <c r="BA110" s="7">
        <v>5.6337083230247504</v>
      </c>
      <c r="BB110" s="7">
        <v>8.05728173708032</v>
      </c>
      <c r="BC110" s="7">
        <v>61.2300438053935</v>
      </c>
      <c r="BD110" s="7">
        <v>87.097055870068203</v>
      </c>
      <c r="BE110" s="7">
        <v>99.432421812466302</v>
      </c>
      <c r="BF110" s="7">
        <v>100</v>
      </c>
      <c r="BG110" s="7">
        <v>9.4970272414253696</v>
      </c>
      <c r="BH110" s="7">
        <v>2.93162865833248</v>
      </c>
      <c r="BI110" s="7">
        <v>9.6266208723240094</v>
      </c>
      <c r="BJ110" s="7">
        <v>10</v>
      </c>
      <c r="BK110" s="7">
        <v>10</v>
      </c>
      <c r="BL110" s="7">
        <v>89.389198550492594</v>
      </c>
      <c r="BM110" s="7">
        <v>100</v>
      </c>
      <c r="BN110" s="7">
        <v>100</v>
      </c>
      <c r="BO110" s="7">
        <v>100</v>
      </c>
      <c r="BP110" s="6">
        <v>33.917839930843499</v>
      </c>
      <c r="BQ110" s="6">
        <v>0.598518475397669</v>
      </c>
      <c r="BR110" s="6">
        <v>1.18932370875962</v>
      </c>
      <c r="BS110" s="6">
        <v>1.61726310887314</v>
      </c>
      <c r="BT110" s="6">
        <v>2.08258990292958</v>
      </c>
      <c r="BU110" s="6">
        <v>48.255788569848498</v>
      </c>
      <c r="BV110" s="6">
        <v>59.6553781671591</v>
      </c>
      <c r="BW110" s="6">
        <v>69.528327972872702</v>
      </c>
      <c r="BX110" s="6">
        <v>75.732394161221293</v>
      </c>
      <c r="BY110" s="6" t="str">
        <f>TRIM(Table1[[#This Row],[LA_Name]])</f>
        <v>West Lindsey</v>
      </c>
      <c r="BZ110" s="7">
        <v>48.707690645707302</v>
      </c>
      <c r="CA110" s="7">
        <v>2.54391454309956E-2</v>
      </c>
      <c r="CB110" s="7">
        <v>0.34342846331844001</v>
      </c>
      <c r="CC110" s="7">
        <v>1.42054633038872</v>
      </c>
      <c r="CD110" s="7">
        <v>2.7424941423020401</v>
      </c>
      <c r="CE110" s="7">
        <v>2.54391454309956</v>
      </c>
      <c r="CF110" s="7">
        <v>20.066071922343699</v>
      </c>
      <c r="CG110" s="7">
        <v>48.949980353062699</v>
      </c>
      <c r="CH110" s="7">
        <v>79.996507211153599</v>
      </c>
      <c r="CI110" s="7">
        <v>68.809522218323806</v>
      </c>
      <c r="CJ110" s="7">
        <v>0</v>
      </c>
      <c r="CK110" s="7">
        <v>0.25433324116251699</v>
      </c>
      <c r="CL110" s="7">
        <v>0.95938177637419397</v>
      </c>
      <c r="CM110" s="7">
        <v>1.5898156098554901</v>
      </c>
      <c r="CN110" s="7">
        <v>0</v>
      </c>
      <c r="CO110" s="7">
        <v>11.9453378545545</v>
      </c>
      <c r="CP110" s="7">
        <v>33.5991733733064</v>
      </c>
      <c r="CQ110" s="7">
        <v>38.618602011264201</v>
      </c>
      <c r="CR110" s="7">
        <v>27.2882106587059</v>
      </c>
      <c r="CS110" s="7">
        <v>0.119758997569601</v>
      </c>
      <c r="CT110" s="7">
        <v>2.0109295184317402</v>
      </c>
      <c r="CU110" s="7">
        <v>6.4853230102018502</v>
      </c>
      <c r="CV110" s="7">
        <v>9.8771120457555295</v>
      </c>
      <c r="CW110" s="7">
        <v>10.348842286030299</v>
      </c>
      <c r="CX110" s="7">
        <v>55.545529957941</v>
      </c>
      <c r="CY110" s="7">
        <v>100</v>
      </c>
      <c r="CZ110" s="7">
        <v>100</v>
      </c>
      <c r="DA110" s="9">
        <v>112.10285433798801</v>
      </c>
      <c r="DB110" s="9">
        <v>0</v>
      </c>
      <c r="DC110" s="9">
        <v>0</v>
      </c>
      <c r="DD110" s="9">
        <v>5.3119497038406098E-3</v>
      </c>
      <c r="DE110" s="9">
        <v>6.8182148938337697E-2</v>
      </c>
      <c r="DF110" s="9">
        <v>0</v>
      </c>
      <c r="DG110" s="9">
        <v>0</v>
      </c>
      <c r="DH110" s="9">
        <v>0.53119497038406105</v>
      </c>
      <c r="DI110" s="9">
        <v>4.8287805800940102</v>
      </c>
    </row>
    <row r="111" spans="1:113">
      <c r="A111" s="5" t="s">
        <v>275</v>
      </c>
      <c r="B111" s="5" t="s">
        <v>334</v>
      </c>
      <c r="C111" s="5" t="s">
        <v>335</v>
      </c>
      <c r="D111" s="6">
        <v>539664</v>
      </c>
      <c r="E111" s="7">
        <v>12.9645446853864</v>
      </c>
      <c r="F111" s="7">
        <v>2.1176065107177799</v>
      </c>
      <c r="G111" s="7">
        <v>7.3324327729846699</v>
      </c>
      <c r="H111" s="7">
        <v>8.8673582080702094</v>
      </c>
      <c r="I111" s="7">
        <v>9.3694910166325691</v>
      </c>
      <c r="J111" s="7">
        <v>77.908846986272906</v>
      </c>
      <c r="K111" s="7">
        <v>92.9092917074328</v>
      </c>
      <c r="L111" s="7">
        <v>94.803618547837203</v>
      </c>
      <c r="M111" s="7">
        <v>97.042048385662198</v>
      </c>
      <c r="N111" s="7">
        <v>10.1467901953761</v>
      </c>
      <c r="O111" s="7">
        <v>5.2334063417237404</v>
      </c>
      <c r="P111" s="7">
        <v>8.1145972308695793</v>
      </c>
      <c r="Q111" s="7">
        <v>9.3192189955231406</v>
      </c>
      <c r="R111" s="7">
        <v>9.9077296243588595</v>
      </c>
      <c r="S111" s="7">
        <v>86.159351003587403</v>
      </c>
      <c r="T111" s="7">
        <v>98.25354294524</v>
      </c>
      <c r="U111" s="7">
        <v>99.681468469269802</v>
      </c>
      <c r="V111" s="7">
        <v>100</v>
      </c>
      <c r="W111" s="7">
        <v>7.5868626938196604</v>
      </c>
      <c r="X111" s="7">
        <v>8.1721626790002695</v>
      </c>
      <c r="Y111" s="7">
        <v>9.99861395238519</v>
      </c>
      <c r="Z111" s="7">
        <v>10</v>
      </c>
      <c r="AA111" s="7">
        <v>10</v>
      </c>
      <c r="AB111" s="7">
        <v>98.378806071926206</v>
      </c>
      <c r="AC111" s="7">
        <v>100</v>
      </c>
      <c r="AD111" s="7">
        <v>100</v>
      </c>
      <c r="AE111" s="7">
        <v>100</v>
      </c>
      <c r="AF111" s="6">
        <v>15.8349249565343</v>
      </c>
      <c r="AG111" s="6">
        <v>1.8460745945625401</v>
      </c>
      <c r="AH111" s="6">
        <v>5.2296577129473203</v>
      </c>
      <c r="AI111" s="6">
        <v>6.7583941118918398</v>
      </c>
      <c r="AJ111" s="6">
        <v>7.4205968899166903</v>
      </c>
      <c r="AK111" s="6">
        <v>74.623284117525003</v>
      </c>
      <c r="AL111" s="6">
        <v>85.327166533250306</v>
      </c>
      <c r="AM111" s="6">
        <v>89.726385306412894</v>
      </c>
      <c r="AN111" s="6">
        <v>94.266617747339097</v>
      </c>
      <c r="AO111" s="6">
        <v>12.5654641955656</v>
      </c>
      <c r="AP111" s="7">
        <v>1.5967342642829601</v>
      </c>
      <c r="AQ111" s="7">
        <v>6.4433573482759599</v>
      </c>
      <c r="AR111" s="7">
        <v>8.8687127546028606</v>
      </c>
      <c r="AS111" s="7">
        <v>9.4109686768063092</v>
      </c>
      <c r="AT111" s="7">
        <v>71.447975036318894</v>
      </c>
      <c r="AU111" s="7">
        <v>94.9442616146343</v>
      </c>
      <c r="AV111" s="7">
        <v>97.860335319754498</v>
      </c>
      <c r="AW111" s="7">
        <v>99.103330961487103</v>
      </c>
      <c r="AX111" s="7">
        <v>10.173090599095801</v>
      </c>
      <c r="AY111" s="7">
        <v>3.9792796999614599</v>
      </c>
      <c r="AZ111" s="7">
        <v>7.82680705031279</v>
      </c>
      <c r="BA111" s="7">
        <v>9.5508149515253908</v>
      </c>
      <c r="BB111" s="7">
        <v>9.9903662278751195</v>
      </c>
      <c r="BC111" s="7">
        <v>87.593947345014698</v>
      </c>
      <c r="BD111" s="7">
        <v>98.903206439562396</v>
      </c>
      <c r="BE111" s="7">
        <v>100</v>
      </c>
      <c r="BF111" s="7">
        <v>100</v>
      </c>
      <c r="BG111" s="7">
        <v>7.6889495778967003</v>
      </c>
      <c r="BH111" s="7">
        <v>7.8745589848498296</v>
      </c>
      <c r="BI111" s="7">
        <v>10</v>
      </c>
      <c r="BJ111" s="7">
        <v>10</v>
      </c>
      <c r="BK111" s="7">
        <v>10</v>
      </c>
      <c r="BL111" s="7">
        <v>98.858919624062395</v>
      </c>
      <c r="BM111" s="7">
        <v>100</v>
      </c>
      <c r="BN111" s="7">
        <v>100</v>
      </c>
      <c r="BO111" s="7">
        <v>100</v>
      </c>
      <c r="BP111" s="6">
        <v>15.8871702219031</v>
      </c>
      <c r="BQ111" s="6">
        <v>1.32989971537846</v>
      </c>
      <c r="BR111" s="6">
        <v>3.8593161670965599</v>
      </c>
      <c r="BS111" s="6">
        <v>5.7910069969462503</v>
      </c>
      <c r="BT111" s="6">
        <v>6.8148570221471099</v>
      </c>
      <c r="BU111" s="6">
        <v>64.753068576002804</v>
      </c>
      <c r="BV111" s="6">
        <v>86.968558213999799</v>
      </c>
      <c r="BW111" s="6">
        <v>92.671551187405498</v>
      </c>
      <c r="BX111" s="6">
        <v>97.123024696848404</v>
      </c>
      <c r="BY111" s="6" t="str">
        <f>TRIM(Table1[[#This Row],[LA_Name]])</f>
        <v>Northamptonshire</v>
      </c>
      <c r="BZ111" s="7">
        <v>37.463332328187498</v>
      </c>
      <c r="CA111" s="7">
        <v>0.16017559073794099</v>
      </c>
      <c r="CB111" s="7">
        <v>1.10776520205165</v>
      </c>
      <c r="CC111" s="7">
        <v>2.6254002490438499</v>
      </c>
      <c r="CD111" s="7">
        <v>4.7175094132645503</v>
      </c>
      <c r="CE111" s="7">
        <v>12.9367532390524</v>
      </c>
      <c r="CF111" s="7">
        <v>48.260213762637498</v>
      </c>
      <c r="CG111" s="7">
        <v>71.807272673367095</v>
      </c>
      <c r="CH111" s="7">
        <v>85.467994900530698</v>
      </c>
      <c r="CI111" s="7">
        <v>31.8589028512643</v>
      </c>
      <c r="CJ111" s="7">
        <v>0.50829775564054702</v>
      </c>
      <c r="CK111" s="7">
        <v>2.0114830709478499</v>
      </c>
      <c r="CL111" s="7">
        <v>2.8872001838180799</v>
      </c>
      <c r="CM111" s="7">
        <v>4.0527754306383201</v>
      </c>
      <c r="CN111" s="7">
        <v>27.4155770998251</v>
      </c>
      <c r="CO111" s="7">
        <v>55.815470366746702</v>
      </c>
      <c r="CP111" s="7">
        <v>70.704734797948305</v>
      </c>
      <c r="CQ111" s="7">
        <v>86.328159743840601</v>
      </c>
      <c r="CR111" s="7">
        <v>15.880089363557101</v>
      </c>
      <c r="CS111" s="7">
        <v>1.4076629161848899</v>
      </c>
      <c r="CT111" s="7">
        <v>6.0182502445966399</v>
      </c>
      <c r="CU111" s="7">
        <v>9.8382030300334993</v>
      </c>
      <c r="CV111" s="7">
        <v>10</v>
      </c>
      <c r="CW111" s="7">
        <v>51.862084556316503</v>
      </c>
      <c r="CX111" s="7">
        <v>97.916296065700095</v>
      </c>
      <c r="CY111" s="7">
        <v>100</v>
      </c>
      <c r="CZ111" s="7">
        <v>100</v>
      </c>
      <c r="DA111" s="9">
        <v>69.746775036180395</v>
      </c>
      <c r="DB111" s="9">
        <v>0.13620326721812101</v>
      </c>
      <c r="DC111" s="9">
        <v>0.49937183136173602</v>
      </c>
      <c r="DD111" s="9">
        <v>0.98804070681016298</v>
      </c>
      <c r="DE111" s="9">
        <v>1.4807306027454099</v>
      </c>
      <c r="DF111" s="9">
        <v>11.1832547659284</v>
      </c>
      <c r="DG111" s="9">
        <v>28.273888938302299</v>
      </c>
      <c r="DH111" s="9">
        <v>40.661967446411097</v>
      </c>
      <c r="DI111" s="9">
        <v>48.536126182217103</v>
      </c>
    </row>
    <row r="112" spans="1:113">
      <c r="A112" s="5" t="s">
        <v>275</v>
      </c>
      <c r="B112" s="5" t="s">
        <v>336</v>
      </c>
      <c r="C112" s="5" t="s">
        <v>337</v>
      </c>
      <c r="D112" s="6">
        <v>51667</v>
      </c>
      <c r="E112" s="7">
        <v>8.8781740739657504</v>
      </c>
      <c r="F112" s="7">
        <v>2.7208856717053398</v>
      </c>
      <c r="G112" s="7">
        <v>8.7324791452958408</v>
      </c>
      <c r="H112" s="7">
        <v>9.7055760930574593</v>
      </c>
      <c r="I112" s="7">
        <v>9.8450655157063505</v>
      </c>
      <c r="J112" s="7">
        <v>87.330404319972104</v>
      </c>
      <c r="K112" s="7">
        <v>98.798072270501507</v>
      </c>
      <c r="L112" s="7">
        <v>100</v>
      </c>
      <c r="M112" s="7">
        <v>100</v>
      </c>
      <c r="N112" s="7">
        <v>9.3024388794089905</v>
      </c>
      <c r="O112" s="7">
        <v>6.7628466913116698</v>
      </c>
      <c r="P112" s="7">
        <v>9.70753091915536</v>
      </c>
      <c r="Q112" s="7">
        <v>10</v>
      </c>
      <c r="R112" s="7">
        <v>10</v>
      </c>
      <c r="S112" s="7">
        <v>89.697485822672107</v>
      </c>
      <c r="T112" s="7">
        <v>100</v>
      </c>
      <c r="U112" s="7">
        <v>100</v>
      </c>
      <c r="V112" s="7">
        <v>100</v>
      </c>
      <c r="W112" s="7">
        <v>7.1716124508968599</v>
      </c>
      <c r="X112" s="7">
        <v>9.7186985890413595</v>
      </c>
      <c r="Y112" s="7">
        <v>10</v>
      </c>
      <c r="Z112" s="7">
        <v>10</v>
      </c>
      <c r="AA112" s="7">
        <v>10</v>
      </c>
      <c r="AB112" s="7">
        <v>100</v>
      </c>
      <c r="AC112" s="7">
        <v>100</v>
      </c>
      <c r="AD112" s="7">
        <v>100</v>
      </c>
      <c r="AE112" s="7">
        <v>100</v>
      </c>
      <c r="AF112" s="6">
        <v>12.5196922727384</v>
      </c>
      <c r="AG112" s="6">
        <v>2.24965645382933</v>
      </c>
      <c r="AH112" s="6">
        <v>6.7544661002187096</v>
      </c>
      <c r="AI112" s="6">
        <v>8.6036541699730993</v>
      </c>
      <c r="AJ112" s="6">
        <v>8.9436003638686206</v>
      </c>
      <c r="AK112" s="6">
        <v>86.221379216908304</v>
      </c>
      <c r="AL112" s="6">
        <v>89.871678247237099</v>
      </c>
      <c r="AM112" s="6">
        <v>89.871678247237099</v>
      </c>
      <c r="AN112" s="6">
        <v>94.634873323397898</v>
      </c>
      <c r="AO112" s="6">
        <v>13.196988003234001</v>
      </c>
      <c r="AP112" s="7">
        <v>0.720324385003968</v>
      </c>
      <c r="AQ112" s="7">
        <v>4.50130644318424</v>
      </c>
      <c r="AR112" s="7">
        <v>8.6659376391120109</v>
      </c>
      <c r="AS112" s="7">
        <v>9.7379371745988692</v>
      </c>
      <c r="AT112" s="7">
        <v>60.142837788143297</v>
      </c>
      <c r="AU112" s="7">
        <v>97.901949019683698</v>
      </c>
      <c r="AV112" s="7">
        <v>100</v>
      </c>
      <c r="AW112" s="7">
        <v>100</v>
      </c>
      <c r="AX112" s="7">
        <v>10.470653977308199</v>
      </c>
      <c r="AY112" s="7">
        <v>2.2612305727059798</v>
      </c>
      <c r="AZ112" s="7">
        <v>5.9592776820794704</v>
      </c>
      <c r="BA112" s="7">
        <v>9.0729866258927405</v>
      </c>
      <c r="BB112" s="7">
        <v>10</v>
      </c>
      <c r="BC112" s="7">
        <v>95.451642247469394</v>
      </c>
      <c r="BD112" s="7">
        <v>97.901949019683698</v>
      </c>
      <c r="BE112" s="7">
        <v>100</v>
      </c>
      <c r="BF112" s="7">
        <v>100</v>
      </c>
      <c r="BG112" s="7">
        <v>7.9072425639412298</v>
      </c>
      <c r="BH112" s="7">
        <v>5.7924594034877197</v>
      </c>
      <c r="BI112" s="7">
        <v>10</v>
      </c>
      <c r="BJ112" s="7">
        <v>10</v>
      </c>
      <c r="BK112" s="7">
        <v>10</v>
      </c>
      <c r="BL112" s="7">
        <v>97.901949019683698</v>
      </c>
      <c r="BM112" s="7">
        <v>100</v>
      </c>
      <c r="BN112" s="7">
        <v>100</v>
      </c>
      <c r="BO112" s="7">
        <v>100</v>
      </c>
      <c r="BP112" s="6">
        <v>16.115531349438999</v>
      </c>
      <c r="BQ112" s="6">
        <v>0.58995103257398296</v>
      </c>
      <c r="BR112" s="6">
        <v>2.1779859484777502</v>
      </c>
      <c r="BS112" s="6">
        <v>3.6330926897245801</v>
      </c>
      <c r="BT112" s="6">
        <v>4.6720150192579402</v>
      </c>
      <c r="BU112" s="6">
        <v>51.737085567189901</v>
      </c>
      <c r="BV112" s="6">
        <v>95.451642247469394</v>
      </c>
      <c r="BW112" s="6">
        <v>96.978729169489199</v>
      </c>
      <c r="BX112" s="6">
        <v>97.901949019683698</v>
      </c>
      <c r="BY112" s="6" t="str">
        <f>TRIM(Table1[[#This Row],[LA_Name]])</f>
        <v>Corby</v>
      </c>
      <c r="BZ112" s="7">
        <v>21.413027957941502</v>
      </c>
      <c r="CA112" s="7">
        <v>0.315849575164031</v>
      </c>
      <c r="CB112" s="7">
        <v>1.8986587183308501</v>
      </c>
      <c r="CC112" s="7">
        <v>3.8122012116050898</v>
      </c>
      <c r="CD112" s="7">
        <v>5.2518822459209904</v>
      </c>
      <c r="CE112" s="7">
        <v>27.580467222792102</v>
      </c>
      <c r="CF112" s="7">
        <v>84.669131166895696</v>
      </c>
      <c r="CG112" s="7">
        <v>97.503241914568306</v>
      </c>
      <c r="CH112" s="7">
        <v>97.503241914568306</v>
      </c>
      <c r="CI112" s="7">
        <v>15.4746026996305</v>
      </c>
      <c r="CJ112" s="7">
        <v>0.86972342113921797</v>
      </c>
      <c r="CK112" s="7">
        <v>2.9270520835349401</v>
      </c>
      <c r="CL112" s="7">
        <v>3.4881645924865001</v>
      </c>
      <c r="CM112" s="7">
        <v>5.5247062922174699</v>
      </c>
      <c r="CN112" s="7">
        <v>43.565525383707197</v>
      </c>
      <c r="CO112" s="7">
        <v>99.140650705479302</v>
      </c>
      <c r="CP112" s="7">
        <v>100</v>
      </c>
      <c r="CQ112" s="7">
        <v>100</v>
      </c>
      <c r="CR112" s="7">
        <v>10.080352286320499</v>
      </c>
      <c r="CS112" s="7">
        <v>2.8103431590763899</v>
      </c>
      <c r="CT112" s="7">
        <v>5.9370584705905101</v>
      </c>
      <c r="CU112" s="7">
        <v>8.5244546809375397</v>
      </c>
      <c r="CV112" s="7">
        <v>10</v>
      </c>
      <c r="CW112" s="7">
        <v>97.901949019683698</v>
      </c>
      <c r="CX112" s="7">
        <v>100</v>
      </c>
      <c r="CY112" s="7">
        <v>100</v>
      </c>
      <c r="CZ112" s="7">
        <v>100</v>
      </c>
      <c r="DA112" s="9">
        <v>32.908141848253798</v>
      </c>
      <c r="DB112" s="9">
        <v>0.24988871039541699</v>
      </c>
      <c r="DC112" s="9">
        <v>0.81984632357210596</v>
      </c>
      <c r="DD112" s="9">
        <v>1.7925948864846</v>
      </c>
      <c r="DE112" s="9">
        <v>2.4619196005187098</v>
      </c>
      <c r="DF112" s="9">
        <v>20.9843807459307</v>
      </c>
      <c r="DG112" s="9">
        <v>41.554570615673398</v>
      </c>
      <c r="DH112" s="9">
        <v>76.820794704550295</v>
      </c>
      <c r="DI112" s="9">
        <v>93.953587396210395</v>
      </c>
    </row>
    <row r="113" spans="1:113">
      <c r="A113" s="5" t="s">
        <v>275</v>
      </c>
      <c r="B113" s="5" t="s">
        <v>338</v>
      </c>
      <c r="C113" s="5" t="s">
        <v>339</v>
      </c>
      <c r="D113" s="6">
        <v>62530</v>
      </c>
      <c r="E113" s="7">
        <v>22.766115357217402</v>
      </c>
      <c r="F113" s="7">
        <v>0.78152886614425099</v>
      </c>
      <c r="G113" s="7">
        <v>3.6010235087158202</v>
      </c>
      <c r="H113" s="7">
        <v>7.6530465376619201</v>
      </c>
      <c r="I113" s="7">
        <v>8.5512394050855605</v>
      </c>
      <c r="J113" s="7">
        <v>49.7585159123621</v>
      </c>
      <c r="K113" s="7">
        <v>84.976811130657296</v>
      </c>
      <c r="L113" s="7">
        <v>86.358547897009402</v>
      </c>
      <c r="M113" s="7">
        <v>91.202622741084298</v>
      </c>
      <c r="N113" s="7">
        <v>14.558815000146099</v>
      </c>
      <c r="O113" s="7">
        <v>1.5728610267071801</v>
      </c>
      <c r="P113" s="7">
        <v>4.4434191588037697</v>
      </c>
      <c r="Q113" s="7">
        <v>8.1634895250279893</v>
      </c>
      <c r="R113" s="7">
        <v>9.9218295218295207</v>
      </c>
      <c r="S113" s="7">
        <v>65.701263393571097</v>
      </c>
      <c r="T113" s="7">
        <v>93.096113865344606</v>
      </c>
      <c r="U113" s="7">
        <v>98.080921157844202</v>
      </c>
      <c r="V113" s="7">
        <v>100</v>
      </c>
      <c r="W113" s="7">
        <v>9.1803135876767694</v>
      </c>
      <c r="X113" s="7">
        <v>4.7916200223892496</v>
      </c>
      <c r="Y113" s="7">
        <v>10</v>
      </c>
      <c r="Z113" s="7">
        <v>10</v>
      </c>
      <c r="AA113" s="7">
        <v>10</v>
      </c>
      <c r="AB113" s="7">
        <v>93.754997601151402</v>
      </c>
      <c r="AC113" s="7">
        <v>100</v>
      </c>
      <c r="AD113" s="7">
        <v>100</v>
      </c>
      <c r="AE113" s="7">
        <v>100</v>
      </c>
      <c r="AF113" s="6">
        <v>30.377316165552301</v>
      </c>
      <c r="AG113" s="6">
        <v>0.66237006237006202</v>
      </c>
      <c r="AH113" s="6">
        <v>1.4395170318247199</v>
      </c>
      <c r="AI113" s="6">
        <v>2.4312170158324</v>
      </c>
      <c r="AJ113" s="6">
        <v>3.23006556852711</v>
      </c>
      <c r="AK113" s="6">
        <v>45.917159763313599</v>
      </c>
      <c r="AL113" s="6">
        <v>62.296497681113102</v>
      </c>
      <c r="AM113" s="6">
        <v>73.313609467455606</v>
      </c>
      <c r="AN113" s="6">
        <v>82.614744922437197</v>
      </c>
      <c r="AO113" s="6">
        <v>17.445837969858498</v>
      </c>
      <c r="AP113" s="7">
        <v>0.75125539740924396</v>
      </c>
      <c r="AQ113" s="7">
        <v>3.7663841356149099</v>
      </c>
      <c r="AR113" s="7">
        <v>7.73257636334559</v>
      </c>
      <c r="AS113" s="7">
        <v>8.7608507916200207</v>
      </c>
      <c r="AT113" s="7">
        <v>55.672477210938801</v>
      </c>
      <c r="AU113" s="7">
        <v>84.994402686710401</v>
      </c>
      <c r="AV113" s="7">
        <v>95.328642251719202</v>
      </c>
      <c r="AW113" s="7">
        <v>96.987046217815404</v>
      </c>
      <c r="AX113" s="7">
        <v>12.910382858894399</v>
      </c>
      <c r="AY113" s="7">
        <v>1.90804413881337</v>
      </c>
      <c r="AZ113" s="7">
        <v>5.5703342395650104</v>
      </c>
      <c r="BA113" s="7">
        <v>9.0696625619702491</v>
      </c>
      <c r="BB113" s="7">
        <v>9.9653606268990895</v>
      </c>
      <c r="BC113" s="7">
        <v>67.698704621781502</v>
      </c>
      <c r="BD113" s="7">
        <v>97.135774828082504</v>
      </c>
      <c r="BE113" s="7">
        <v>100</v>
      </c>
      <c r="BF113" s="7">
        <v>100</v>
      </c>
      <c r="BG113" s="7">
        <v>8.5076222592995503</v>
      </c>
      <c r="BH113" s="7">
        <v>5.80423796577643</v>
      </c>
      <c r="BI113" s="7">
        <v>10</v>
      </c>
      <c r="BJ113" s="7">
        <v>10</v>
      </c>
      <c r="BK113" s="7">
        <v>10</v>
      </c>
      <c r="BL113" s="7">
        <v>98.274428274428303</v>
      </c>
      <c r="BM113" s="7">
        <v>100</v>
      </c>
      <c r="BN113" s="7">
        <v>100</v>
      </c>
      <c r="BO113" s="7">
        <v>100</v>
      </c>
      <c r="BP113" s="6">
        <v>25.379563368611699</v>
      </c>
      <c r="BQ113" s="6">
        <v>0.61944666560051198</v>
      </c>
      <c r="BR113" s="6">
        <v>1.7272509195586101</v>
      </c>
      <c r="BS113" s="6">
        <v>3.0051175435790798</v>
      </c>
      <c r="BT113" s="6">
        <v>4.1049256356948698</v>
      </c>
      <c r="BU113" s="6">
        <v>49.270750039980797</v>
      </c>
      <c r="BV113" s="6">
        <v>65.450183911722405</v>
      </c>
      <c r="BW113" s="6">
        <v>79.7665120742044</v>
      </c>
      <c r="BX113" s="6">
        <v>88.845354229969601</v>
      </c>
      <c r="BY113" s="6" t="str">
        <f>TRIM(Table1[[#This Row],[LA_Name]])</f>
        <v>Daventry</v>
      </c>
      <c r="BZ113" s="7">
        <v>54.358820807222699</v>
      </c>
      <c r="CA113" s="7">
        <v>2.7842635534943198E-2</v>
      </c>
      <c r="CB113" s="7">
        <v>0.108795778026547</v>
      </c>
      <c r="CC113" s="7">
        <v>0.76555253478330398</v>
      </c>
      <c r="CD113" s="7">
        <v>2.5864545018391198</v>
      </c>
      <c r="CE113" s="7">
        <v>2.7842635534943199</v>
      </c>
      <c r="CF113" s="7">
        <v>10.610906764752899</v>
      </c>
      <c r="CG113" s="7">
        <v>35.664481049096402</v>
      </c>
      <c r="CH113" s="7">
        <v>79.0260674876059</v>
      </c>
      <c r="CI113" s="7">
        <v>43.793517371770498</v>
      </c>
      <c r="CJ113" s="7">
        <v>2.7842635534943198E-2</v>
      </c>
      <c r="CK113" s="7">
        <v>0.22705901167439599</v>
      </c>
      <c r="CL113" s="7">
        <v>1.04701743163282</v>
      </c>
      <c r="CM113" s="7">
        <v>2.3944986406524902</v>
      </c>
      <c r="CN113" s="7">
        <v>2.7842635534943199</v>
      </c>
      <c r="CO113" s="7">
        <v>16.131456900687699</v>
      </c>
      <c r="CP113" s="7">
        <v>50.7324484247561</v>
      </c>
      <c r="CQ113" s="7">
        <v>88.610267071805495</v>
      </c>
      <c r="CR113" s="7">
        <v>20.280506474926401</v>
      </c>
      <c r="CS113" s="7">
        <v>0.149992003838158</v>
      </c>
      <c r="CT113" s="7">
        <v>5.2077402846633598</v>
      </c>
      <c r="CU113" s="7">
        <v>9.9264672956980693</v>
      </c>
      <c r="CV113" s="7">
        <v>10</v>
      </c>
      <c r="CW113" s="7">
        <v>14.631376939069201</v>
      </c>
      <c r="CX113" s="7">
        <v>99.1348152886614</v>
      </c>
      <c r="CY113" s="7">
        <v>100</v>
      </c>
      <c r="CZ113" s="7">
        <v>100</v>
      </c>
      <c r="DA113" s="9">
        <v>103.624845130898</v>
      </c>
      <c r="DB113" s="9">
        <v>2.7842635534943198E-2</v>
      </c>
      <c r="DC113" s="9">
        <v>3.1344954421877499E-2</v>
      </c>
      <c r="DD113" s="9">
        <v>4.7001439309131601E-2</v>
      </c>
      <c r="DE113" s="9">
        <v>0.129377898608668</v>
      </c>
      <c r="DF113" s="9">
        <v>2.7842635534943199</v>
      </c>
      <c r="DG113" s="9">
        <v>3.1344954421877498</v>
      </c>
      <c r="DH113" s="9">
        <v>4.7001439309131596</v>
      </c>
      <c r="DI113" s="9">
        <v>12.9377898608668</v>
      </c>
    </row>
    <row r="114" spans="1:113">
      <c r="A114" s="5" t="s">
        <v>275</v>
      </c>
      <c r="B114" s="5" t="s">
        <v>340</v>
      </c>
      <c r="C114" s="5" t="s">
        <v>341</v>
      </c>
      <c r="D114" s="6">
        <v>68054</v>
      </c>
      <c r="E114" s="7">
        <v>18.7456628876247</v>
      </c>
      <c r="F114" s="7">
        <v>1.5856819584447599</v>
      </c>
      <c r="G114" s="7">
        <v>5.89858053898375</v>
      </c>
      <c r="H114" s="7">
        <v>7.6055926176271802</v>
      </c>
      <c r="I114" s="7">
        <v>8.6521291915243808</v>
      </c>
      <c r="J114" s="7">
        <v>68.720427895494794</v>
      </c>
      <c r="K114" s="7">
        <v>84.7018544097334</v>
      </c>
      <c r="L114" s="7">
        <v>90.125488582596205</v>
      </c>
      <c r="M114" s="7">
        <v>92.885061862638494</v>
      </c>
      <c r="N114" s="7">
        <v>11.7908302516575</v>
      </c>
      <c r="O114" s="7">
        <v>3.4292473623886899</v>
      </c>
      <c r="P114" s="7">
        <v>6.9136861903782298</v>
      </c>
      <c r="Q114" s="7">
        <v>8.3382314044729196</v>
      </c>
      <c r="R114" s="7">
        <v>9.36754636024334</v>
      </c>
      <c r="S114" s="7">
        <v>80.865195286096295</v>
      </c>
      <c r="T114" s="7">
        <v>94.596937725923496</v>
      </c>
      <c r="U114" s="7">
        <v>99.237370323566594</v>
      </c>
      <c r="V114" s="7">
        <v>100</v>
      </c>
      <c r="W114" s="7">
        <v>8.2802675958769605</v>
      </c>
      <c r="X114" s="7">
        <v>6.8389661151438599</v>
      </c>
      <c r="Y114" s="7">
        <v>9.9890087283627693</v>
      </c>
      <c r="Z114" s="7">
        <v>10</v>
      </c>
      <c r="AA114" s="7">
        <v>10</v>
      </c>
      <c r="AB114" s="7">
        <v>94.419137743556604</v>
      </c>
      <c r="AC114" s="7">
        <v>100</v>
      </c>
      <c r="AD114" s="7">
        <v>100</v>
      </c>
      <c r="AE114" s="7">
        <v>100</v>
      </c>
      <c r="AF114" s="6">
        <v>21.386752287996199</v>
      </c>
      <c r="AG114" s="6">
        <v>1.3435507097305099</v>
      </c>
      <c r="AH114" s="6">
        <v>3.23000852264378</v>
      </c>
      <c r="AI114" s="6">
        <v>5.3338525288741296</v>
      </c>
      <c r="AJ114" s="6">
        <v>6.2621153789637596</v>
      </c>
      <c r="AK114" s="6">
        <v>63.791988714844102</v>
      </c>
      <c r="AL114" s="6">
        <v>78.700737649513599</v>
      </c>
      <c r="AM114" s="6">
        <v>86.210950127839695</v>
      </c>
      <c r="AN114" s="6">
        <v>89.161548182325802</v>
      </c>
      <c r="AO114" s="6">
        <v>13.6311852334149</v>
      </c>
      <c r="AP114" s="7">
        <v>1.4581802686102201</v>
      </c>
      <c r="AQ114" s="7">
        <v>6.0568666059305798</v>
      </c>
      <c r="AR114" s="7">
        <v>7.9663502512710496</v>
      </c>
      <c r="AS114" s="7">
        <v>8.7917095247891393</v>
      </c>
      <c r="AT114" s="7">
        <v>72.069239133629196</v>
      </c>
      <c r="AU114" s="7">
        <v>92.970288300467303</v>
      </c>
      <c r="AV114" s="7">
        <v>94.840861668674904</v>
      </c>
      <c r="AW114" s="7">
        <v>97.8575836835454</v>
      </c>
      <c r="AX114" s="7">
        <v>9.8589943306261194</v>
      </c>
      <c r="AY114" s="7">
        <v>3.6918182619684399</v>
      </c>
      <c r="AZ114" s="7">
        <v>7.1163781702765503</v>
      </c>
      <c r="BA114" s="7">
        <v>9.0318423604784392</v>
      </c>
      <c r="BB114" s="7">
        <v>9.9916683809915696</v>
      </c>
      <c r="BC114" s="7">
        <v>88.225526787551104</v>
      </c>
      <c r="BD114" s="7">
        <v>99.725218209069297</v>
      </c>
      <c r="BE114" s="7">
        <v>100</v>
      </c>
      <c r="BF114" s="7">
        <v>100</v>
      </c>
      <c r="BG114" s="7">
        <v>7.54749407309167</v>
      </c>
      <c r="BH114" s="7">
        <v>6.9342874775913197</v>
      </c>
      <c r="BI114" s="7">
        <v>10</v>
      </c>
      <c r="BJ114" s="7">
        <v>10</v>
      </c>
      <c r="BK114" s="7">
        <v>10</v>
      </c>
      <c r="BL114" s="7">
        <v>98.814176977106399</v>
      </c>
      <c r="BM114" s="7">
        <v>100</v>
      </c>
      <c r="BN114" s="7">
        <v>100</v>
      </c>
      <c r="BO114" s="7">
        <v>100</v>
      </c>
      <c r="BP114" s="6">
        <v>15.2734995651118</v>
      </c>
      <c r="BQ114" s="6">
        <v>1.2478326035207301</v>
      </c>
      <c r="BR114" s="6">
        <v>3.4458959061921401</v>
      </c>
      <c r="BS114" s="6">
        <v>5.1331001851470903</v>
      </c>
      <c r="BT114" s="6">
        <v>5.9921532900343797</v>
      </c>
      <c r="BU114" s="6">
        <v>68.832103917477298</v>
      </c>
      <c r="BV114" s="6">
        <v>87.549592970288302</v>
      </c>
      <c r="BW114" s="6">
        <v>92.331090016751403</v>
      </c>
      <c r="BX114" s="6">
        <v>97.447615129162102</v>
      </c>
      <c r="BY114" s="6" t="str">
        <f>TRIM(Table1[[#This Row],[LA_Name]])</f>
        <v>East Northamptonshire</v>
      </c>
      <c r="BZ114" s="7">
        <v>66.870956899347107</v>
      </c>
      <c r="CA114" s="7">
        <v>0</v>
      </c>
      <c r="CB114" s="7">
        <v>1.7574279248831801E-2</v>
      </c>
      <c r="CC114" s="7">
        <v>0.23885443912187401</v>
      </c>
      <c r="CD114" s="7">
        <v>1.0419960619508</v>
      </c>
      <c r="CE114" s="7">
        <v>0</v>
      </c>
      <c r="CF114" s="7">
        <v>1.7574279248831799</v>
      </c>
      <c r="CG114" s="7">
        <v>16.129838069768098</v>
      </c>
      <c r="CH114" s="7">
        <v>41.043876921268399</v>
      </c>
      <c r="CI114" s="7">
        <v>63.047039532712603</v>
      </c>
      <c r="CJ114" s="7">
        <v>0</v>
      </c>
      <c r="CK114" s="7">
        <v>0</v>
      </c>
      <c r="CL114" s="7">
        <v>7.44408851794163E-2</v>
      </c>
      <c r="CM114" s="7">
        <v>0.57317718282540298</v>
      </c>
      <c r="CN114" s="7">
        <v>0</v>
      </c>
      <c r="CO114" s="7">
        <v>0</v>
      </c>
      <c r="CP114" s="7">
        <v>3.70441120286831</v>
      </c>
      <c r="CQ114" s="7">
        <v>29.893907779116599</v>
      </c>
      <c r="CR114" s="7">
        <v>25.5423538530206</v>
      </c>
      <c r="CS114" s="7">
        <v>1.38125606136304E-2</v>
      </c>
      <c r="CT114" s="7">
        <v>2.9938137361506998</v>
      </c>
      <c r="CU114" s="7">
        <v>9.9964440003526605</v>
      </c>
      <c r="CV114" s="7">
        <v>10</v>
      </c>
      <c r="CW114" s="7">
        <v>0.97275692832162697</v>
      </c>
      <c r="CX114" s="7">
        <v>84.271313956563901</v>
      </c>
      <c r="CY114" s="7">
        <v>100</v>
      </c>
      <c r="CZ114" s="7">
        <v>100</v>
      </c>
      <c r="DA114" s="9">
        <v>119.434955477193</v>
      </c>
      <c r="DB114" s="9">
        <v>0</v>
      </c>
      <c r="DC114" s="9">
        <v>0</v>
      </c>
      <c r="DD114" s="9">
        <v>0</v>
      </c>
      <c r="DE114" s="9">
        <v>0</v>
      </c>
      <c r="DF114" s="9">
        <v>0</v>
      </c>
      <c r="DG114" s="9">
        <v>0</v>
      </c>
      <c r="DH114" s="9">
        <v>0</v>
      </c>
      <c r="DI114" s="9">
        <v>0</v>
      </c>
    </row>
    <row r="115" spans="1:113">
      <c r="A115" s="5" t="s">
        <v>275</v>
      </c>
      <c r="B115" s="5" t="s">
        <v>342</v>
      </c>
      <c r="C115" s="5" t="s">
        <v>343</v>
      </c>
      <c r="D115" s="6">
        <v>72553</v>
      </c>
      <c r="E115" s="7">
        <v>9.4886665888667796</v>
      </c>
      <c r="F115" s="7">
        <v>2.3531762987057698</v>
      </c>
      <c r="G115" s="7">
        <v>8.3000565104130803</v>
      </c>
      <c r="H115" s="7">
        <v>9.6303805493914805</v>
      </c>
      <c r="I115" s="7">
        <v>9.7599410086419596</v>
      </c>
      <c r="J115" s="7">
        <v>84.437583559604704</v>
      </c>
      <c r="K115" s="7">
        <v>97.080754758590302</v>
      </c>
      <c r="L115" s="7">
        <v>97.831929761691498</v>
      </c>
      <c r="M115" s="7">
        <v>99.059997519055003</v>
      </c>
      <c r="N115" s="7">
        <v>8.3400210846895497</v>
      </c>
      <c r="O115" s="7">
        <v>5.2909045801000696</v>
      </c>
      <c r="P115" s="7">
        <v>9.2868110209088499</v>
      </c>
      <c r="Q115" s="7">
        <v>10</v>
      </c>
      <c r="R115" s="7">
        <v>10</v>
      </c>
      <c r="S115" s="7">
        <v>95.295852687001201</v>
      </c>
      <c r="T115" s="7">
        <v>100</v>
      </c>
      <c r="U115" s="7">
        <v>100</v>
      </c>
      <c r="V115" s="7">
        <v>100</v>
      </c>
      <c r="W115" s="7">
        <v>6.9333382299148099</v>
      </c>
      <c r="X115" s="7">
        <v>9.2925723264372309</v>
      </c>
      <c r="Y115" s="7">
        <v>10</v>
      </c>
      <c r="Z115" s="7">
        <v>10</v>
      </c>
      <c r="AA115" s="7">
        <v>10</v>
      </c>
      <c r="AB115" s="7">
        <v>100</v>
      </c>
      <c r="AC115" s="7">
        <v>100</v>
      </c>
      <c r="AD115" s="7">
        <v>100</v>
      </c>
      <c r="AE115" s="7">
        <v>100</v>
      </c>
      <c r="AF115" s="6">
        <v>10.284056751422099</v>
      </c>
      <c r="AG115" s="6">
        <v>2.1306768844844499</v>
      </c>
      <c r="AH115" s="6">
        <v>5.4350474825300097</v>
      </c>
      <c r="AI115" s="6">
        <v>7.3599161991923099</v>
      </c>
      <c r="AJ115" s="6">
        <v>8.7121552520226597</v>
      </c>
      <c r="AK115" s="6">
        <v>82.604440891486206</v>
      </c>
      <c r="AL115" s="6">
        <v>95.295852687001201</v>
      </c>
      <c r="AM115" s="6">
        <v>96.8299036566372</v>
      </c>
      <c r="AN115" s="6">
        <v>99.059997519055003</v>
      </c>
      <c r="AO115" s="6">
        <v>11.439374511133099</v>
      </c>
      <c r="AP115" s="7">
        <v>1.78010557799126</v>
      </c>
      <c r="AQ115" s="7">
        <v>7.3998180640359497</v>
      </c>
      <c r="AR115" s="7">
        <v>9.6367207420782108</v>
      </c>
      <c r="AS115" s="7">
        <v>9.7531597590726804</v>
      </c>
      <c r="AT115" s="7">
        <v>72.505616583738799</v>
      </c>
      <c r="AU115" s="7">
        <v>97.563160723884593</v>
      </c>
      <c r="AV115" s="7">
        <v>99.171640042451699</v>
      </c>
      <c r="AW115" s="7">
        <v>99.7243394484032</v>
      </c>
      <c r="AX115" s="7">
        <v>10.0343281439302</v>
      </c>
      <c r="AY115" s="7">
        <v>4.6217385910989197</v>
      </c>
      <c r="AZ115" s="7">
        <v>8.6165286066737394</v>
      </c>
      <c r="BA115" s="7">
        <v>10</v>
      </c>
      <c r="BB115" s="7">
        <v>10</v>
      </c>
      <c r="BC115" s="7">
        <v>88.711700412112506</v>
      </c>
      <c r="BD115" s="7">
        <v>97.700990999683</v>
      </c>
      <c r="BE115" s="7">
        <v>100</v>
      </c>
      <c r="BF115" s="7">
        <v>100</v>
      </c>
      <c r="BG115" s="7">
        <v>7.58926716175894</v>
      </c>
      <c r="BH115" s="7">
        <v>8.5888109382106901</v>
      </c>
      <c r="BI115" s="7">
        <v>10</v>
      </c>
      <c r="BJ115" s="7">
        <v>10</v>
      </c>
      <c r="BK115" s="7">
        <v>10</v>
      </c>
      <c r="BL115" s="7">
        <v>97.700990999683</v>
      </c>
      <c r="BM115" s="7">
        <v>100</v>
      </c>
      <c r="BN115" s="7">
        <v>100</v>
      </c>
      <c r="BO115" s="7">
        <v>100</v>
      </c>
      <c r="BP115" s="6">
        <v>15.6119126562382</v>
      </c>
      <c r="BQ115" s="6">
        <v>1.5215221975659201</v>
      </c>
      <c r="BR115" s="6">
        <v>4.4084600223285104</v>
      </c>
      <c r="BS115" s="6">
        <v>6.4714622413959404</v>
      </c>
      <c r="BT115" s="6">
        <v>7.2891679186250098</v>
      </c>
      <c r="BU115" s="6">
        <v>66.760850688462199</v>
      </c>
      <c r="BV115" s="6">
        <v>89.116921422959805</v>
      </c>
      <c r="BW115" s="6">
        <v>93.374498642371805</v>
      </c>
      <c r="BX115" s="6">
        <v>97.4253304480862</v>
      </c>
      <c r="BY115" s="6" t="str">
        <f>TRIM(Table1[[#This Row],[LA_Name]])</f>
        <v>Kettering</v>
      </c>
      <c r="BZ115" s="7">
        <v>23.836087919189499</v>
      </c>
      <c r="CA115" s="7">
        <v>0.314556255427067</v>
      </c>
      <c r="CB115" s="7">
        <v>1.54357504169366</v>
      </c>
      <c r="CC115" s="7">
        <v>3.3737543588824699</v>
      </c>
      <c r="CD115" s="7">
        <v>5.7266549970366496</v>
      </c>
      <c r="CE115" s="7">
        <v>27.056083139222402</v>
      </c>
      <c r="CF115" s="7">
        <v>73.930781635494</v>
      </c>
      <c r="CG115" s="7">
        <v>97.204802006808805</v>
      </c>
      <c r="CH115" s="7">
        <v>97.430843659118196</v>
      </c>
      <c r="CI115" s="7">
        <v>19.480096327685601</v>
      </c>
      <c r="CJ115" s="7">
        <v>0.79905724091353902</v>
      </c>
      <c r="CK115" s="7">
        <v>2.1549212299973801</v>
      </c>
      <c r="CL115" s="7">
        <v>2.9091422821937098</v>
      </c>
      <c r="CM115" s="7">
        <v>4.8527145672818497</v>
      </c>
      <c r="CN115" s="7">
        <v>47.762325472413302</v>
      </c>
      <c r="CO115" s="7">
        <v>81.585875153336204</v>
      </c>
      <c r="CP115" s="7">
        <v>98.799498297796106</v>
      </c>
      <c r="CQ115" s="7">
        <v>100</v>
      </c>
      <c r="CR115" s="7">
        <v>11.713616816300499</v>
      </c>
      <c r="CS115" s="7">
        <v>1.8928369605667601</v>
      </c>
      <c r="CT115" s="7">
        <v>6.1500833873168599</v>
      </c>
      <c r="CU115" s="7">
        <v>9.9943765247474303</v>
      </c>
      <c r="CV115" s="7">
        <v>10</v>
      </c>
      <c r="CW115" s="7">
        <v>78.797568673934904</v>
      </c>
      <c r="CX115" s="7">
        <v>100</v>
      </c>
      <c r="CY115" s="7">
        <v>100</v>
      </c>
      <c r="CZ115" s="7">
        <v>100</v>
      </c>
      <c r="DA115" s="9">
        <v>45.426254115857098</v>
      </c>
      <c r="DB115" s="9">
        <v>0.24207131338469801</v>
      </c>
      <c r="DC115" s="9">
        <v>0.83767728419224596</v>
      </c>
      <c r="DD115" s="9">
        <v>1.4778300001378299</v>
      </c>
      <c r="DE115" s="9">
        <v>1.7986024010034001</v>
      </c>
      <c r="DF115" s="9">
        <v>23.982467988918401</v>
      </c>
      <c r="DG115" s="9">
        <v>48.348104144556402</v>
      </c>
      <c r="DH115" s="9">
        <v>60.581919424420803</v>
      </c>
      <c r="DI115" s="9">
        <v>65.725745317216393</v>
      </c>
    </row>
    <row r="116" spans="1:113">
      <c r="A116" s="5" t="s">
        <v>275</v>
      </c>
      <c r="B116" s="5" t="s">
        <v>344</v>
      </c>
      <c r="C116" s="5" t="s">
        <v>345</v>
      </c>
      <c r="D116" s="6">
        <v>160199</v>
      </c>
      <c r="E116" s="7">
        <v>7.4138001383541701</v>
      </c>
      <c r="F116" s="7">
        <v>2.9385326999544299</v>
      </c>
      <c r="G116" s="7">
        <v>9.7721521357811199</v>
      </c>
      <c r="H116" s="7">
        <v>9.9987702794649191</v>
      </c>
      <c r="I116" s="7">
        <v>10</v>
      </c>
      <c r="J116" s="7">
        <v>94.330176842552106</v>
      </c>
      <c r="K116" s="7">
        <v>100</v>
      </c>
      <c r="L116" s="7">
        <v>100</v>
      </c>
      <c r="M116" s="7">
        <v>100</v>
      </c>
      <c r="N116" s="7">
        <v>7.7706134266576203</v>
      </c>
      <c r="O116" s="7">
        <v>8.1362742588905093</v>
      </c>
      <c r="P116" s="7">
        <v>10</v>
      </c>
      <c r="Q116" s="7">
        <v>10</v>
      </c>
      <c r="R116" s="7">
        <v>10</v>
      </c>
      <c r="S116" s="7">
        <v>99.724093159133304</v>
      </c>
      <c r="T116" s="7">
        <v>100</v>
      </c>
      <c r="U116" s="7">
        <v>100</v>
      </c>
      <c r="V116" s="7">
        <v>100</v>
      </c>
      <c r="W116" s="7">
        <v>6.7505833983227097</v>
      </c>
      <c r="X116" s="7">
        <v>9.9963108383947503</v>
      </c>
      <c r="Y116" s="7">
        <v>10</v>
      </c>
      <c r="Z116" s="7">
        <v>10</v>
      </c>
      <c r="AA116" s="7">
        <v>10</v>
      </c>
      <c r="AB116" s="7">
        <v>100</v>
      </c>
      <c r="AC116" s="7">
        <v>100</v>
      </c>
      <c r="AD116" s="7">
        <v>100</v>
      </c>
      <c r="AE116" s="7">
        <v>100</v>
      </c>
      <c r="AF116" s="6">
        <v>7.8873765682348598</v>
      </c>
      <c r="AG116" s="6">
        <v>2.5617762907383899</v>
      </c>
      <c r="AH116" s="6">
        <v>8.23011379596627</v>
      </c>
      <c r="AI116" s="6">
        <v>9.9027646864212606</v>
      </c>
      <c r="AJ116" s="6">
        <v>9.9837452168865006</v>
      </c>
      <c r="AK116" s="6">
        <v>92.069238884137803</v>
      </c>
      <c r="AL116" s="6">
        <v>99.724093159133304</v>
      </c>
      <c r="AM116" s="6">
        <v>99.724093159133304</v>
      </c>
      <c r="AN116" s="6">
        <v>100</v>
      </c>
      <c r="AO116" s="6">
        <v>9.3175729102585798</v>
      </c>
      <c r="AP116" s="7">
        <v>2.50781215862771</v>
      </c>
      <c r="AQ116" s="7">
        <v>8.8375582868806895</v>
      </c>
      <c r="AR116" s="7">
        <v>9.9952496582375705</v>
      </c>
      <c r="AS116" s="7">
        <v>10</v>
      </c>
      <c r="AT116" s="7">
        <v>83.847589560484195</v>
      </c>
      <c r="AU116" s="7">
        <v>100</v>
      </c>
      <c r="AV116" s="7">
        <v>100</v>
      </c>
      <c r="AW116" s="7">
        <v>100</v>
      </c>
      <c r="AX116" s="7">
        <v>8.6057574446651905</v>
      </c>
      <c r="AY116" s="7">
        <v>6.1506750978470501</v>
      </c>
      <c r="AZ116" s="7">
        <v>10</v>
      </c>
      <c r="BA116" s="7">
        <v>10</v>
      </c>
      <c r="BB116" s="7">
        <v>10</v>
      </c>
      <c r="BC116" s="7">
        <v>99.293378860042793</v>
      </c>
      <c r="BD116" s="7">
        <v>100</v>
      </c>
      <c r="BE116" s="7">
        <v>100</v>
      </c>
      <c r="BF116" s="7">
        <v>100</v>
      </c>
      <c r="BG116" s="7">
        <v>7.1504005061306799</v>
      </c>
      <c r="BH116" s="7">
        <v>9.98128577581633</v>
      </c>
      <c r="BI116" s="7">
        <v>10</v>
      </c>
      <c r="BJ116" s="7">
        <v>10</v>
      </c>
      <c r="BK116" s="7">
        <v>10</v>
      </c>
      <c r="BL116" s="7">
        <v>100</v>
      </c>
      <c r="BM116" s="7">
        <v>100</v>
      </c>
      <c r="BN116" s="7">
        <v>100</v>
      </c>
      <c r="BO116" s="7">
        <v>100</v>
      </c>
      <c r="BP116" s="6">
        <v>10.382441389763001</v>
      </c>
      <c r="BQ116" s="6">
        <v>2.03343965942359</v>
      </c>
      <c r="BR116" s="6">
        <v>6.1336275507337703</v>
      </c>
      <c r="BS116" s="6">
        <v>8.8387068583449295</v>
      </c>
      <c r="BT116" s="6">
        <v>9.8648555858650795</v>
      </c>
      <c r="BU116" s="6">
        <v>75.025437112591206</v>
      </c>
      <c r="BV116" s="6">
        <v>99.065537238060202</v>
      </c>
      <c r="BW116" s="6">
        <v>99.724093159133304</v>
      </c>
      <c r="BX116" s="6">
        <v>100</v>
      </c>
      <c r="BY116" s="6" t="str">
        <f>TRIM(Table1[[#This Row],[LA_Name]])</f>
        <v>Northampton</v>
      </c>
      <c r="BZ116" s="7">
        <v>21.388700499109099</v>
      </c>
      <c r="CA116" s="7">
        <v>0.283241468423648</v>
      </c>
      <c r="CB116" s="7">
        <v>2.2226543236849201</v>
      </c>
      <c r="CC116" s="7">
        <v>4.5133053265001699</v>
      </c>
      <c r="CD116" s="7">
        <v>7.0615047534628799</v>
      </c>
      <c r="CE116" s="7">
        <v>21.2298453798089</v>
      </c>
      <c r="CF116" s="7">
        <v>83.388160974787596</v>
      </c>
      <c r="CG116" s="7">
        <v>99.646689430021397</v>
      </c>
      <c r="CH116" s="7">
        <v>100</v>
      </c>
      <c r="CI116" s="7">
        <v>15.1950812761587</v>
      </c>
      <c r="CJ116" s="7">
        <v>1.05470695822071</v>
      </c>
      <c r="CK116" s="7">
        <v>4.54852402324609</v>
      </c>
      <c r="CL116" s="7">
        <v>5.8657294989356998</v>
      </c>
      <c r="CM116" s="7">
        <v>6</v>
      </c>
      <c r="CN116" s="7">
        <v>55.152029663106497</v>
      </c>
      <c r="CO116" s="7">
        <v>100</v>
      </c>
      <c r="CP116" s="7">
        <v>100</v>
      </c>
      <c r="CQ116" s="7">
        <v>100</v>
      </c>
      <c r="CR116" s="7">
        <v>11.059637124256</v>
      </c>
      <c r="CS116" s="7">
        <v>2.73949899812109</v>
      </c>
      <c r="CT116" s="7">
        <v>6.7869961735092001</v>
      </c>
      <c r="CU116" s="7">
        <v>10</v>
      </c>
      <c r="CV116" s="7">
        <v>10</v>
      </c>
      <c r="CW116" s="7">
        <v>88.732763625241105</v>
      </c>
      <c r="CX116" s="7">
        <v>100</v>
      </c>
      <c r="CY116" s="7">
        <v>100</v>
      </c>
      <c r="CZ116" s="7">
        <v>100</v>
      </c>
      <c r="DA116" s="9">
        <v>30.3055182502547</v>
      </c>
      <c r="DB116" s="9">
        <v>0.25773569123402801</v>
      </c>
      <c r="DC116" s="9">
        <v>1.02201636714337</v>
      </c>
      <c r="DD116" s="9">
        <v>2.0294945661333701</v>
      </c>
      <c r="DE116" s="9">
        <v>3.25617513217935</v>
      </c>
      <c r="DF116" s="9">
        <v>18.957047172579099</v>
      </c>
      <c r="DG116" s="9">
        <v>58.304983177173398</v>
      </c>
      <c r="DH116" s="9">
        <v>79.7214714199215</v>
      </c>
      <c r="DI116" s="9">
        <v>91.2015680497381</v>
      </c>
    </row>
    <row r="117" spans="1:113">
      <c r="A117" s="5" t="s">
        <v>275</v>
      </c>
      <c r="B117" s="5" t="s">
        <v>346</v>
      </c>
      <c r="C117" s="5" t="s">
        <v>347</v>
      </c>
      <c r="D117" s="6">
        <v>68219</v>
      </c>
      <c r="E117" s="7">
        <v>21.408053209643601</v>
      </c>
      <c r="F117" s="7">
        <v>0.87263079200809202</v>
      </c>
      <c r="G117" s="7">
        <v>3.2626687579706499</v>
      </c>
      <c r="H117" s="7">
        <v>6.3275480438001104</v>
      </c>
      <c r="I117" s="7">
        <v>8.0936835778888607</v>
      </c>
      <c r="J117" s="7">
        <v>53.3004001817675</v>
      </c>
      <c r="K117" s="7">
        <v>78.4356264383823</v>
      </c>
      <c r="L117" s="7">
        <v>83.9560826162799</v>
      </c>
      <c r="M117" s="7">
        <v>92.761547369501201</v>
      </c>
      <c r="N117" s="7">
        <v>13.672680194673701</v>
      </c>
      <c r="O117" s="7">
        <v>1.6079537958633201</v>
      </c>
      <c r="P117" s="7">
        <v>4.5992905202363001</v>
      </c>
      <c r="Q117" s="7">
        <v>7.9556135387501996</v>
      </c>
      <c r="R117" s="7">
        <v>9.9726469165481806</v>
      </c>
      <c r="S117" s="7">
        <v>61.648514343511302</v>
      </c>
      <c r="T117" s="7">
        <v>97.902343921781295</v>
      </c>
      <c r="U117" s="7">
        <v>100</v>
      </c>
      <c r="V117" s="7">
        <v>100</v>
      </c>
      <c r="W117" s="7">
        <v>8.7990199190765903</v>
      </c>
      <c r="X117" s="7">
        <v>4.8128820416599503</v>
      </c>
      <c r="Y117" s="7">
        <v>10</v>
      </c>
      <c r="Z117" s="7">
        <v>10</v>
      </c>
      <c r="AA117" s="7">
        <v>10</v>
      </c>
      <c r="AB117" s="7">
        <v>98.466702824726298</v>
      </c>
      <c r="AC117" s="7">
        <v>100</v>
      </c>
      <c r="AD117" s="7">
        <v>100</v>
      </c>
      <c r="AE117" s="7">
        <v>100</v>
      </c>
      <c r="AF117" s="6">
        <v>27.8453878317193</v>
      </c>
      <c r="AG117" s="6">
        <v>0.77089960274996705</v>
      </c>
      <c r="AH117" s="6">
        <v>1.5447309400606899</v>
      </c>
      <c r="AI117" s="6">
        <v>2.22870461308433</v>
      </c>
      <c r="AJ117" s="6">
        <v>3.1942860493410898</v>
      </c>
      <c r="AK117" s="6">
        <v>48.188920975094902</v>
      </c>
      <c r="AL117" s="6">
        <v>61.114938653454303</v>
      </c>
      <c r="AM117" s="6">
        <v>71.735147099781599</v>
      </c>
      <c r="AN117" s="6">
        <v>86.455386329321797</v>
      </c>
      <c r="AO117" s="6">
        <v>17.753329586514798</v>
      </c>
      <c r="AP117" s="7">
        <v>0.69959981823245698</v>
      </c>
      <c r="AQ117" s="7">
        <v>3.0418065348363399</v>
      </c>
      <c r="AR117" s="7">
        <v>6.7243436579252096</v>
      </c>
      <c r="AS117" s="7">
        <v>8.1865462701007008</v>
      </c>
      <c r="AT117" s="7">
        <v>54.857151233527297</v>
      </c>
      <c r="AU117" s="7">
        <v>85.348656532637506</v>
      </c>
      <c r="AV117" s="7">
        <v>93.383075096380793</v>
      </c>
      <c r="AW117" s="7">
        <v>98.098770137351806</v>
      </c>
      <c r="AX117" s="7">
        <v>12.346934869758099</v>
      </c>
      <c r="AY117" s="7">
        <v>1.22394054442311</v>
      </c>
      <c r="AZ117" s="7">
        <v>4.6983098550257303</v>
      </c>
      <c r="BA117" s="7">
        <v>8.9672671836292004</v>
      </c>
      <c r="BB117" s="7">
        <v>9.9638517128659192</v>
      </c>
      <c r="BC117" s="7">
        <v>68.788753866224994</v>
      </c>
      <c r="BD117" s="7">
        <v>98.257083803632398</v>
      </c>
      <c r="BE117" s="7">
        <v>100</v>
      </c>
      <c r="BF117" s="7">
        <v>100</v>
      </c>
      <c r="BG117" s="7">
        <v>8.5594696536081099</v>
      </c>
      <c r="BH117" s="7">
        <v>5.2759641742036703</v>
      </c>
      <c r="BI117" s="7">
        <v>10</v>
      </c>
      <c r="BJ117" s="7">
        <v>10</v>
      </c>
      <c r="BK117" s="7">
        <v>10</v>
      </c>
      <c r="BL117" s="7">
        <v>97.771881733827797</v>
      </c>
      <c r="BM117" s="7">
        <v>100</v>
      </c>
      <c r="BN117" s="7">
        <v>100</v>
      </c>
      <c r="BO117" s="7">
        <v>100</v>
      </c>
      <c r="BP117" s="6">
        <v>23.149562425122301</v>
      </c>
      <c r="BQ117" s="6">
        <v>0.59223969861768699</v>
      </c>
      <c r="BR117" s="6">
        <v>1.1761092950644201</v>
      </c>
      <c r="BS117" s="6">
        <v>1.81250091616705</v>
      </c>
      <c r="BT117" s="6">
        <v>2.9005995397176698</v>
      </c>
      <c r="BU117" s="6">
        <v>49.408522552368098</v>
      </c>
      <c r="BV117" s="6">
        <v>67.076620882745303</v>
      </c>
      <c r="BW117" s="6">
        <v>82.647063134903803</v>
      </c>
      <c r="BX117" s="6">
        <v>94.939826148140597</v>
      </c>
      <c r="BY117" s="6" t="str">
        <f>TRIM(Table1[[#This Row],[LA_Name]])</f>
        <v>South Northamptonshire</v>
      </c>
      <c r="BZ117" s="7">
        <v>54.631285456425303</v>
      </c>
      <c r="CA117" s="7">
        <v>2.6971957958926399E-3</v>
      </c>
      <c r="CB117" s="7">
        <v>0.25336050074026301</v>
      </c>
      <c r="CC117" s="7">
        <v>1.21655257333001</v>
      </c>
      <c r="CD117" s="7">
        <v>3.0570515545522499</v>
      </c>
      <c r="CE117" s="7">
        <v>0.26971957958926401</v>
      </c>
      <c r="CF117" s="7">
        <v>23.382048989284499</v>
      </c>
      <c r="CG117" s="7">
        <v>48.829504976619397</v>
      </c>
      <c r="CH117" s="7">
        <v>71.877336225978098</v>
      </c>
      <c r="CI117" s="7">
        <v>42.042576222088499</v>
      </c>
      <c r="CJ117" s="7">
        <v>1.020243627142E-2</v>
      </c>
      <c r="CK117" s="7">
        <v>0.489379791553673</v>
      </c>
      <c r="CL117" s="7">
        <v>1.75775077324499</v>
      </c>
      <c r="CM117" s="7">
        <v>3.36478107272168</v>
      </c>
      <c r="CN117" s="7">
        <v>1.0202436271419999</v>
      </c>
      <c r="CO117" s="7">
        <v>28.399712690013001</v>
      </c>
      <c r="CP117" s="7">
        <v>55.462554420322803</v>
      </c>
      <c r="CQ117" s="7">
        <v>82.805376801184394</v>
      </c>
      <c r="CR117" s="7">
        <v>17.3558177680009</v>
      </c>
      <c r="CS117" s="7">
        <v>0.39340946070742799</v>
      </c>
      <c r="CT117" s="7">
        <v>6.8093199841686296</v>
      </c>
      <c r="CU117" s="7">
        <v>9.9145252788812499</v>
      </c>
      <c r="CV117" s="7">
        <v>10</v>
      </c>
      <c r="CW117" s="7">
        <v>28.750054970023001</v>
      </c>
      <c r="CX117" s="7">
        <v>100</v>
      </c>
      <c r="CY117" s="7">
        <v>100</v>
      </c>
      <c r="CZ117" s="7">
        <v>100</v>
      </c>
      <c r="DA117" s="9">
        <v>97.074091764572103</v>
      </c>
      <c r="DB117" s="9">
        <v>0</v>
      </c>
      <c r="DC117" s="9">
        <v>9.8506281241296408E-3</v>
      </c>
      <c r="DD117" s="9">
        <v>6.9687330509095702E-2</v>
      </c>
      <c r="DE117" s="9">
        <v>0.163033758923467</v>
      </c>
      <c r="DF117" s="9">
        <v>0</v>
      </c>
      <c r="DG117" s="9">
        <v>0.98506281241296401</v>
      </c>
      <c r="DH117" s="9">
        <v>6.7224673478063304</v>
      </c>
      <c r="DI117" s="9">
        <v>16.057110189243499</v>
      </c>
    </row>
    <row r="118" spans="1:113">
      <c r="A118" s="5" t="s">
        <v>275</v>
      </c>
      <c r="B118" s="5" t="s">
        <v>348</v>
      </c>
      <c r="C118" s="5" t="s">
        <v>349</v>
      </c>
      <c r="D118" s="6">
        <v>56442</v>
      </c>
      <c r="E118" s="7">
        <v>8.8933119038770396</v>
      </c>
      <c r="F118" s="7">
        <v>2.5588214450232099</v>
      </c>
      <c r="G118" s="7">
        <v>8.66404450586443</v>
      </c>
      <c r="H118" s="7">
        <v>9.8443534956238299</v>
      </c>
      <c r="I118" s="7">
        <v>9.9561496757733607</v>
      </c>
      <c r="J118" s="7">
        <v>86.292122887211605</v>
      </c>
      <c r="K118" s="7">
        <v>98.208780695227006</v>
      </c>
      <c r="L118" s="7">
        <v>99.512774175259594</v>
      </c>
      <c r="M118" s="7">
        <v>100</v>
      </c>
      <c r="N118" s="7">
        <v>8.85471440088123</v>
      </c>
      <c r="O118" s="7">
        <v>6.1328974876864804</v>
      </c>
      <c r="P118" s="7">
        <v>9.5622231671450297</v>
      </c>
      <c r="Q118" s="7">
        <v>10</v>
      </c>
      <c r="R118" s="7">
        <v>10</v>
      </c>
      <c r="S118" s="7">
        <v>91.3486410828815</v>
      </c>
      <c r="T118" s="7">
        <v>100</v>
      </c>
      <c r="U118" s="7">
        <v>100</v>
      </c>
      <c r="V118" s="7">
        <v>100</v>
      </c>
      <c r="W118" s="7">
        <v>7.1141896177912098</v>
      </c>
      <c r="X118" s="7">
        <v>9.5516459374224905</v>
      </c>
      <c r="Y118" s="7">
        <v>10</v>
      </c>
      <c r="Z118" s="7">
        <v>10</v>
      </c>
      <c r="AA118" s="7">
        <v>10</v>
      </c>
      <c r="AB118" s="7">
        <v>100</v>
      </c>
      <c r="AC118" s="7">
        <v>100</v>
      </c>
      <c r="AD118" s="7">
        <v>100</v>
      </c>
      <c r="AE118" s="7">
        <v>100</v>
      </c>
      <c r="AF118" s="6">
        <v>11.2409705576628</v>
      </c>
      <c r="AG118" s="6">
        <v>2.2962333014421898</v>
      </c>
      <c r="AH118" s="6">
        <v>6.1174657170192397</v>
      </c>
      <c r="AI118" s="6">
        <v>7.3577477764785097</v>
      </c>
      <c r="AJ118" s="6">
        <v>8.2387583714255292</v>
      </c>
      <c r="AK118" s="6">
        <v>81.042486091917397</v>
      </c>
      <c r="AL118" s="6">
        <v>90.259026965734705</v>
      </c>
      <c r="AM118" s="6">
        <v>96.252790475178102</v>
      </c>
      <c r="AN118" s="6">
        <v>100</v>
      </c>
      <c r="AO118" s="6">
        <v>9.6912542029580102</v>
      </c>
      <c r="AP118" s="7">
        <v>1.76544062931859</v>
      </c>
      <c r="AQ118" s="7">
        <v>7.7392190212961998</v>
      </c>
      <c r="AR118" s="7">
        <v>9.8081570461712904</v>
      </c>
      <c r="AS118" s="7">
        <v>9.9467595053329099</v>
      </c>
      <c r="AT118" s="7">
        <v>82.024024662485402</v>
      </c>
      <c r="AU118" s="7">
        <v>99.5216328266185</v>
      </c>
      <c r="AV118" s="7">
        <v>100</v>
      </c>
      <c r="AW118" s="7">
        <v>100</v>
      </c>
      <c r="AX118" s="7">
        <v>9.2463652793531708</v>
      </c>
      <c r="AY118" s="7">
        <v>4.53458417490521</v>
      </c>
      <c r="AZ118" s="7">
        <v>9.49076928528401</v>
      </c>
      <c r="BA118" s="7">
        <v>10</v>
      </c>
      <c r="BB118" s="7">
        <v>10</v>
      </c>
      <c r="BC118" s="7">
        <v>89.766485950178904</v>
      </c>
      <c r="BD118" s="7">
        <v>100</v>
      </c>
      <c r="BE118" s="7">
        <v>100</v>
      </c>
      <c r="BF118" s="7">
        <v>100</v>
      </c>
      <c r="BG118" s="7">
        <v>7.3572416031057797</v>
      </c>
      <c r="BH118" s="7">
        <v>9.4510293752879093</v>
      </c>
      <c r="BI118" s="7">
        <v>10</v>
      </c>
      <c r="BJ118" s="7">
        <v>10</v>
      </c>
      <c r="BK118" s="7">
        <v>10</v>
      </c>
      <c r="BL118" s="7">
        <v>100</v>
      </c>
      <c r="BM118" s="7">
        <v>100</v>
      </c>
      <c r="BN118" s="7">
        <v>100</v>
      </c>
      <c r="BO118" s="7">
        <v>100</v>
      </c>
      <c r="BP118" s="6">
        <v>13.101910090573</v>
      </c>
      <c r="BQ118" s="6">
        <v>1.5416888132950599</v>
      </c>
      <c r="BR118" s="6">
        <v>4.3409340561992797</v>
      </c>
      <c r="BS118" s="6">
        <v>6.9296977428156303</v>
      </c>
      <c r="BT118" s="6">
        <v>8.2351086070656603</v>
      </c>
      <c r="BU118" s="6">
        <v>75.711349704121005</v>
      </c>
      <c r="BV118" s="6">
        <v>89.288118776797404</v>
      </c>
      <c r="BW118" s="6">
        <v>94.631657276496199</v>
      </c>
      <c r="BX118" s="6">
        <v>99.273590588568794</v>
      </c>
      <c r="BY118" s="6" t="str">
        <f>TRIM(Table1[[#This Row],[LA_Name]])</f>
        <v>Wellingborough</v>
      </c>
      <c r="BZ118" s="7">
        <v>40.371565776241098</v>
      </c>
      <c r="CA118" s="7">
        <v>0</v>
      </c>
      <c r="CB118" s="7">
        <v>0.113071825945218</v>
      </c>
      <c r="CC118" s="7">
        <v>1.85941320293399</v>
      </c>
      <c r="CD118" s="7">
        <v>5.0777258070231399</v>
      </c>
      <c r="CE118" s="7">
        <v>0</v>
      </c>
      <c r="CF118" s="7">
        <v>10.079373516175901</v>
      </c>
      <c r="CG118" s="7">
        <v>71.567272598419606</v>
      </c>
      <c r="CH118" s="7">
        <v>94.954112185960796</v>
      </c>
      <c r="CI118" s="7">
        <v>46.931115472702402</v>
      </c>
      <c r="CJ118" s="7">
        <v>0</v>
      </c>
      <c r="CK118" s="7">
        <v>3.0030828106729E-2</v>
      </c>
      <c r="CL118" s="7">
        <v>0.65015414053364495</v>
      </c>
      <c r="CM118" s="7">
        <v>3.0144573190177502</v>
      </c>
      <c r="CN118" s="7">
        <v>0</v>
      </c>
      <c r="CO118" s="7">
        <v>2.0197725098330999</v>
      </c>
      <c r="CP118" s="7">
        <v>45.958683250062002</v>
      </c>
      <c r="CQ118" s="7">
        <v>87.208107437723697</v>
      </c>
      <c r="CR118" s="7">
        <v>21.917972163809999</v>
      </c>
      <c r="CS118" s="7">
        <v>1.9666206016796001E-2</v>
      </c>
      <c r="CT118" s="7">
        <v>7.3296481343680204</v>
      </c>
      <c r="CU118" s="7">
        <v>10</v>
      </c>
      <c r="CV118" s="7">
        <v>10</v>
      </c>
      <c r="CW118" s="7">
        <v>0.98331030083979998</v>
      </c>
      <c r="CX118" s="7">
        <v>100</v>
      </c>
      <c r="CY118" s="7">
        <v>100</v>
      </c>
      <c r="CZ118" s="7">
        <v>100</v>
      </c>
      <c r="DA118" s="9">
        <v>116.205102814287</v>
      </c>
      <c r="DB118" s="9">
        <v>0</v>
      </c>
      <c r="DC118" s="9">
        <v>0</v>
      </c>
      <c r="DD118" s="9">
        <v>9.8331030083980003E-3</v>
      </c>
      <c r="DE118" s="9">
        <v>9.8331030083980003E-3</v>
      </c>
      <c r="DF118" s="9">
        <v>0</v>
      </c>
      <c r="DG118" s="9">
        <v>0</v>
      </c>
      <c r="DH118" s="9">
        <v>0.98331030083979998</v>
      </c>
      <c r="DI118" s="9">
        <v>0.98331030083979998</v>
      </c>
    </row>
    <row r="119" spans="1:113">
      <c r="A119" s="5" t="s">
        <v>275</v>
      </c>
      <c r="B119" s="5" t="s">
        <v>350</v>
      </c>
      <c r="C119" s="5" t="s">
        <v>351</v>
      </c>
      <c r="D119" s="6">
        <v>598929</v>
      </c>
      <c r="E119" s="7">
        <v>9.1721731006153497</v>
      </c>
      <c r="F119" s="7">
        <v>2.5570376455306101</v>
      </c>
      <c r="G119" s="7">
        <v>8.6545583867203</v>
      </c>
      <c r="H119" s="7">
        <v>9.7901003290874193</v>
      </c>
      <c r="I119" s="7">
        <v>9.9196048279512308</v>
      </c>
      <c r="J119" s="7">
        <v>86.497063925774199</v>
      </c>
      <c r="K119" s="7">
        <v>99.019249360107807</v>
      </c>
      <c r="L119" s="7">
        <v>99.670578649556106</v>
      </c>
      <c r="M119" s="7">
        <v>99.817674549070105</v>
      </c>
      <c r="N119" s="7">
        <v>8.9187011540810506</v>
      </c>
      <c r="O119" s="7">
        <v>5.5997589029751396</v>
      </c>
      <c r="P119" s="7">
        <v>8.7649504365291993</v>
      </c>
      <c r="Q119" s="7">
        <v>9.7620385721846805</v>
      </c>
      <c r="R119" s="7">
        <v>9.9979229591487506</v>
      </c>
      <c r="S119" s="7">
        <v>92.1741976093994</v>
      </c>
      <c r="T119" s="7">
        <v>99.406774425683196</v>
      </c>
      <c r="U119" s="7">
        <v>100</v>
      </c>
      <c r="V119" s="7">
        <v>100</v>
      </c>
      <c r="W119" s="7">
        <v>7.1451890403643503</v>
      </c>
      <c r="X119" s="7">
        <v>8.7000161955757704</v>
      </c>
      <c r="Y119" s="7">
        <v>10</v>
      </c>
      <c r="Z119" s="7">
        <v>10</v>
      </c>
      <c r="AA119" s="7">
        <v>10</v>
      </c>
      <c r="AB119" s="7">
        <v>99.362361815841297</v>
      </c>
      <c r="AC119" s="7">
        <v>100</v>
      </c>
      <c r="AD119" s="7">
        <v>100</v>
      </c>
      <c r="AE119" s="7">
        <v>100</v>
      </c>
      <c r="AF119" s="6">
        <v>11.9414796486674</v>
      </c>
      <c r="AG119" s="6">
        <v>1.96085512640063</v>
      </c>
      <c r="AH119" s="6">
        <v>5.5082989803465896</v>
      </c>
      <c r="AI119" s="6">
        <v>7.3086442633433997</v>
      </c>
      <c r="AJ119" s="6">
        <v>8.0293023046137399</v>
      </c>
      <c r="AK119" s="6">
        <v>81.665105546734296</v>
      </c>
      <c r="AL119" s="6">
        <v>92.072850037316599</v>
      </c>
      <c r="AM119" s="6">
        <v>95.110438799924495</v>
      </c>
      <c r="AN119" s="6">
        <v>97.897079620455898</v>
      </c>
      <c r="AO119" s="6">
        <v>11.695150904334801</v>
      </c>
      <c r="AP119" s="7">
        <v>1.5283464317139399</v>
      </c>
      <c r="AQ119" s="7">
        <v>7.7466260608519502</v>
      </c>
      <c r="AR119" s="7">
        <v>9.7112178572084495</v>
      </c>
      <c r="AS119" s="7">
        <v>9.9057718026677595</v>
      </c>
      <c r="AT119" s="7">
        <v>71.843741077823907</v>
      </c>
      <c r="AU119" s="7">
        <v>98.868146307826095</v>
      </c>
      <c r="AV119" s="7">
        <v>99.593440958778103</v>
      </c>
      <c r="AW119" s="7">
        <v>99.840715677484297</v>
      </c>
      <c r="AX119" s="7">
        <v>10.1566241584966</v>
      </c>
      <c r="AY119" s="7">
        <v>3.6915026655914098</v>
      </c>
      <c r="AZ119" s="7">
        <v>8.2765536482621496</v>
      </c>
      <c r="BA119" s="7">
        <v>9.6501154560891198</v>
      </c>
      <c r="BB119" s="7">
        <v>9.9738583371317802</v>
      </c>
      <c r="BC119" s="7">
        <v>89.024241604597506</v>
      </c>
      <c r="BD119" s="7">
        <v>99.057317311400894</v>
      </c>
      <c r="BE119" s="7">
        <v>100</v>
      </c>
      <c r="BF119" s="7">
        <v>100</v>
      </c>
      <c r="BG119" s="7">
        <v>7.6729171564430096</v>
      </c>
      <c r="BH119" s="7">
        <v>7.97225213673073</v>
      </c>
      <c r="BI119" s="7">
        <v>9.9987427558191406</v>
      </c>
      <c r="BJ119" s="7">
        <v>10</v>
      </c>
      <c r="BK119" s="7">
        <v>10</v>
      </c>
      <c r="BL119" s="7">
        <v>99.257507985086704</v>
      </c>
      <c r="BM119" s="7">
        <v>100</v>
      </c>
      <c r="BN119" s="7">
        <v>100</v>
      </c>
      <c r="BO119" s="7">
        <v>100</v>
      </c>
      <c r="BP119" s="6">
        <v>15.7658991587389</v>
      </c>
      <c r="BQ119" s="6">
        <v>1.0940528843986499</v>
      </c>
      <c r="BR119" s="6">
        <v>3.54143980338237</v>
      </c>
      <c r="BS119" s="6">
        <v>5.9128778202424703</v>
      </c>
      <c r="BT119" s="6">
        <v>7.3131306047962301</v>
      </c>
      <c r="BU119" s="6">
        <v>63.0772595750081</v>
      </c>
      <c r="BV119" s="6">
        <v>89.196382208909597</v>
      </c>
      <c r="BW119" s="6">
        <v>94.9287812077892</v>
      </c>
      <c r="BX119" s="6">
        <v>97.7681828730951</v>
      </c>
      <c r="BY119" s="6" t="str">
        <f>TRIM(Table1[[#This Row],[LA_Name]])</f>
        <v>Nottinghamshire</v>
      </c>
      <c r="BZ119" s="7">
        <v>31.550093376608899</v>
      </c>
      <c r="CA119" s="7">
        <v>8.61220612125978E-2</v>
      </c>
      <c r="CB119" s="7">
        <v>1.21966209684286</v>
      </c>
      <c r="CC119" s="7">
        <v>3.8634946713216398</v>
      </c>
      <c r="CD119" s="7">
        <v>6.41574710858883</v>
      </c>
      <c r="CE119" s="7">
        <v>8.5255514426584806</v>
      </c>
      <c r="CF119" s="7">
        <v>53.1413573228212</v>
      </c>
      <c r="CG119" s="7">
        <v>86.2038739149382</v>
      </c>
      <c r="CH119" s="7">
        <v>96.379871403789096</v>
      </c>
      <c r="CI119" s="7">
        <v>29.014716636099401</v>
      </c>
      <c r="CJ119" s="7">
        <v>0.22433042981722401</v>
      </c>
      <c r="CK119" s="7">
        <v>2.31908790524419</v>
      </c>
      <c r="CL119" s="7">
        <v>4.2143559587196497</v>
      </c>
      <c r="CM119" s="7">
        <v>5.6101390982904498</v>
      </c>
      <c r="CN119" s="7">
        <v>20.209908019147498</v>
      </c>
      <c r="CO119" s="7">
        <v>62.933669934165799</v>
      </c>
      <c r="CP119" s="7">
        <v>82.251151639008995</v>
      </c>
      <c r="CQ119" s="7">
        <v>93.757022952637101</v>
      </c>
      <c r="CR119" s="7">
        <v>15.534124052345501</v>
      </c>
      <c r="CS119" s="7">
        <v>1.18812580456114</v>
      </c>
      <c r="CT119" s="7">
        <v>6.3681905534712797</v>
      </c>
      <c r="CU119" s="7">
        <v>9.9110979765548208</v>
      </c>
      <c r="CV119" s="7">
        <v>10</v>
      </c>
      <c r="CW119" s="7">
        <v>55.898612356389499</v>
      </c>
      <c r="CX119" s="7">
        <v>98.614860859968402</v>
      </c>
      <c r="CY119" s="7">
        <v>100</v>
      </c>
      <c r="CZ119" s="7">
        <v>100</v>
      </c>
      <c r="DA119" s="9">
        <v>66.841434833755898</v>
      </c>
      <c r="DB119" s="9">
        <v>4.7927216748562901E-2</v>
      </c>
      <c r="DC119" s="9">
        <v>0.206443501650446</v>
      </c>
      <c r="DD119" s="9">
        <v>0.62277832597853799</v>
      </c>
      <c r="DE119" s="9">
        <v>1.27532812737403</v>
      </c>
      <c r="DF119" s="9">
        <v>4.7927216748562804</v>
      </c>
      <c r="DG119" s="9">
        <v>18.360106122762499</v>
      </c>
      <c r="DH119" s="9">
        <v>38.181654252841298</v>
      </c>
      <c r="DI119" s="9">
        <v>52.274643572109497</v>
      </c>
    </row>
    <row r="120" spans="1:113">
      <c r="A120" s="5" t="s">
        <v>275</v>
      </c>
      <c r="B120" s="5" t="s">
        <v>352</v>
      </c>
      <c r="C120" s="5" t="s">
        <v>353</v>
      </c>
      <c r="D120" s="6">
        <v>92547</v>
      </c>
      <c r="E120" s="7">
        <v>7.4400832074311198</v>
      </c>
      <c r="F120" s="7">
        <v>2.8664246274865701</v>
      </c>
      <c r="G120" s="7">
        <v>9.8556517229083607</v>
      </c>
      <c r="H120" s="7">
        <v>10</v>
      </c>
      <c r="I120" s="7">
        <v>10</v>
      </c>
      <c r="J120" s="7">
        <v>94.689184954671703</v>
      </c>
      <c r="K120" s="7">
        <v>100</v>
      </c>
      <c r="L120" s="7">
        <v>100</v>
      </c>
      <c r="M120" s="7">
        <v>100</v>
      </c>
      <c r="N120" s="7">
        <v>7.7143184640287101</v>
      </c>
      <c r="O120" s="7">
        <v>6.4917717484089197</v>
      </c>
      <c r="P120" s="7">
        <v>10</v>
      </c>
      <c r="Q120" s="7">
        <v>10</v>
      </c>
      <c r="R120" s="7">
        <v>10</v>
      </c>
      <c r="S120" s="7">
        <v>98.927031670394499</v>
      </c>
      <c r="T120" s="7">
        <v>100</v>
      </c>
      <c r="U120" s="7">
        <v>100</v>
      </c>
      <c r="V120" s="7">
        <v>100</v>
      </c>
      <c r="W120" s="7">
        <v>6.6371846935928804</v>
      </c>
      <c r="X120" s="7">
        <v>9.9753854798102601</v>
      </c>
      <c r="Y120" s="7">
        <v>10</v>
      </c>
      <c r="Z120" s="7">
        <v>10</v>
      </c>
      <c r="AA120" s="7">
        <v>10</v>
      </c>
      <c r="AB120" s="7">
        <v>100</v>
      </c>
      <c r="AC120" s="7">
        <v>100</v>
      </c>
      <c r="AD120" s="7">
        <v>100</v>
      </c>
      <c r="AE120" s="7">
        <v>100</v>
      </c>
      <c r="AF120" s="6">
        <v>7.9608871192105504</v>
      </c>
      <c r="AG120" s="6">
        <v>2.1200579165180899</v>
      </c>
      <c r="AH120" s="6">
        <v>6.4008341707456804</v>
      </c>
      <c r="AI120" s="6">
        <v>9.2742066193393597</v>
      </c>
      <c r="AJ120" s="6">
        <v>9.9559899294412606</v>
      </c>
      <c r="AK120" s="6">
        <v>92.113196537975298</v>
      </c>
      <c r="AL120" s="6">
        <v>99.100997331085793</v>
      </c>
      <c r="AM120" s="6">
        <v>100</v>
      </c>
      <c r="AN120" s="6">
        <v>100</v>
      </c>
      <c r="AO120" s="6">
        <v>11.5415086119142</v>
      </c>
      <c r="AP120" s="7">
        <v>1.69358272013139</v>
      </c>
      <c r="AQ120" s="7">
        <v>8.7443028947453705</v>
      </c>
      <c r="AR120" s="7">
        <v>9.9942083481906501</v>
      </c>
      <c r="AS120" s="7">
        <v>10</v>
      </c>
      <c r="AT120" s="7">
        <v>69.371238397787096</v>
      </c>
      <c r="AU120" s="7">
        <v>100</v>
      </c>
      <c r="AV120" s="7">
        <v>100</v>
      </c>
      <c r="AW120" s="7">
        <v>100</v>
      </c>
      <c r="AX120" s="7">
        <v>10.0115849092853</v>
      </c>
      <c r="AY120" s="7">
        <v>3.9936680821636599</v>
      </c>
      <c r="AZ120" s="7">
        <v>9.9399224177985204</v>
      </c>
      <c r="BA120" s="7">
        <v>10</v>
      </c>
      <c r="BB120" s="7">
        <v>10</v>
      </c>
      <c r="BC120" s="7">
        <v>83.863334305812202</v>
      </c>
      <c r="BD120" s="7">
        <v>100</v>
      </c>
      <c r="BE120" s="7">
        <v>100</v>
      </c>
      <c r="BF120" s="7">
        <v>100</v>
      </c>
      <c r="BG120" s="7">
        <v>7.6923259509659996</v>
      </c>
      <c r="BH120" s="7">
        <v>9.2128323986731093</v>
      </c>
      <c r="BI120" s="7">
        <v>10</v>
      </c>
      <c r="BJ120" s="7">
        <v>10</v>
      </c>
      <c r="BK120" s="7">
        <v>10</v>
      </c>
      <c r="BL120" s="7">
        <v>100</v>
      </c>
      <c r="BM120" s="7">
        <v>100</v>
      </c>
      <c r="BN120" s="7">
        <v>100</v>
      </c>
      <c r="BO120" s="7">
        <v>100</v>
      </c>
      <c r="BP120" s="6">
        <v>14.8870908153039</v>
      </c>
      <c r="BQ120" s="6">
        <v>1.13554194085168</v>
      </c>
      <c r="BR120" s="6">
        <v>3.9662982052362601</v>
      </c>
      <c r="BS120" s="6">
        <v>6.7585659178579496</v>
      </c>
      <c r="BT120" s="6">
        <v>8.7926350935200492</v>
      </c>
      <c r="BU120" s="6">
        <v>62.752979567138901</v>
      </c>
      <c r="BV120" s="6">
        <v>86.413389953212999</v>
      </c>
      <c r="BW120" s="6">
        <v>99.662873999157199</v>
      </c>
      <c r="BX120" s="6">
        <v>100</v>
      </c>
      <c r="BY120" s="6" t="str">
        <f>TRIM(Table1[[#This Row],[LA_Name]])</f>
        <v>Ashfield</v>
      </c>
      <c r="BZ120" s="7">
        <v>25.0813592161084</v>
      </c>
      <c r="CA120" s="7">
        <v>0.17827698358671801</v>
      </c>
      <c r="CB120" s="7">
        <v>1.0982635849892499</v>
      </c>
      <c r="CC120" s="7">
        <v>3.4459679946405601</v>
      </c>
      <c r="CD120" s="7">
        <v>6.7199801182102101</v>
      </c>
      <c r="CE120" s="7">
        <v>17.8276983586718</v>
      </c>
      <c r="CF120" s="7">
        <v>70.852647843798295</v>
      </c>
      <c r="CG120" s="7">
        <v>94.766983262558497</v>
      </c>
      <c r="CH120" s="7">
        <v>100</v>
      </c>
      <c r="CI120" s="7">
        <v>20.680613190379098</v>
      </c>
      <c r="CJ120" s="7">
        <v>0.29939382151771499</v>
      </c>
      <c r="CK120" s="7">
        <v>1.9264914043675101</v>
      </c>
      <c r="CL120" s="7">
        <v>3.72529633591581</v>
      </c>
      <c r="CM120" s="7">
        <v>5.7325899272801903</v>
      </c>
      <c r="CN120" s="7">
        <v>29.9393821517715</v>
      </c>
      <c r="CO120" s="7">
        <v>76.880936172971602</v>
      </c>
      <c r="CP120" s="7">
        <v>100</v>
      </c>
      <c r="CQ120" s="7">
        <v>100</v>
      </c>
      <c r="CR120" s="7">
        <v>11.891363375597599</v>
      </c>
      <c r="CS120" s="7">
        <v>1.48077193209937</v>
      </c>
      <c r="CT120" s="7">
        <v>6.8303888834862301</v>
      </c>
      <c r="CU120" s="7">
        <v>10</v>
      </c>
      <c r="CV120" s="7">
        <v>10</v>
      </c>
      <c r="CW120" s="7">
        <v>78.674619382583998</v>
      </c>
      <c r="CX120" s="7">
        <v>100</v>
      </c>
      <c r="CY120" s="7">
        <v>100</v>
      </c>
      <c r="CZ120" s="7">
        <v>100</v>
      </c>
      <c r="DA120" s="9">
        <v>47.885297076303999</v>
      </c>
      <c r="DB120" s="9">
        <v>0.13375906296260301</v>
      </c>
      <c r="DC120" s="9">
        <v>0.31358120738651701</v>
      </c>
      <c r="DD120" s="9">
        <v>0.72565291149361899</v>
      </c>
      <c r="DE120" s="9">
        <v>1.2413800555393499</v>
      </c>
      <c r="DF120" s="9">
        <v>13.3759062962603</v>
      </c>
      <c r="DG120" s="9">
        <v>31.358120738651699</v>
      </c>
      <c r="DH120" s="9">
        <v>54.641425437885601</v>
      </c>
      <c r="DI120" s="9">
        <v>66.938960744270503</v>
      </c>
    </row>
    <row r="121" spans="1:113">
      <c r="A121" s="5" t="s">
        <v>275</v>
      </c>
      <c r="B121" s="5" t="s">
        <v>354</v>
      </c>
      <c r="C121" s="5" t="s">
        <v>355</v>
      </c>
      <c r="D121" s="6">
        <v>84751</v>
      </c>
      <c r="E121" s="7">
        <v>12.021730502750099</v>
      </c>
      <c r="F121" s="7">
        <v>1.39008389281542</v>
      </c>
      <c r="G121" s="7">
        <v>6.9352927989050297</v>
      </c>
      <c r="H121" s="7">
        <v>9.6148600016519001</v>
      </c>
      <c r="I121" s="7">
        <v>9.8323441611308393</v>
      </c>
      <c r="J121" s="7">
        <v>72.204457764510195</v>
      </c>
      <c r="K121" s="7">
        <v>98.021262285990701</v>
      </c>
      <c r="L121" s="7">
        <v>99.528029167797399</v>
      </c>
      <c r="M121" s="7">
        <v>99.743955823530101</v>
      </c>
      <c r="N121" s="7">
        <v>11.0827023832582</v>
      </c>
      <c r="O121" s="7">
        <v>3.0347842503333302</v>
      </c>
      <c r="P121" s="7">
        <v>7.0984059185142403</v>
      </c>
      <c r="Q121" s="7">
        <v>9.5471085886892197</v>
      </c>
      <c r="R121" s="7">
        <v>9.9917051126240395</v>
      </c>
      <c r="S121" s="7">
        <v>81.387830232091602</v>
      </c>
      <c r="T121" s="7">
        <v>96.855494330450398</v>
      </c>
      <c r="U121" s="7">
        <v>100</v>
      </c>
      <c r="V121" s="7">
        <v>100</v>
      </c>
      <c r="W121" s="7">
        <v>7.9808220256036098</v>
      </c>
      <c r="X121" s="7">
        <v>7.0867482389588297</v>
      </c>
      <c r="Y121" s="7">
        <v>10</v>
      </c>
      <c r="Z121" s="7">
        <v>10</v>
      </c>
      <c r="AA121" s="7">
        <v>10</v>
      </c>
      <c r="AB121" s="7">
        <v>97.734540005427704</v>
      </c>
      <c r="AC121" s="7">
        <v>100</v>
      </c>
      <c r="AD121" s="7">
        <v>100</v>
      </c>
      <c r="AE121" s="7">
        <v>100</v>
      </c>
      <c r="AF121" s="6">
        <v>18.9508072290215</v>
      </c>
      <c r="AG121" s="6">
        <v>1.0833382496961701</v>
      </c>
      <c r="AH121" s="6">
        <v>2.92234899883187</v>
      </c>
      <c r="AI121" s="6">
        <v>4.5077698198251301</v>
      </c>
      <c r="AJ121" s="6">
        <v>5.7965451735082798</v>
      </c>
      <c r="AK121" s="6">
        <v>63.913110169791501</v>
      </c>
      <c r="AL121" s="6">
        <v>80.534742952885495</v>
      </c>
      <c r="AM121" s="6">
        <v>87.551769300657199</v>
      </c>
      <c r="AN121" s="6">
        <v>93.203620016282997</v>
      </c>
      <c r="AO121" s="6">
        <v>11.893043230248599</v>
      </c>
      <c r="AP121" s="7">
        <v>1.3692345813028799</v>
      </c>
      <c r="AQ121" s="7">
        <v>6.8715295394744604</v>
      </c>
      <c r="AR121" s="7">
        <v>9.4024259300775199</v>
      </c>
      <c r="AS121" s="7">
        <v>9.8367806869535492</v>
      </c>
      <c r="AT121" s="7">
        <v>68.403912638199003</v>
      </c>
      <c r="AU121" s="7">
        <v>99.093816002171096</v>
      </c>
      <c r="AV121" s="7">
        <v>99.870208021144293</v>
      </c>
      <c r="AW121" s="7">
        <v>99.870208021144293</v>
      </c>
      <c r="AX121" s="7">
        <v>11.4872966525033</v>
      </c>
      <c r="AY121" s="7">
        <v>3.42792415428727</v>
      </c>
      <c r="AZ121" s="7">
        <v>6.69969675874031</v>
      </c>
      <c r="BA121" s="7">
        <v>8.7594482660971593</v>
      </c>
      <c r="BB121" s="7">
        <v>9.8361789241424908</v>
      </c>
      <c r="BC121" s="7">
        <v>80.374272869936604</v>
      </c>
      <c r="BD121" s="7">
        <v>98.008283088105202</v>
      </c>
      <c r="BE121" s="7">
        <v>100</v>
      </c>
      <c r="BF121" s="7">
        <v>100</v>
      </c>
      <c r="BG121" s="7">
        <v>8.0557529904666794</v>
      </c>
      <c r="BH121" s="7">
        <v>6.69288857948579</v>
      </c>
      <c r="BI121" s="7">
        <v>9.9911151490837895</v>
      </c>
      <c r="BJ121" s="7">
        <v>10</v>
      </c>
      <c r="BK121" s="7">
        <v>10</v>
      </c>
      <c r="BL121" s="7">
        <v>97.415959693690894</v>
      </c>
      <c r="BM121" s="7">
        <v>100</v>
      </c>
      <c r="BN121" s="7">
        <v>100</v>
      </c>
      <c r="BO121" s="7">
        <v>100</v>
      </c>
      <c r="BP121" s="6">
        <v>19.842542458896499</v>
      </c>
      <c r="BQ121" s="6">
        <v>1.06973369045793</v>
      </c>
      <c r="BR121" s="6">
        <v>3.2820969664074799</v>
      </c>
      <c r="BS121" s="6">
        <v>4.9873983787801901</v>
      </c>
      <c r="BT121" s="6">
        <v>5.8950572854597603</v>
      </c>
      <c r="BU121" s="6">
        <v>60.964472395606002</v>
      </c>
      <c r="BV121" s="6">
        <v>79.412632299323903</v>
      </c>
      <c r="BW121" s="6">
        <v>85.506955670139604</v>
      </c>
      <c r="BX121" s="6">
        <v>93.903316775023299</v>
      </c>
      <c r="BY121" s="6" t="str">
        <f>TRIM(Table1[[#This Row],[LA_Name]])</f>
        <v>Bassetlaw</v>
      </c>
      <c r="BZ121" s="7">
        <v>39.203670133853898</v>
      </c>
      <c r="CA121" s="7">
        <v>7.8630340644948102E-2</v>
      </c>
      <c r="CB121" s="7">
        <v>0.33222026878738897</v>
      </c>
      <c r="CC121" s="7">
        <v>0.89593043149933305</v>
      </c>
      <c r="CD121" s="7">
        <v>2.3366213967976801</v>
      </c>
      <c r="CE121" s="7">
        <v>7.8630340644948102</v>
      </c>
      <c r="CF121" s="7">
        <v>33.222026878738902</v>
      </c>
      <c r="CG121" s="7">
        <v>74.946608299607107</v>
      </c>
      <c r="CH121" s="7">
        <v>84.086323465209801</v>
      </c>
      <c r="CI121" s="7">
        <v>43.005712587012397</v>
      </c>
      <c r="CJ121" s="7">
        <v>0.15671791483286299</v>
      </c>
      <c r="CK121" s="7">
        <v>0.38876237448525702</v>
      </c>
      <c r="CL121" s="7">
        <v>0.48064329624429197</v>
      </c>
      <c r="CM121" s="7">
        <v>0.87178912343217196</v>
      </c>
      <c r="CN121" s="7">
        <v>15.671791483286301</v>
      </c>
      <c r="CO121" s="7">
        <v>38.8762374485257</v>
      </c>
      <c r="CP121" s="7">
        <v>48.064329624429199</v>
      </c>
      <c r="CQ121" s="7">
        <v>80.617337848521004</v>
      </c>
      <c r="CR121" s="7">
        <v>19.3091839688181</v>
      </c>
      <c r="CS121" s="7">
        <v>0.36334674517114801</v>
      </c>
      <c r="CT121" s="7">
        <v>1.7903741548772301</v>
      </c>
      <c r="CU121" s="7">
        <v>9.6576913546742809</v>
      </c>
      <c r="CV121" s="7">
        <v>10</v>
      </c>
      <c r="CW121" s="7">
        <v>36.334674517114799</v>
      </c>
      <c r="CX121" s="7">
        <v>90.781229720003296</v>
      </c>
      <c r="CY121" s="7">
        <v>100</v>
      </c>
      <c r="CZ121" s="7">
        <v>100</v>
      </c>
      <c r="DA121" s="9">
        <v>86.944007255769705</v>
      </c>
      <c r="DB121" s="9">
        <v>5.5845948720369097E-2</v>
      </c>
      <c r="DC121" s="9">
        <v>0.13524324196764601</v>
      </c>
      <c r="DD121" s="9">
        <v>0.24346615379169601</v>
      </c>
      <c r="DE121" s="9">
        <v>0.324220363181555</v>
      </c>
      <c r="DF121" s="9">
        <v>5.5845948720369103</v>
      </c>
      <c r="DG121" s="9">
        <v>13.524324196764599</v>
      </c>
      <c r="DH121" s="9">
        <v>24.346615379169599</v>
      </c>
      <c r="DI121" s="9">
        <v>32.422036318155499</v>
      </c>
    </row>
    <row r="122" spans="1:113">
      <c r="A122" s="5" t="s">
        <v>275</v>
      </c>
      <c r="B122" s="5" t="s">
        <v>356</v>
      </c>
      <c r="C122" s="5" t="s">
        <v>357</v>
      </c>
      <c r="D122" s="6">
        <v>83402</v>
      </c>
      <c r="E122" s="7">
        <v>8.0106750341258603</v>
      </c>
      <c r="F122" s="7">
        <v>2.65722644540898</v>
      </c>
      <c r="G122" s="7">
        <v>9.8570058271983907</v>
      </c>
      <c r="H122" s="7">
        <v>10</v>
      </c>
      <c r="I122" s="7">
        <v>10</v>
      </c>
      <c r="J122" s="7">
        <v>91.725618090693303</v>
      </c>
      <c r="K122" s="7">
        <v>100</v>
      </c>
      <c r="L122" s="7">
        <v>100</v>
      </c>
      <c r="M122" s="7">
        <v>100</v>
      </c>
      <c r="N122" s="7">
        <v>7.87634120553275</v>
      </c>
      <c r="O122" s="7">
        <v>6.7869475552144998</v>
      </c>
      <c r="P122" s="7">
        <v>10</v>
      </c>
      <c r="Q122" s="7">
        <v>10</v>
      </c>
      <c r="R122" s="7">
        <v>10</v>
      </c>
      <c r="S122" s="7">
        <v>100</v>
      </c>
      <c r="T122" s="7">
        <v>100</v>
      </c>
      <c r="U122" s="7">
        <v>100</v>
      </c>
      <c r="V122" s="7">
        <v>100</v>
      </c>
      <c r="W122" s="7">
        <v>6.82041736315864</v>
      </c>
      <c r="X122" s="7">
        <v>10</v>
      </c>
      <c r="Y122" s="7">
        <v>10</v>
      </c>
      <c r="Z122" s="7">
        <v>10</v>
      </c>
      <c r="AA122" s="7">
        <v>10</v>
      </c>
      <c r="AB122" s="7">
        <v>100</v>
      </c>
      <c r="AC122" s="7">
        <v>100</v>
      </c>
      <c r="AD122" s="7">
        <v>100</v>
      </c>
      <c r="AE122" s="7">
        <v>100</v>
      </c>
      <c r="AF122" s="6">
        <v>8.3874434620082692</v>
      </c>
      <c r="AG122" s="6">
        <v>2.0257188077024502</v>
      </c>
      <c r="AH122" s="6">
        <v>6.6392652454377599</v>
      </c>
      <c r="AI122" s="6">
        <v>9.6366034387664605</v>
      </c>
      <c r="AJ122" s="6">
        <v>10</v>
      </c>
      <c r="AK122" s="6">
        <v>87.605812810244402</v>
      </c>
      <c r="AL122" s="6">
        <v>100</v>
      </c>
      <c r="AM122" s="6">
        <v>100</v>
      </c>
      <c r="AN122" s="6">
        <v>100</v>
      </c>
      <c r="AO122" s="6">
        <v>9.9497502610933903</v>
      </c>
      <c r="AP122" s="7">
        <v>2.0325771564231099</v>
      </c>
      <c r="AQ122" s="7">
        <v>9.5233927243950998</v>
      </c>
      <c r="AR122" s="7">
        <v>10</v>
      </c>
      <c r="AS122" s="7">
        <v>10</v>
      </c>
      <c r="AT122" s="7">
        <v>81.1479341022997</v>
      </c>
      <c r="AU122" s="7">
        <v>100</v>
      </c>
      <c r="AV122" s="7">
        <v>100</v>
      </c>
      <c r="AW122" s="7">
        <v>100</v>
      </c>
      <c r="AX122" s="7">
        <v>8.8295350467949199</v>
      </c>
      <c r="AY122" s="7">
        <v>4.8554591017002</v>
      </c>
      <c r="AZ122" s="7">
        <v>9.9921224910673594</v>
      </c>
      <c r="BA122" s="7">
        <v>10</v>
      </c>
      <c r="BB122" s="7">
        <v>10</v>
      </c>
      <c r="BC122" s="7">
        <v>98.366945636795293</v>
      </c>
      <c r="BD122" s="7">
        <v>100</v>
      </c>
      <c r="BE122" s="7">
        <v>100</v>
      </c>
      <c r="BF122" s="7">
        <v>100</v>
      </c>
      <c r="BG122" s="7">
        <v>7.1646759108626199</v>
      </c>
      <c r="BH122" s="7">
        <v>9.9329752284117898</v>
      </c>
      <c r="BI122" s="7">
        <v>10</v>
      </c>
      <c r="BJ122" s="7">
        <v>10</v>
      </c>
      <c r="BK122" s="7">
        <v>10</v>
      </c>
      <c r="BL122" s="7">
        <v>100</v>
      </c>
      <c r="BM122" s="7">
        <v>100</v>
      </c>
      <c r="BN122" s="7">
        <v>100</v>
      </c>
      <c r="BO122" s="7">
        <v>100</v>
      </c>
      <c r="BP122" s="6">
        <v>11.384432037174999</v>
      </c>
      <c r="BQ122" s="6">
        <v>1.5350471211721499</v>
      </c>
      <c r="BR122" s="6">
        <v>4.7486631016042802</v>
      </c>
      <c r="BS122" s="6">
        <v>8.2721157766000797</v>
      </c>
      <c r="BT122" s="6">
        <v>9.8935637035083097</v>
      </c>
      <c r="BU122" s="6">
        <v>74.817150667849702</v>
      </c>
      <c r="BV122" s="6">
        <v>98.900505983069905</v>
      </c>
      <c r="BW122" s="6">
        <v>100</v>
      </c>
      <c r="BX122" s="6">
        <v>100</v>
      </c>
      <c r="BY122" s="6" t="str">
        <f>TRIM(Table1[[#This Row],[LA_Name]])</f>
        <v>Broxtowe</v>
      </c>
      <c r="BZ122" s="7">
        <v>29.872140759624301</v>
      </c>
      <c r="CA122" s="7">
        <v>4.7672717680631201E-2</v>
      </c>
      <c r="CB122" s="7">
        <v>1.8864655523848299</v>
      </c>
      <c r="CC122" s="7">
        <v>6.0209947003669004</v>
      </c>
      <c r="CD122" s="7">
        <v>9.4730941704035896</v>
      </c>
      <c r="CE122" s="7">
        <v>4.4183592719599103</v>
      </c>
      <c r="CF122" s="7">
        <v>52.4471835207789</v>
      </c>
      <c r="CG122" s="7">
        <v>94.831059207213301</v>
      </c>
      <c r="CH122" s="7">
        <v>100</v>
      </c>
      <c r="CI122" s="7">
        <v>28.3220878882459</v>
      </c>
      <c r="CJ122" s="7">
        <v>9.2959401453202598E-2</v>
      </c>
      <c r="CK122" s="7">
        <v>2.6459077719958799</v>
      </c>
      <c r="CL122" s="7">
        <v>7.4147862161578901</v>
      </c>
      <c r="CM122" s="7">
        <v>9.7120332845735096</v>
      </c>
      <c r="CN122" s="7">
        <v>7.76719982734227</v>
      </c>
      <c r="CO122" s="7">
        <v>61.791084146663103</v>
      </c>
      <c r="CP122" s="7">
        <v>93.711181986043499</v>
      </c>
      <c r="CQ122" s="7">
        <v>100</v>
      </c>
      <c r="CR122" s="7">
        <v>17.445099855669401</v>
      </c>
      <c r="CS122" s="7">
        <v>0.60011750317738199</v>
      </c>
      <c r="CT122" s="7">
        <v>9.5239682501618699</v>
      </c>
      <c r="CU122" s="7">
        <v>10</v>
      </c>
      <c r="CV122" s="7">
        <v>10</v>
      </c>
      <c r="CW122" s="7">
        <v>27.681590369535499</v>
      </c>
      <c r="CX122" s="7">
        <v>100</v>
      </c>
      <c r="CY122" s="7">
        <v>100</v>
      </c>
      <c r="CZ122" s="7">
        <v>100</v>
      </c>
      <c r="DA122" s="9">
        <v>73.506847521414898</v>
      </c>
      <c r="DB122" s="9">
        <v>0</v>
      </c>
      <c r="DC122" s="9">
        <v>0.101808110117263</v>
      </c>
      <c r="DD122" s="9">
        <v>0.46826215198676302</v>
      </c>
      <c r="DE122" s="9">
        <v>0.995251912424162</v>
      </c>
      <c r="DF122" s="9">
        <v>0</v>
      </c>
      <c r="DG122" s="9">
        <v>7.3223663701110304</v>
      </c>
      <c r="DH122" s="9">
        <v>22.961080070022302</v>
      </c>
      <c r="DI122" s="9">
        <v>34.965588355195301</v>
      </c>
    </row>
    <row r="123" spans="1:113">
      <c r="A123" s="5" t="s">
        <v>275</v>
      </c>
      <c r="B123" s="5" t="s">
        <v>358</v>
      </c>
      <c r="C123" s="5" t="s">
        <v>359</v>
      </c>
      <c r="D123" s="6">
        <v>85514</v>
      </c>
      <c r="E123" s="7">
        <v>6.7723380825988597</v>
      </c>
      <c r="F123" s="7">
        <v>4.3029328531000797</v>
      </c>
      <c r="G123" s="7">
        <v>9.6842739200598693</v>
      </c>
      <c r="H123" s="7">
        <v>9.9914399981289606</v>
      </c>
      <c r="I123" s="7">
        <v>10</v>
      </c>
      <c r="J123" s="7">
        <v>95.314217555020207</v>
      </c>
      <c r="K123" s="7">
        <v>100</v>
      </c>
      <c r="L123" s="7">
        <v>100</v>
      </c>
      <c r="M123" s="7">
        <v>100</v>
      </c>
      <c r="N123" s="7">
        <v>7.5322928381029799</v>
      </c>
      <c r="O123" s="7">
        <v>8.1743457211684607</v>
      </c>
      <c r="P123" s="7">
        <v>9.9005659891947495</v>
      </c>
      <c r="Q123" s="7">
        <v>10</v>
      </c>
      <c r="R123" s="7">
        <v>10</v>
      </c>
      <c r="S123" s="7">
        <v>97.855321935589501</v>
      </c>
      <c r="T123" s="7">
        <v>100</v>
      </c>
      <c r="U123" s="7">
        <v>100</v>
      </c>
      <c r="V123" s="7">
        <v>100</v>
      </c>
      <c r="W123" s="7">
        <v>6.5665632379588397</v>
      </c>
      <c r="X123" s="7">
        <v>9.6459410155062297</v>
      </c>
      <c r="Y123" s="7">
        <v>10</v>
      </c>
      <c r="Z123" s="7">
        <v>10</v>
      </c>
      <c r="AA123" s="7">
        <v>10</v>
      </c>
      <c r="AB123" s="7">
        <v>100</v>
      </c>
      <c r="AC123" s="7">
        <v>100</v>
      </c>
      <c r="AD123" s="7">
        <v>100</v>
      </c>
      <c r="AE123" s="7">
        <v>100</v>
      </c>
      <c r="AF123" s="6">
        <v>7.4390023746335103</v>
      </c>
      <c r="AG123" s="6">
        <v>3.3549594218490499</v>
      </c>
      <c r="AH123" s="6">
        <v>8.1764623336529691</v>
      </c>
      <c r="AI123" s="6">
        <v>8.7475851907289996</v>
      </c>
      <c r="AJ123" s="6">
        <v>9.2568819140725491</v>
      </c>
      <c r="AK123" s="6">
        <v>94.229015132025197</v>
      </c>
      <c r="AL123" s="6">
        <v>98.499660874242807</v>
      </c>
      <c r="AM123" s="6">
        <v>100</v>
      </c>
      <c r="AN123" s="6">
        <v>100</v>
      </c>
      <c r="AO123" s="6">
        <v>12.884906451637599</v>
      </c>
      <c r="AP123" s="7">
        <v>1.0978319339523399</v>
      </c>
      <c r="AQ123" s="7">
        <v>8.0926748836447793</v>
      </c>
      <c r="AR123" s="7">
        <v>9.9452136492270302</v>
      </c>
      <c r="AS123" s="7">
        <v>9.9867156255116107</v>
      </c>
      <c r="AT123" s="7">
        <v>61.262483336061898</v>
      </c>
      <c r="AU123" s="7">
        <v>99.401267628692395</v>
      </c>
      <c r="AV123" s="7">
        <v>99.833945318895204</v>
      </c>
      <c r="AW123" s="7">
        <v>100</v>
      </c>
      <c r="AX123" s="7">
        <v>10.4898897258298</v>
      </c>
      <c r="AY123" s="7">
        <v>3.7242089014664299</v>
      </c>
      <c r="AZ123" s="7">
        <v>9.2192857309914196</v>
      </c>
      <c r="BA123" s="7">
        <v>10</v>
      </c>
      <c r="BB123" s="7">
        <v>10</v>
      </c>
      <c r="BC123" s="7">
        <v>90.288139953691797</v>
      </c>
      <c r="BD123" s="7">
        <v>100</v>
      </c>
      <c r="BE123" s="7">
        <v>100</v>
      </c>
      <c r="BF123" s="7">
        <v>100</v>
      </c>
      <c r="BG123" s="7">
        <v>7.9172851175092802</v>
      </c>
      <c r="BH123" s="7">
        <v>8.6194892064457296</v>
      </c>
      <c r="BI123" s="7">
        <v>10</v>
      </c>
      <c r="BJ123" s="7">
        <v>10</v>
      </c>
      <c r="BK123" s="7">
        <v>10</v>
      </c>
      <c r="BL123" s="7">
        <v>100</v>
      </c>
      <c r="BM123" s="7">
        <v>100</v>
      </c>
      <c r="BN123" s="7">
        <v>100</v>
      </c>
      <c r="BO123" s="7">
        <v>100</v>
      </c>
      <c r="BP123" s="6">
        <v>17.0776760566369</v>
      </c>
      <c r="BQ123" s="6">
        <v>0.85534532357274795</v>
      </c>
      <c r="BR123" s="6">
        <v>3.4303271978857302</v>
      </c>
      <c r="BS123" s="6">
        <v>6.2221624529316797</v>
      </c>
      <c r="BT123" s="6">
        <v>8.1159342329910906</v>
      </c>
      <c r="BU123" s="6">
        <v>51.795027714760202</v>
      </c>
      <c r="BV123" s="6">
        <v>89.188904740744206</v>
      </c>
      <c r="BW123" s="6">
        <v>93.948359332974704</v>
      </c>
      <c r="BX123" s="6">
        <v>99.455059990177006</v>
      </c>
      <c r="BY123" s="6" t="str">
        <f>TRIM(Table1[[#This Row],[LA_Name]])</f>
        <v>Gedling</v>
      </c>
      <c r="BZ123" s="7">
        <v>26.373513139140101</v>
      </c>
      <c r="CA123" s="7">
        <v>7.1918048506677296E-2</v>
      </c>
      <c r="CB123" s="7">
        <v>1.7989101199803501</v>
      </c>
      <c r="CC123" s="7">
        <v>7.1567228757864196</v>
      </c>
      <c r="CD123" s="7">
        <v>9.7207240919615501</v>
      </c>
      <c r="CE123" s="7">
        <v>7.1918048506677303</v>
      </c>
      <c r="CF123" s="7">
        <v>69.462310264985803</v>
      </c>
      <c r="CG123" s="7">
        <v>98.347638983090505</v>
      </c>
      <c r="CH123" s="7">
        <v>100</v>
      </c>
      <c r="CI123" s="7">
        <v>19.567598145673401</v>
      </c>
      <c r="CJ123" s="7">
        <v>0.24960825128049199</v>
      </c>
      <c r="CK123" s="7">
        <v>5.3217835676029699</v>
      </c>
      <c r="CL123" s="7">
        <v>8.7389316369249492</v>
      </c>
      <c r="CM123" s="7">
        <v>9.6951142502982002</v>
      </c>
      <c r="CN123" s="7">
        <v>24.960825128049201</v>
      </c>
      <c r="CO123" s="7">
        <v>88.399560305914804</v>
      </c>
      <c r="CP123" s="7">
        <v>99.785999953224007</v>
      </c>
      <c r="CQ123" s="7">
        <v>100</v>
      </c>
      <c r="CR123" s="7">
        <v>12.6609934057771</v>
      </c>
      <c r="CS123" s="7">
        <v>1.88640456533433</v>
      </c>
      <c r="CT123" s="7">
        <v>9.6409944570479702</v>
      </c>
      <c r="CU123" s="7">
        <v>10</v>
      </c>
      <c r="CV123" s="7">
        <v>10</v>
      </c>
      <c r="CW123" s="7">
        <v>82.094160020581398</v>
      </c>
      <c r="CX123" s="7">
        <v>100</v>
      </c>
      <c r="CY123" s="7">
        <v>100</v>
      </c>
      <c r="CZ123" s="7">
        <v>100</v>
      </c>
      <c r="DA123" s="9">
        <v>47.461513253756003</v>
      </c>
      <c r="DB123" s="9">
        <v>4.3899244568140899E-2</v>
      </c>
      <c r="DC123" s="9">
        <v>0.194798512524265</v>
      </c>
      <c r="DD123" s="9">
        <v>0.81751526065907298</v>
      </c>
      <c r="DE123" s="9">
        <v>2.2752648689103498</v>
      </c>
      <c r="DF123" s="9">
        <v>4.3899244568140903</v>
      </c>
      <c r="DG123" s="9">
        <v>19.479851252426499</v>
      </c>
      <c r="DH123" s="9">
        <v>59.640526697382903</v>
      </c>
      <c r="DI123" s="9">
        <v>81.305984984914701</v>
      </c>
    </row>
    <row r="124" spans="1:113">
      <c r="A124" s="5" t="s">
        <v>275</v>
      </c>
      <c r="B124" s="5" t="s">
        <v>360</v>
      </c>
      <c r="C124" s="5" t="s">
        <v>361</v>
      </c>
      <c r="D124" s="6">
        <v>79164</v>
      </c>
      <c r="E124" s="7">
        <v>8.0394476060721907</v>
      </c>
      <c r="F124" s="7">
        <v>2.40856955181648</v>
      </c>
      <c r="G124" s="7">
        <v>9.6046182608256299</v>
      </c>
      <c r="H124" s="7">
        <v>10</v>
      </c>
      <c r="I124" s="7">
        <v>10</v>
      </c>
      <c r="J124" s="7">
        <v>94.210752362184806</v>
      </c>
      <c r="K124" s="7">
        <v>100</v>
      </c>
      <c r="L124" s="7">
        <v>100</v>
      </c>
      <c r="M124" s="7">
        <v>100</v>
      </c>
      <c r="N124" s="7">
        <v>8.0013616998442192</v>
      </c>
      <c r="O124" s="7">
        <v>7.0036127532716899</v>
      </c>
      <c r="P124" s="7">
        <v>9.9010408771663894</v>
      </c>
      <c r="Q124" s="7">
        <v>10</v>
      </c>
      <c r="R124" s="7">
        <v>10</v>
      </c>
      <c r="S124" s="7">
        <v>99.360820575008802</v>
      </c>
      <c r="T124" s="7">
        <v>100</v>
      </c>
      <c r="U124" s="7">
        <v>100</v>
      </c>
      <c r="V124" s="7">
        <v>100</v>
      </c>
      <c r="W124" s="7">
        <v>6.8034201331873696</v>
      </c>
      <c r="X124" s="7">
        <v>9.8650522964984102</v>
      </c>
      <c r="Y124" s="7">
        <v>10</v>
      </c>
      <c r="Z124" s="7">
        <v>10</v>
      </c>
      <c r="AA124" s="7">
        <v>10</v>
      </c>
      <c r="AB124" s="7">
        <v>100</v>
      </c>
      <c r="AC124" s="7">
        <v>100</v>
      </c>
      <c r="AD124" s="7">
        <v>100</v>
      </c>
      <c r="AE124" s="7">
        <v>100</v>
      </c>
      <c r="AF124" s="6">
        <v>8.6324310545251901</v>
      </c>
      <c r="AG124" s="6">
        <v>2.0156763175180599</v>
      </c>
      <c r="AH124" s="6">
        <v>6.8436031529483099</v>
      </c>
      <c r="AI124" s="6">
        <v>8.9922186852609798</v>
      </c>
      <c r="AJ124" s="6">
        <v>9.5067581223788604</v>
      </c>
      <c r="AK124" s="6">
        <v>89.529331514324696</v>
      </c>
      <c r="AL124" s="6">
        <v>99.108180486079505</v>
      </c>
      <c r="AM124" s="6">
        <v>100</v>
      </c>
      <c r="AN124" s="6">
        <v>100</v>
      </c>
      <c r="AO124" s="6">
        <v>11.0241867600663</v>
      </c>
      <c r="AP124" s="7">
        <v>1.30222070638169</v>
      </c>
      <c r="AQ124" s="7">
        <v>8.0257819210752395</v>
      </c>
      <c r="AR124" s="7">
        <v>9.95806174523773</v>
      </c>
      <c r="AS124" s="7">
        <v>10</v>
      </c>
      <c r="AT124" s="7">
        <v>76.528472538022299</v>
      </c>
      <c r="AU124" s="7">
        <v>100</v>
      </c>
      <c r="AV124" s="7">
        <v>100</v>
      </c>
      <c r="AW124" s="7">
        <v>100</v>
      </c>
      <c r="AX124" s="7">
        <v>9.08152368004124</v>
      </c>
      <c r="AY124" s="7">
        <v>3.9778182001920102</v>
      </c>
      <c r="AZ124" s="7">
        <v>9.4483477338183999</v>
      </c>
      <c r="BA124" s="7">
        <v>10</v>
      </c>
      <c r="BB124" s="7">
        <v>10</v>
      </c>
      <c r="BC124" s="7">
        <v>98.926279622050401</v>
      </c>
      <c r="BD124" s="7">
        <v>100</v>
      </c>
      <c r="BE124" s="7">
        <v>100</v>
      </c>
      <c r="BF124" s="7">
        <v>100</v>
      </c>
      <c r="BG124" s="7">
        <v>7.2630761509612398</v>
      </c>
      <c r="BH124" s="7">
        <v>9.2709059673588996</v>
      </c>
      <c r="BI124" s="7">
        <v>10</v>
      </c>
      <c r="BJ124" s="7">
        <v>10</v>
      </c>
      <c r="BK124" s="7">
        <v>10</v>
      </c>
      <c r="BL124" s="7">
        <v>100</v>
      </c>
      <c r="BM124" s="7">
        <v>100</v>
      </c>
      <c r="BN124" s="7">
        <v>100</v>
      </c>
      <c r="BO124" s="7">
        <v>100</v>
      </c>
      <c r="BP124" s="6">
        <v>12.3245016486285</v>
      </c>
      <c r="BQ124" s="6">
        <v>0.90608104694052805</v>
      </c>
      <c r="BR124" s="6">
        <v>3.6857030973674898</v>
      </c>
      <c r="BS124" s="6">
        <v>7.36034055883988</v>
      </c>
      <c r="BT124" s="6">
        <v>8.8996639886817199</v>
      </c>
      <c r="BU124" s="6">
        <v>66.371077762619393</v>
      </c>
      <c r="BV124" s="6">
        <v>98.926279622050401</v>
      </c>
      <c r="BW124" s="6">
        <v>100</v>
      </c>
      <c r="BX124" s="6">
        <v>100</v>
      </c>
      <c r="BY124" s="6" t="str">
        <f>TRIM(Table1[[#This Row],[LA_Name]])</f>
        <v>Mansfield</v>
      </c>
      <c r="BZ124" s="7">
        <v>31.910855793861401</v>
      </c>
      <c r="CA124" s="7">
        <v>5.57197716133596E-2</v>
      </c>
      <c r="CB124" s="7">
        <v>0.73659744328230004</v>
      </c>
      <c r="CC124" s="7">
        <v>1.9646556515587901</v>
      </c>
      <c r="CD124" s="7">
        <v>4.1316128543277202</v>
      </c>
      <c r="CE124" s="7">
        <v>5.5719771613359601</v>
      </c>
      <c r="CF124" s="7">
        <v>42.351321307665103</v>
      </c>
      <c r="CG124" s="7">
        <v>89.562174725885498</v>
      </c>
      <c r="CH124" s="7">
        <v>100</v>
      </c>
      <c r="CI124" s="7">
        <v>20.591173660628101</v>
      </c>
      <c r="CJ124" s="7">
        <v>0.32397301803850198</v>
      </c>
      <c r="CK124" s="7">
        <v>1.52585771310192</v>
      </c>
      <c r="CL124" s="7">
        <v>2.69092011520388</v>
      </c>
      <c r="CM124" s="7">
        <v>3.7981532009499301</v>
      </c>
      <c r="CN124" s="7">
        <v>29.428780758930799</v>
      </c>
      <c r="CO124" s="7">
        <v>88.809307260876196</v>
      </c>
      <c r="CP124" s="7">
        <v>96.601990803900804</v>
      </c>
      <c r="CQ124" s="7">
        <v>100</v>
      </c>
      <c r="CR124" s="7">
        <v>12.466523310840699</v>
      </c>
      <c r="CS124" s="7">
        <v>1.2852432924056401</v>
      </c>
      <c r="CT124" s="7">
        <v>4.27640088929311</v>
      </c>
      <c r="CU124" s="7">
        <v>9.8190086402910399</v>
      </c>
      <c r="CV124" s="7">
        <v>10</v>
      </c>
      <c r="CW124" s="7">
        <v>80.484816330655306</v>
      </c>
      <c r="CX124" s="7">
        <v>100</v>
      </c>
      <c r="CY124" s="7">
        <v>100</v>
      </c>
      <c r="CZ124" s="7">
        <v>100</v>
      </c>
      <c r="DA124" s="9">
        <v>49.639896019943102</v>
      </c>
      <c r="DB124" s="9">
        <v>4.4136223535950703E-2</v>
      </c>
      <c r="DC124" s="9">
        <v>0.30469657925319599</v>
      </c>
      <c r="DD124" s="9">
        <v>0.66621191450659401</v>
      </c>
      <c r="DE124" s="9">
        <v>1.08439442170684</v>
      </c>
      <c r="DF124" s="9">
        <v>4.4136223535950698</v>
      </c>
      <c r="DG124" s="9">
        <v>27.240917588803001</v>
      </c>
      <c r="DH124" s="9">
        <v>52.551664898185997</v>
      </c>
      <c r="DI124" s="9">
        <v>74.610934263048904</v>
      </c>
    </row>
    <row r="125" spans="1:113">
      <c r="A125" s="5" t="s">
        <v>275</v>
      </c>
      <c r="B125" s="5" t="s">
        <v>362</v>
      </c>
      <c r="C125" s="5" t="s">
        <v>363</v>
      </c>
      <c r="D125" s="6">
        <v>88246</v>
      </c>
      <c r="E125" s="7">
        <v>11.152088408624</v>
      </c>
      <c r="F125" s="7">
        <v>1.7398748951793801</v>
      </c>
      <c r="G125" s="7">
        <v>6.9538902613149602</v>
      </c>
      <c r="H125" s="7">
        <v>9.3111529134465005</v>
      </c>
      <c r="I125" s="7">
        <v>9.8467125988713402</v>
      </c>
      <c r="J125" s="7">
        <v>78.097590825646506</v>
      </c>
      <c r="K125" s="7">
        <v>96.744328354826294</v>
      </c>
      <c r="L125" s="7">
        <v>99.2996849715568</v>
      </c>
      <c r="M125" s="7">
        <v>99.467397955714702</v>
      </c>
      <c r="N125" s="7">
        <v>9.7770653452593397</v>
      </c>
      <c r="O125" s="7">
        <v>3.2419939713981401</v>
      </c>
      <c r="P125" s="7">
        <v>7.0454638170568602</v>
      </c>
      <c r="Q125" s="7">
        <v>9.0235251456156593</v>
      </c>
      <c r="R125" s="7">
        <v>9.9938694105115307</v>
      </c>
      <c r="S125" s="7">
        <v>86.887790948031594</v>
      </c>
      <c r="T125" s="7">
        <v>99.6022482605444</v>
      </c>
      <c r="U125" s="7">
        <v>100</v>
      </c>
      <c r="V125" s="7">
        <v>100</v>
      </c>
      <c r="W125" s="7">
        <v>7.4851415169854203</v>
      </c>
      <c r="X125" s="7">
        <v>6.8042177549123997</v>
      </c>
      <c r="Y125" s="7">
        <v>10</v>
      </c>
      <c r="Z125" s="7">
        <v>10</v>
      </c>
      <c r="AA125" s="7">
        <v>10</v>
      </c>
      <c r="AB125" s="7">
        <v>99.2362260045781</v>
      </c>
      <c r="AC125" s="7">
        <v>100</v>
      </c>
      <c r="AD125" s="7">
        <v>100</v>
      </c>
      <c r="AE125" s="7">
        <v>100</v>
      </c>
      <c r="AF125" s="6">
        <v>15.036455580635799</v>
      </c>
      <c r="AG125" s="6">
        <v>1.30084083131247</v>
      </c>
      <c r="AH125" s="6">
        <v>3.1720191283457599</v>
      </c>
      <c r="AI125" s="6">
        <v>4.6126509983455302</v>
      </c>
      <c r="AJ125" s="6">
        <v>5.66306688121841</v>
      </c>
      <c r="AK125" s="6">
        <v>71.455930013824997</v>
      </c>
      <c r="AL125" s="6">
        <v>86.439045395825303</v>
      </c>
      <c r="AM125" s="6">
        <v>93.026312807379398</v>
      </c>
      <c r="AN125" s="6">
        <v>97.519434308637202</v>
      </c>
      <c r="AO125" s="6">
        <v>13.8981345394236</v>
      </c>
      <c r="AP125" s="7">
        <v>1.09822541531627</v>
      </c>
      <c r="AQ125" s="7">
        <v>5.1662851574008997</v>
      </c>
      <c r="AR125" s="7">
        <v>9.1084015139496408</v>
      </c>
      <c r="AS125" s="7">
        <v>9.7407134601001708</v>
      </c>
      <c r="AT125" s="7">
        <v>62.626068037078198</v>
      </c>
      <c r="AU125" s="7">
        <v>96.189062393762896</v>
      </c>
      <c r="AV125" s="7">
        <v>98.662828910092202</v>
      </c>
      <c r="AW125" s="7">
        <v>99.426602905514102</v>
      </c>
      <c r="AX125" s="7">
        <v>11.6714442579019</v>
      </c>
      <c r="AY125" s="7">
        <v>2.0615778618860898</v>
      </c>
      <c r="AZ125" s="7">
        <v>5.5350270833805499</v>
      </c>
      <c r="BA125" s="7">
        <v>8.9816648913265205</v>
      </c>
      <c r="BB125" s="7">
        <v>9.9799084377762206</v>
      </c>
      <c r="BC125" s="7">
        <v>82.914806336831106</v>
      </c>
      <c r="BD125" s="7">
        <v>96.2264578564468</v>
      </c>
      <c r="BE125" s="7">
        <v>100</v>
      </c>
      <c r="BF125" s="7">
        <v>100</v>
      </c>
      <c r="BG125" s="7">
        <v>8.2298842833042904</v>
      </c>
      <c r="BH125" s="7">
        <v>5.1167191714072002</v>
      </c>
      <c r="BI125" s="7">
        <v>10</v>
      </c>
      <c r="BJ125" s="7">
        <v>10</v>
      </c>
      <c r="BK125" s="7">
        <v>10</v>
      </c>
      <c r="BL125" s="7">
        <v>98.1426920200349</v>
      </c>
      <c r="BM125" s="7">
        <v>100</v>
      </c>
      <c r="BN125" s="7">
        <v>100</v>
      </c>
      <c r="BO125" s="7">
        <v>100</v>
      </c>
      <c r="BP125" s="6">
        <v>20.798155291286399</v>
      </c>
      <c r="BQ125" s="6">
        <v>0.722117716383745</v>
      </c>
      <c r="BR125" s="6">
        <v>1.94186705346418</v>
      </c>
      <c r="BS125" s="6">
        <v>2.9465584842372499</v>
      </c>
      <c r="BT125" s="6">
        <v>3.9000634589669798</v>
      </c>
      <c r="BU125" s="6">
        <v>52.420506311900802</v>
      </c>
      <c r="BV125" s="6">
        <v>83.049656641660803</v>
      </c>
      <c r="BW125" s="6">
        <v>90.038075380187195</v>
      </c>
      <c r="BX125" s="6">
        <v>93.211023729120896</v>
      </c>
      <c r="BY125" s="6" t="str">
        <f>TRIM(Table1[[#This Row],[LA_Name]])</f>
        <v>Newark and Sherwood</v>
      </c>
      <c r="BZ125" s="7">
        <v>37.444748480322197</v>
      </c>
      <c r="CA125" s="7">
        <v>8.6383518799719006E-2</v>
      </c>
      <c r="CB125" s="7">
        <v>0.68264850531468801</v>
      </c>
      <c r="CC125" s="7">
        <v>1.45154454592843</v>
      </c>
      <c r="CD125" s="7">
        <v>3.7540965029576401</v>
      </c>
      <c r="CE125" s="7">
        <v>8.3799832287015903</v>
      </c>
      <c r="CF125" s="7">
        <v>40.883439476010203</v>
      </c>
      <c r="CG125" s="7">
        <v>63.1666024522358</v>
      </c>
      <c r="CH125" s="7">
        <v>95.118192325997796</v>
      </c>
      <c r="CI125" s="7">
        <v>36.126718032939102</v>
      </c>
      <c r="CJ125" s="7">
        <v>0.17977018788387</v>
      </c>
      <c r="CK125" s="7">
        <v>0.82032046778324197</v>
      </c>
      <c r="CL125" s="7">
        <v>1.1515309475783599</v>
      </c>
      <c r="CM125" s="7">
        <v>1.9821634974956399</v>
      </c>
      <c r="CN125" s="7">
        <v>17.505609319402598</v>
      </c>
      <c r="CO125" s="7">
        <v>44.132311946150502</v>
      </c>
      <c r="CP125" s="7">
        <v>63.136006164585403</v>
      </c>
      <c r="CQ125" s="7">
        <v>85.165333272896206</v>
      </c>
      <c r="CR125" s="7">
        <v>17.353542475747599</v>
      </c>
      <c r="CS125" s="7">
        <v>0.74092876730956603</v>
      </c>
      <c r="CT125" s="7">
        <v>3.3500441946377202</v>
      </c>
      <c r="CU125" s="7">
        <v>9.8877342882396899</v>
      </c>
      <c r="CV125" s="7">
        <v>10</v>
      </c>
      <c r="CW125" s="7">
        <v>42.12542211545</v>
      </c>
      <c r="CX125" s="7">
        <v>99.452666409808899</v>
      </c>
      <c r="CY125" s="7">
        <v>100</v>
      </c>
      <c r="CZ125" s="7">
        <v>100</v>
      </c>
      <c r="DA125" s="9">
        <v>80.743445617820896</v>
      </c>
      <c r="DB125" s="9">
        <v>4.47499036783537E-2</v>
      </c>
      <c r="DC125" s="9">
        <v>0.16383745438886699</v>
      </c>
      <c r="DD125" s="9">
        <v>0.37283276295809398</v>
      </c>
      <c r="DE125" s="9">
        <v>0.64801804047775502</v>
      </c>
      <c r="DF125" s="9">
        <v>4.4749903678353702</v>
      </c>
      <c r="DG125" s="9">
        <v>15.7570881399723</v>
      </c>
      <c r="DH125" s="9">
        <v>24.8385195929561</v>
      </c>
      <c r="DI125" s="9">
        <v>38.3382816218299</v>
      </c>
    </row>
    <row r="126" spans="1:113">
      <c r="A126" s="5" t="s">
        <v>275</v>
      </c>
      <c r="B126" s="5" t="s">
        <v>364</v>
      </c>
      <c r="C126" s="5" t="s">
        <v>365</v>
      </c>
      <c r="D126" s="6">
        <v>85305</v>
      </c>
      <c r="E126" s="7">
        <v>10.764566421144099</v>
      </c>
      <c r="F126" s="7">
        <v>2.5157493699079798</v>
      </c>
      <c r="G126" s="7">
        <v>7.7293710802414903</v>
      </c>
      <c r="H126" s="7">
        <v>9.6301037453842095</v>
      </c>
      <c r="I126" s="7">
        <v>9.7606822577808998</v>
      </c>
      <c r="J126" s="7">
        <v>79.389250337025999</v>
      </c>
      <c r="K126" s="7">
        <v>98.4479221616552</v>
      </c>
      <c r="L126" s="7">
        <v>98.880487661919005</v>
      </c>
      <c r="M126" s="7">
        <v>99.525232987515395</v>
      </c>
      <c r="N126" s="7">
        <v>10.447638683465501</v>
      </c>
      <c r="O126" s="7">
        <v>4.57499560400914</v>
      </c>
      <c r="P126" s="7">
        <v>7.4593400152394302</v>
      </c>
      <c r="Q126" s="7">
        <v>9.78935584080652</v>
      </c>
      <c r="R126" s="7">
        <v>10</v>
      </c>
      <c r="S126" s="7">
        <v>81.017525350213901</v>
      </c>
      <c r="T126" s="7">
        <v>99.370494109372302</v>
      </c>
      <c r="U126" s="7">
        <v>100</v>
      </c>
      <c r="V126" s="7">
        <v>100</v>
      </c>
      <c r="W126" s="7">
        <v>7.7291771882304703</v>
      </c>
      <c r="X126" s="7">
        <v>7.5799308364105302</v>
      </c>
      <c r="Y126" s="7">
        <v>10</v>
      </c>
      <c r="Z126" s="7">
        <v>10</v>
      </c>
      <c r="AA126" s="7">
        <v>10</v>
      </c>
      <c r="AB126" s="7">
        <v>98.563976320262597</v>
      </c>
      <c r="AC126" s="7">
        <v>100</v>
      </c>
      <c r="AD126" s="7">
        <v>100</v>
      </c>
      <c r="AE126" s="7">
        <v>100</v>
      </c>
      <c r="AF126" s="6">
        <v>17.153615156863999</v>
      </c>
      <c r="AG126" s="6">
        <v>1.8309126077017801</v>
      </c>
      <c r="AH126" s="6">
        <v>4.5063595334388404</v>
      </c>
      <c r="AI126" s="6">
        <v>5.46697145536604</v>
      </c>
      <c r="AJ126" s="6">
        <v>6.0767012484613998</v>
      </c>
      <c r="AK126" s="6">
        <v>72.826915186683095</v>
      </c>
      <c r="AL126" s="6">
        <v>81.017525350213901</v>
      </c>
      <c r="AM126" s="6">
        <v>85.251743743039697</v>
      </c>
      <c r="AN126" s="6">
        <v>94.553660395053001</v>
      </c>
      <c r="AO126" s="6">
        <v>10.522750938957801</v>
      </c>
      <c r="AP126" s="7">
        <v>2.1005451028661901</v>
      </c>
      <c r="AQ126" s="7">
        <v>7.8598792567844802</v>
      </c>
      <c r="AR126" s="7">
        <v>9.5886055917003699</v>
      </c>
      <c r="AS126" s="7">
        <v>9.7821229705175607</v>
      </c>
      <c r="AT126" s="7">
        <v>84.642166344293997</v>
      </c>
      <c r="AU126" s="7">
        <v>97.4960436082293</v>
      </c>
      <c r="AV126" s="7">
        <v>98.824218978957902</v>
      </c>
      <c r="AW126" s="7">
        <v>99.6037746908153</v>
      </c>
      <c r="AX126" s="7">
        <v>9.3860078641492297</v>
      </c>
      <c r="AY126" s="7">
        <v>3.8751890276068202</v>
      </c>
      <c r="AZ126" s="7">
        <v>7.1648555184338596</v>
      </c>
      <c r="BA126" s="7">
        <v>9.8293886642049095</v>
      </c>
      <c r="BB126" s="7">
        <v>10</v>
      </c>
      <c r="BC126" s="7">
        <v>89.946661977609807</v>
      </c>
      <c r="BD126" s="7">
        <v>99.263818064591803</v>
      </c>
      <c r="BE126" s="7">
        <v>100</v>
      </c>
      <c r="BF126" s="7">
        <v>100</v>
      </c>
      <c r="BG126" s="7">
        <v>7.3276154900245603</v>
      </c>
      <c r="BH126" s="7">
        <v>7.0804173260652998</v>
      </c>
      <c r="BI126" s="7">
        <v>10</v>
      </c>
      <c r="BJ126" s="7">
        <v>10</v>
      </c>
      <c r="BK126" s="7">
        <v>10</v>
      </c>
      <c r="BL126" s="7">
        <v>99.275540706875304</v>
      </c>
      <c r="BM126" s="7">
        <v>100</v>
      </c>
      <c r="BN126" s="7">
        <v>100</v>
      </c>
      <c r="BO126" s="7">
        <v>100</v>
      </c>
      <c r="BP126" s="6">
        <v>13.625785782871899</v>
      </c>
      <c r="BQ126" s="6">
        <v>1.4405368970165899</v>
      </c>
      <c r="BR126" s="6">
        <v>3.79010608991267</v>
      </c>
      <c r="BS126" s="6">
        <v>5.0235390657054104</v>
      </c>
      <c r="BT126" s="6">
        <v>5.847664263525</v>
      </c>
      <c r="BU126" s="6">
        <v>73.327472012191507</v>
      </c>
      <c r="BV126" s="6">
        <v>89.784889514096506</v>
      </c>
      <c r="BW126" s="6">
        <v>95.531328761502806</v>
      </c>
      <c r="BX126" s="6">
        <v>97.956743449973601</v>
      </c>
      <c r="BY126" s="6" t="str">
        <f>TRIM(Table1[[#This Row],[LA_Name]])</f>
        <v>Rushcliffe</v>
      </c>
      <c r="BZ126" s="7">
        <v>31.361232382594</v>
      </c>
      <c r="CA126" s="7">
        <v>7.3360295410585502E-2</v>
      </c>
      <c r="CB126" s="7">
        <v>2.0042670417912198</v>
      </c>
      <c r="CC126" s="7">
        <v>6.1113416564093503</v>
      </c>
      <c r="CD126" s="7">
        <v>8.7092198581560307</v>
      </c>
      <c r="CE126" s="7">
        <v>7.3360295410585499</v>
      </c>
      <c r="CF126" s="7">
        <v>60.727976085809701</v>
      </c>
      <c r="CG126" s="7">
        <v>88.204677334271096</v>
      </c>
      <c r="CH126" s="7">
        <v>95.443408944376102</v>
      </c>
      <c r="CI126" s="7">
        <v>34.763600851780801</v>
      </c>
      <c r="CJ126" s="7">
        <v>0.26679561573178601</v>
      </c>
      <c r="CK126" s="7">
        <v>3.61978782017467</v>
      </c>
      <c r="CL126" s="7">
        <v>5.3718891038040004</v>
      </c>
      <c r="CM126" s="7">
        <v>7.5140964773459897</v>
      </c>
      <c r="CN126" s="7">
        <v>15.8079831193951</v>
      </c>
      <c r="CO126" s="7">
        <v>42.7290311236153</v>
      </c>
      <c r="CP126" s="7">
        <v>74.634546626809694</v>
      </c>
      <c r="CQ126" s="7">
        <v>90.770763730144793</v>
      </c>
      <c r="CR126" s="7">
        <v>17.712042186579001</v>
      </c>
      <c r="CS126" s="7">
        <v>1.9374479807748699</v>
      </c>
      <c r="CT126" s="7">
        <v>9.1120450149463696</v>
      </c>
      <c r="CU126" s="7">
        <v>10</v>
      </c>
      <c r="CV126" s="7">
        <v>10</v>
      </c>
      <c r="CW126" s="7">
        <v>43.385499091495198</v>
      </c>
      <c r="CX126" s="7">
        <v>100</v>
      </c>
      <c r="CY126" s="7">
        <v>100</v>
      </c>
      <c r="CZ126" s="7">
        <v>100</v>
      </c>
      <c r="DA126" s="9">
        <v>81.927446271805707</v>
      </c>
      <c r="DB126" s="9">
        <v>4.6421663442940001E-3</v>
      </c>
      <c r="DC126" s="9">
        <v>0.22781783013891299</v>
      </c>
      <c r="DD126" s="9">
        <v>1.06213000410292</v>
      </c>
      <c r="DE126" s="9">
        <v>2.35465681964715</v>
      </c>
      <c r="DF126" s="9">
        <v>0.46421663442939998</v>
      </c>
      <c r="DG126" s="9">
        <v>13.1832835121036</v>
      </c>
      <c r="DH126" s="9">
        <v>27.906922220268399</v>
      </c>
      <c r="DI126" s="9">
        <v>37.5980305960964</v>
      </c>
    </row>
    <row r="127" spans="1:113">
      <c r="A127" s="5" t="s">
        <v>366</v>
      </c>
      <c r="B127" s="5" t="s">
        <v>367</v>
      </c>
      <c r="C127" s="5" t="s">
        <v>368</v>
      </c>
      <c r="D127" s="6">
        <v>138523</v>
      </c>
      <c r="E127" s="7">
        <v>18.866833526983498</v>
      </c>
      <c r="F127" s="7">
        <v>1.2692838012459999</v>
      </c>
      <c r="G127" s="7">
        <v>4.4510586689574998</v>
      </c>
      <c r="H127" s="7">
        <v>6.7219667492040998</v>
      </c>
      <c r="I127" s="7">
        <v>8.1493759159128807</v>
      </c>
      <c r="J127" s="7">
        <v>59.474599885939497</v>
      </c>
      <c r="K127" s="7">
        <v>80.637150509301705</v>
      </c>
      <c r="L127" s="7">
        <v>90.603004555200201</v>
      </c>
      <c r="M127" s="7">
        <v>95.840401954910007</v>
      </c>
      <c r="N127" s="7">
        <v>13.939736858706199</v>
      </c>
      <c r="O127" s="7">
        <v>2.8060394302751202</v>
      </c>
      <c r="P127" s="7">
        <v>5.3109303148213698</v>
      </c>
      <c r="Q127" s="7">
        <v>7.5981244991806403</v>
      </c>
      <c r="R127" s="7">
        <v>9.3359153353594699</v>
      </c>
      <c r="S127" s="7">
        <v>64.733654338990604</v>
      </c>
      <c r="T127" s="7">
        <v>92.745609032435098</v>
      </c>
      <c r="U127" s="7">
        <v>100</v>
      </c>
      <c r="V127" s="7">
        <v>100</v>
      </c>
      <c r="W127" s="7">
        <v>9.0705994666416601</v>
      </c>
      <c r="X127" s="7">
        <v>5.1956065057788203</v>
      </c>
      <c r="Y127" s="7">
        <v>9.6602297091457707</v>
      </c>
      <c r="Z127" s="7">
        <v>9.9925571926683698</v>
      </c>
      <c r="AA127" s="7">
        <v>10</v>
      </c>
      <c r="AB127" s="7">
        <v>91.980393147708298</v>
      </c>
      <c r="AC127" s="7">
        <v>100</v>
      </c>
      <c r="AD127" s="7">
        <v>100</v>
      </c>
      <c r="AE127" s="7">
        <v>100</v>
      </c>
      <c r="AF127" s="6">
        <v>28.1821305103405</v>
      </c>
      <c r="AG127" s="6">
        <v>1.0523306598904201</v>
      </c>
      <c r="AH127" s="6">
        <v>2.8327858911516501</v>
      </c>
      <c r="AI127" s="6">
        <v>4.0944752856926296</v>
      </c>
      <c r="AJ127" s="6">
        <v>4.6677158305840898</v>
      </c>
      <c r="AK127" s="6">
        <v>55.363369259978498</v>
      </c>
      <c r="AL127" s="6">
        <v>64.087552247641199</v>
      </c>
      <c r="AM127" s="6">
        <v>74.062069114876195</v>
      </c>
      <c r="AN127" s="6">
        <v>82.613717577586399</v>
      </c>
      <c r="AO127" s="6">
        <v>21.453771190346899</v>
      </c>
      <c r="AP127" s="7">
        <v>0.834994910592465</v>
      </c>
      <c r="AQ127" s="7">
        <v>3.47485977057962</v>
      </c>
      <c r="AR127" s="7">
        <v>6.3258953386802199</v>
      </c>
      <c r="AS127" s="7">
        <v>7.7873349552059903</v>
      </c>
      <c r="AT127" s="7">
        <v>54.3014517444756</v>
      </c>
      <c r="AU127" s="7">
        <v>80.362827833644999</v>
      </c>
      <c r="AV127" s="7">
        <v>89.076182294636993</v>
      </c>
      <c r="AW127" s="7">
        <v>94.127329035611396</v>
      </c>
      <c r="AX127" s="7">
        <v>15.628716586616701</v>
      </c>
      <c r="AY127" s="7">
        <v>1.65851158291403</v>
      </c>
      <c r="AZ127" s="7">
        <v>4.6579124044382496</v>
      </c>
      <c r="BA127" s="7">
        <v>6.8276964836164398</v>
      </c>
      <c r="BB127" s="7">
        <v>8.5216245677613092</v>
      </c>
      <c r="BC127" s="7">
        <v>66.4120759729431</v>
      </c>
      <c r="BD127" s="7">
        <v>87.2021252788346</v>
      </c>
      <c r="BE127" s="7">
        <v>96.830851194386497</v>
      </c>
      <c r="BF127" s="7">
        <v>98.949632912945901</v>
      </c>
      <c r="BG127" s="7">
        <v>9.7809914753249707</v>
      </c>
      <c r="BH127" s="7">
        <v>3.9880092114666899</v>
      </c>
      <c r="BI127" s="7">
        <v>9.2538134461425194</v>
      </c>
      <c r="BJ127" s="7">
        <v>9.9821545880467504</v>
      </c>
      <c r="BK127" s="7">
        <v>10</v>
      </c>
      <c r="BL127" s="7">
        <v>87.303913429538795</v>
      </c>
      <c r="BM127" s="7">
        <v>99.258606873948693</v>
      </c>
      <c r="BN127" s="7">
        <v>100</v>
      </c>
      <c r="BO127" s="7">
        <v>100</v>
      </c>
      <c r="BP127" s="6">
        <v>32.2022211287955</v>
      </c>
      <c r="BQ127" s="6">
        <v>0.66404135053384605</v>
      </c>
      <c r="BR127" s="6">
        <v>1.71346274625874</v>
      </c>
      <c r="BS127" s="6">
        <v>2.7375309515387301</v>
      </c>
      <c r="BT127" s="6">
        <v>3.6625758899244198</v>
      </c>
      <c r="BU127" s="6">
        <v>49.466153635136401</v>
      </c>
      <c r="BV127" s="6">
        <v>64.919183095948</v>
      </c>
      <c r="BW127" s="6">
        <v>72.452950051616</v>
      </c>
      <c r="BX127" s="6">
        <v>81.231997574410002</v>
      </c>
      <c r="BY127" s="6" t="str">
        <f>TRIM(Table1[[#This Row],[LA_Name]])</f>
        <v>Herefordshire</v>
      </c>
      <c r="BZ127" s="7">
        <v>48.398210640729801</v>
      </c>
      <c r="CA127" s="7">
        <v>7.9560794958237993E-2</v>
      </c>
      <c r="CB127" s="7">
        <v>0.57882084563574299</v>
      </c>
      <c r="CC127" s="7">
        <v>0.97458183839506796</v>
      </c>
      <c r="CD127" s="7">
        <v>1.4980544747081701</v>
      </c>
      <c r="CE127" s="7">
        <v>6.8660078109772398</v>
      </c>
      <c r="CF127" s="7">
        <v>38.241302888329002</v>
      </c>
      <c r="CG127" s="7">
        <v>52.721208752337198</v>
      </c>
      <c r="CH127" s="7">
        <v>72.187290197295795</v>
      </c>
      <c r="CI127" s="7">
        <v>53.0457636498111</v>
      </c>
      <c r="CJ127" s="7">
        <v>0.29540942659341801</v>
      </c>
      <c r="CK127" s="7">
        <v>0.905820694036369</v>
      </c>
      <c r="CL127" s="7">
        <v>1.2731676328118799</v>
      </c>
      <c r="CM127" s="7">
        <v>1.47029735134238</v>
      </c>
      <c r="CN127" s="7">
        <v>23.558542624690499</v>
      </c>
      <c r="CO127" s="7">
        <v>38.371967110154998</v>
      </c>
      <c r="CP127" s="7">
        <v>45.845816218245297</v>
      </c>
      <c r="CQ127" s="7">
        <v>51.645575103051499</v>
      </c>
      <c r="CR127" s="7">
        <v>24.155927148783</v>
      </c>
      <c r="CS127" s="7">
        <v>0.64000924034275897</v>
      </c>
      <c r="CT127" s="7">
        <v>1.5640868303458599</v>
      </c>
      <c r="CU127" s="7">
        <v>3.2874757260527101</v>
      </c>
      <c r="CV127" s="7">
        <v>4.9859951055059497</v>
      </c>
      <c r="CW127" s="7">
        <v>36.634349530402901</v>
      </c>
      <c r="CX127" s="7">
        <v>57.491535701652403</v>
      </c>
      <c r="CY127" s="7">
        <v>96.669145196104594</v>
      </c>
      <c r="CZ127" s="7">
        <v>99.744446770572395</v>
      </c>
      <c r="DA127" s="9">
        <v>83.466194953114197</v>
      </c>
      <c r="DB127" s="9">
        <v>6.7136865358099401E-2</v>
      </c>
      <c r="DC127" s="9">
        <v>0.326581145369361</v>
      </c>
      <c r="DD127" s="9">
        <v>0.58930285945294303</v>
      </c>
      <c r="DE127" s="9">
        <v>0.75986659255141697</v>
      </c>
      <c r="DF127" s="9">
        <v>6.1347213098185902</v>
      </c>
      <c r="DG127" s="9">
        <v>24.1194603062307</v>
      </c>
      <c r="DH127" s="9">
        <v>33.9387682911863</v>
      </c>
      <c r="DI127" s="9">
        <v>35.285837009016603</v>
      </c>
    </row>
    <row r="128" spans="1:113">
      <c r="A128" s="5" t="s">
        <v>366</v>
      </c>
      <c r="B128" s="5" t="s">
        <v>369</v>
      </c>
      <c r="C128" s="5" t="s">
        <v>370</v>
      </c>
      <c r="D128" s="6">
        <v>233142</v>
      </c>
      <c r="E128" s="7">
        <v>16.848553066469101</v>
      </c>
      <c r="F128" s="7">
        <v>1.1508994518362201</v>
      </c>
      <c r="G128" s="7">
        <v>4.59096602070841</v>
      </c>
      <c r="H128" s="7">
        <v>7.7497962615058604</v>
      </c>
      <c r="I128" s="7">
        <v>8.7468066671813691</v>
      </c>
      <c r="J128" s="7">
        <v>60.9225279014506</v>
      </c>
      <c r="K128" s="7">
        <v>86.451604601487503</v>
      </c>
      <c r="L128" s="7">
        <v>93.596177436926894</v>
      </c>
      <c r="M128" s="7">
        <v>96.551457909771699</v>
      </c>
      <c r="N128" s="7">
        <v>12.5892189266991</v>
      </c>
      <c r="O128" s="7">
        <v>2.3329215671135999</v>
      </c>
      <c r="P128" s="7">
        <v>5.4756157191754404</v>
      </c>
      <c r="Q128" s="7">
        <v>7.9891310874917396</v>
      </c>
      <c r="R128" s="7">
        <v>9.5849396505134195</v>
      </c>
      <c r="S128" s="7">
        <v>74.935018143449099</v>
      </c>
      <c r="T128" s="7">
        <v>95.530620823360906</v>
      </c>
      <c r="U128" s="7">
        <v>99.640562404028401</v>
      </c>
      <c r="V128" s="7">
        <v>100</v>
      </c>
      <c r="W128" s="7">
        <v>8.5431576953055508</v>
      </c>
      <c r="X128" s="7">
        <v>5.3473333848041102</v>
      </c>
      <c r="Y128" s="7">
        <v>9.7828876821851107</v>
      </c>
      <c r="Z128" s="7">
        <v>9.9907438385190108</v>
      </c>
      <c r="AA128" s="7">
        <v>10</v>
      </c>
      <c r="AB128" s="7">
        <v>95.101697677810094</v>
      </c>
      <c r="AC128" s="7">
        <v>100</v>
      </c>
      <c r="AD128" s="7">
        <v>100</v>
      </c>
      <c r="AE128" s="7">
        <v>100</v>
      </c>
      <c r="AF128" s="6">
        <v>23.703863801680701</v>
      </c>
      <c r="AG128" s="6">
        <v>0.98546379459728395</v>
      </c>
      <c r="AH128" s="6">
        <v>2.42677852982303</v>
      </c>
      <c r="AI128" s="6">
        <v>3.5237366068747802</v>
      </c>
      <c r="AJ128" s="6">
        <v>4.4714594538950498</v>
      </c>
      <c r="AK128" s="6">
        <v>56.792426932942099</v>
      </c>
      <c r="AL128" s="6">
        <v>73.810810578960499</v>
      </c>
      <c r="AM128" s="6">
        <v>80.983263418860602</v>
      </c>
      <c r="AN128" s="6">
        <v>88.188314417822596</v>
      </c>
      <c r="AO128" s="6">
        <v>19.231144977505</v>
      </c>
      <c r="AP128" s="7">
        <v>1.06760686620171</v>
      </c>
      <c r="AQ128" s="7">
        <v>4.2735586037693798</v>
      </c>
      <c r="AR128" s="7">
        <v>7.0768072676737797</v>
      </c>
      <c r="AS128" s="7">
        <v>8.4061730619107706</v>
      </c>
      <c r="AT128" s="7">
        <v>59.605304921464203</v>
      </c>
      <c r="AU128" s="7">
        <v>84.054353141004199</v>
      </c>
      <c r="AV128" s="7">
        <v>92.322275694640993</v>
      </c>
      <c r="AW128" s="7">
        <v>93.994647039143501</v>
      </c>
      <c r="AX128" s="7">
        <v>15.0011174778264</v>
      </c>
      <c r="AY128" s="7">
        <v>2.2850151409870398</v>
      </c>
      <c r="AZ128" s="7">
        <v>4.78191402664471</v>
      </c>
      <c r="BA128" s="7">
        <v>6.7698741539491003</v>
      </c>
      <c r="BB128" s="7">
        <v>8.7170351116486895</v>
      </c>
      <c r="BC128" s="7">
        <v>69.589348980449699</v>
      </c>
      <c r="BD128" s="7">
        <v>88.131267639464397</v>
      </c>
      <c r="BE128" s="7">
        <v>95.884911341585806</v>
      </c>
      <c r="BF128" s="7">
        <v>99.273404191436995</v>
      </c>
      <c r="BG128" s="7">
        <v>9.4445083107579997</v>
      </c>
      <c r="BH128" s="7">
        <v>4.9218459136491903</v>
      </c>
      <c r="BI128" s="7">
        <v>9.5888685865266705</v>
      </c>
      <c r="BJ128" s="7">
        <v>9.95669591922519</v>
      </c>
      <c r="BK128" s="7">
        <v>10</v>
      </c>
      <c r="BL128" s="7">
        <v>88.676857880604999</v>
      </c>
      <c r="BM128" s="7">
        <v>99.5916651654357</v>
      </c>
      <c r="BN128" s="7">
        <v>100</v>
      </c>
      <c r="BO128" s="7">
        <v>100</v>
      </c>
      <c r="BP128" s="6">
        <v>29.581797670366399</v>
      </c>
      <c r="BQ128" s="6">
        <v>0.87292293966766998</v>
      </c>
      <c r="BR128" s="6">
        <v>2.3299534189463902</v>
      </c>
      <c r="BS128" s="6">
        <v>3.39064604404183</v>
      </c>
      <c r="BT128" s="6">
        <v>4.0806675759837399</v>
      </c>
      <c r="BU128" s="6">
        <v>54.761046915613697</v>
      </c>
      <c r="BV128" s="6">
        <v>69.249212926027894</v>
      </c>
      <c r="BW128" s="6">
        <v>75.189798491906203</v>
      </c>
      <c r="BX128" s="6">
        <v>82.484923351433906</v>
      </c>
      <c r="BY128" s="6" t="str">
        <f>TRIM(Table1[[#This Row],[LA_Name]])</f>
        <v>Shropshire</v>
      </c>
      <c r="BZ128" s="7">
        <v>51.582949459385603</v>
      </c>
      <c r="CA128" s="7">
        <v>6.5397912002127495E-2</v>
      </c>
      <c r="CB128" s="7">
        <v>0.27277367441301897</v>
      </c>
      <c r="CC128" s="7">
        <v>0.52201662506112201</v>
      </c>
      <c r="CD128" s="7">
        <v>1.3186384263667601</v>
      </c>
      <c r="CE128" s="7">
        <v>6.5397912002127496</v>
      </c>
      <c r="CF128" s="7">
        <v>27.277367441301902</v>
      </c>
      <c r="CG128" s="7">
        <v>46.5681859124482</v>
      </c>
      <c r="CH128" s="7">
        <v>69.408772336172802</v>
      </c>
      <c r="CI128" s="7">
        <v>65.042646565685104</v>
      </c>
      <c r="CJ128" s="7">
        <v>0.111206903946951</v>
      </c>
      <c r="CK128" s="7">
        <v>0.30422231944480199</v>
      </c>
      <c r="CL128" s="7">
        <v>0.42286675073560298</v>
      </c>
      <c r="CM128" s="7">
        <v>0.663681361573633</v>
      </c>
      <c r="CN128" s="7">
        <v>11.120690394695099</v>
      </c>
      <c r="CO128" s="7">
        <v>30.1562995942387</v>
      </c>
      <c r="CP128" s="7">
        <v>34.723902171208998</v>
      </c>
      <c r="CQ128" s="7">
        <v>47.140798311758502</v>
      </c>
      <c r="CR128" s="7">
        <v>27.164536225397999</v>
      </c>
      <c r="CS128" s="7">
        <v>0.257594084291977</v>
      </c>
      <c r="CT128" s="7">
        <v>1.0614260836743299</v>
      </c>
      <c r="CU128" s="7">
        <v>4.7598931123521302</v>
      </c>
      <c r="CV128" s="7">
        <v>8.2624580727625201</v>
      </c>
      <c r="CW128" s="7">
        <v>25.283303737636299</v>
      </c>
      <c r="CX128" s="7">
        <v>53.568211647836897</v>
      </c>
      <c r="CY128" s="7">
        <v>90.938998550239802</v>
      </c>
      <c r="CZ128" s="7">
        <v>98.966724142368193</v>
      </c>
      <c r="DA128" s="9">
        <v>94.337506398624498</v>
      </c>
      <c r="DB128" s="9">
        <v>3.2932719115388899E-2</v>
      </c>
      <c r="DC128" s="9">
        <v>0.113673212033868</v>
      </c>
      <c r="DD128" s="9">
        <v>0.196562609911556</v>
      </c>
      <c r="DE128" s="9">
        <v>0.25049111700165599</v>
      </c>
      <c r="DF128" s="9">
        <v>3.29327191153889</v>
      </c>
      <c r="DG128" s="9">
        <v>11.367321203386799</v>
      </c>
      <c r="DH128" s="9">
        <v>19.656260991155602</v>
      </c>
      <c r="DI128" s="9">
        <v>25.0491117001656</v>
      </c>
    </row>
    <row r="129" spans="1:113">
      <c r="A129" s="5" t="s">
        <v>366</v>
      </c>
      <c r="B129" s="5" t="s">
        <v>371</v>
      </c>
      <c r="C129" s="5" t="s">
        <v>372</v>
      </c>
      <c r="D129" s="6">
        <v>184347</v>
      </c>
      <c r="E129" s="7">
        <v>8.2311290401354107</v>
      </c>
      <c r="F129" s="7">
        <v>2.5548557882688598</v>
      </c>
      <c r="G129" s="7">
        <v>9.7933136964528806</v>
      </c>
      <c r="H129" s="7">
        <v>10</v>
      </c>
      <c r="I129" s="7">
        <v>10</v>
      </c>
      <c r="J129" s="7">
        <v>91.112955458998499</v>
      </c>
      <c r="K129" s="7">
        <v>100</v>
      </c>
      <c r="L129" s="7">
        <v>100</v>
      </c>
      <c r="M129" s="7">
        <v>100</v>
      </c>
      <c r="N129" s="7">
        <v>7.9463282369253703</v>
      </c>
      <c r="O129" s="7">
        <v>7.4660884093584396</v>
      </c>
      <c r="P129" s="7">
        <v>10</v>
      </c>
      <c r="Q129" s="7">
        <v>10</v>
      </c>
      <c r="R129" s="7">
        <v>10</v>
      </c>
      <c r="S129" s="7">
        <v>99.865471095271403</v>
      </c>
      <c r="T129" s="7">
        <v>100</v>
      </c>
      <c r="U129" s="7">
        <v>100</v>
      </c>
      <c r="V129" s="7">
        <v>100</v>
      </c>
      <c r="W129" s="7">
        <v>6.7181448558659502</v>
      </c>
      <c r="X129" s="7">
        <v>10</v>
      </c>
      <c r="Y129" s="7">
        <v>10</v>
      </c>
      <c r="Z129" s="7">
        <v>10</v>
      </c>
      <c r="AA129" s="7">
        <v>10</v>
      </c>
      <c r="AB129" s="7">
        <v>100</v>
      </c>
      <c r="AC129" s="7">
        <v>100</v>
      </c>
      <c r="AD129" s="7">
        <v>100</v>
      </c>
      <c r="AE129" s="7">
        <v>100</v>
      </c>
      <c r="AF129" s="6">
        <v>8.6899773935175197</v>
      </c>
      <c r="AG129" s="6">
        <v>2.03589968917314</v>
      </c>
      <c r="AH129" s="6">
        <v>7.1884543822248297</v>
      </c>
      <c r="AI129" s="6">
        <v>9.9316506371136999</v>
      </c>
      <c r="AJ129" s="6">
        <v>10</v>
      </c>
      <c r="AK129" s="6">
        <v>86.297580107080705</v>
      </c>
      <c r="AL129" s="6">
        <v>99.734196922108893</v>
      </c>
      <c r="AM129" s="6">
        <v>100</v>
      </c>
      <c r="AN129" s="6">
        <v>100</v>
      </c>
      <c r="AO129" s="6">
        <v>11.437325864450001</v>
      </c>
      <c r="AP129" s="7">
        <v>1.8571986525411299</v>
      </c>
      <c r="AQ129" s="7">
        <v>8.1700814225346807</v>
      </c>
      <c r="AR129" s="7">
        <v>9.9750362088886693</v>
      </c>
      <c r="AS129" s="7">
        <v>10</v>
      </c>
      <c r="AT129" s="7">
        <v>67.093036501814495</v>
      </c>
      <c r="AU129" s="7">
        <v>100</v>
      </c>
      <c r="AV129" s="7">
        <v>100</v>
      </c>
      <c r="AW129" s="7">
        <v>100</v>
      </c>
      <c r="AX129" s="7">
        <v>9.4207644237471193</v>
      </c>
      <c r="AY129" s="7">
        <v>5.6623432982364799</v>
      </c>
      <c r="AZ129" s="7">
        <v>9.9988445702940592</v>
      </c>
      <c r="BA129" s="7">
        <v>10</v>
      </c>
      <c r="BB129" s="7">
        <v>10</v>
      </c>
      <c r="BC129" s="7">
        <v>93.2773519503979</v>
      </c>
      <c r="BD129" s="7">
        <v>100</v>
      </c>
      <c r="BE129" s="7">
        <v>100</v>
      </c>
      <c r="BF129" s="7">
        <v>100</v>
      </c>
      <c r="BG129" s="7">
        <v>7.50713925163575</v>
      </c>
      <c r="BH129" s="7">
        <v>9.8232355286497803</v>
      </c>
      <c r="BI129" s="7">
        <v>10</v>
      </c>
      <c r="BJ129" s="7">
        <v>10</v>
      </c>
      <c r="BK129" s="7">
        <v>10</v>
      </c>
      <c r="BL129" s="7">
        <v>100</v>
      </c>
      <c r="BM129" s="7">
        <v>100</v>
      </c>
      <c r="BN129" s="7">
        <v>100</v>
      </c>
      <c r="BO129" s="7">
        <v>100</v>
      </c>
      <c r="BP129" s="6">
        <v>13.0929436815433</v>
      </c>
      <c r="BQ129" s="6">
        <v>1.5637195072336401</v>
      </c>
      <c r="BR129" s="6">
        <v>5.4441460940508897</v>
      </c>
      <c r="BS129" s="6">
        <v>8.3399675611753903</v>
      </c>
      <c r="BT129" s="6">
        <v>9.7511486490151693</v>
      </c>
      <c r="BU129" s="6">
        <v>63.946253532739902</v>
      </c>
      <c r="BV129" s="6">
        <v>92.969237362148604</v>
      </c>
      <c r="BW129" s="6">
        <v>100</v>
      </c>
      <c r="BX129" s="6">
        <v>100</v>
      </c>
      <c r="BY129" s="6" t="str">
        <f>TRIM(Table1[[#This Row],[LA_Name]])</f>
        <v>Stoke-on-Trent</v>
      </c>
      <c r="BZ129" s="7">
        <v>29.897725616396301</v>
      </c>
      <c r="CA129" s="7">
        <v>0.10632123115646</v>
      </c>
      <c r="CB129" s="7">
        <v>0.90230380749347705</v>
      </c>
      <c r="CC129" s="7">
        <v>2.7448344697771101</v>
      </c>
      <c r="CD129" s="7">
        <v>5.3196037906773599</v>
      </c>
      <c r="CE129" s="7">
        <v>9.32263611558637</v>
      </c>
      <c r="CF129" s="7">
        <v>47.155093383673197</v>
      </c>
      <c r="CG129" s="7">
        <v>91.843100240307706</v>
      </c>
      <c r="CH129" s="7">
        <v>100</v>
      </c>
      <c r="CI129" s="7">
        <v>21.858043687555298</v>
      </c>
      <c r="CJ129" s="7">
        <v>0.44563784601864997</v>
      </c>
      <c r="CK129" s="7">
        <v>2.6093888156574301</v>
      </c>
      <c r="CL129" s="7">
        <v>4.6662869479839602</v>
      </c>
      <c r="CM129" s="7">
        <v>4.9877350865487404</v>
      </c>
      <c r="CN129" s="7">
        <v>25.1997591498641</v>
      </c>
      <c r="CO129" s="7">
        <v>82.427704275089894</v>
      </c>
      <c r="CP129" s="7">
        <v>100</v>
      </c>
      <c r="CQ129" s="7">
        <v>100</v>
      </c>
      <c r="CR129" s="7">
        <v>13.581439431647</v>
      </c>
      <c r="CS129" s="7">
        <v>1.6508432467032299</v>
      </c>
      <c r="CT129" s="7">
        <v>5.4903524331830704</v>
      </c>
      <c r="CU129" s="7">
        <v>10</v>
      </c>
      <c r="CV129" s="7">
        <v>10</v>
      </c>
      <c r="CW129" s="7">
        <v>59.628852110422201</v>
      </c>
      <c r="CX129" s="7">
        <v>100</v>
      </c>
      <c r="CY129" s="7">
        <v>100</v>
      </c>
      <c r="CZ129" s="7">
        <v>100</v>
      </c>
      <c r="DA129" s="9">
        <v>53.776654894506102</v>
      </c>
      <c r="DB129" s="9">
        <v>9.2228243475619406E-2</v>
      </c>
      <c r="DC129" s="9">
        <v>0.40131925119475798</v>
      </c>
      <c r="DD129" s="9">
        <v>0.87652090893803503</v>
      </c>
      <c r="DE129" s="9">
        <v>1.4767368061319099</v>
      </c>
      <c r="DF129" s="9">
        <v>8.1048240546360901</v>
      </c>
      <c r="DG129" s="9">
        <v>24.3280335454333</v>
      </c>
      <c r="DH129" s="9">
        <v>38.148708685251201</v>
      </c>
      <c r="DI129" s="9">
        <v>55.628787015790898</v>
      </c>
    </row>
    <row r="130" spans="1:113">
      <c r="A130" s="5" t="s">
        <v>366</v>
      </c>
      <c r="B130" s="5" t="s">
        <v>373</v>
      </c>
      <c r="C130" s="5" t="s">
        <v>374</v>
      </c>
      <c r="D130" s="6">
        <v>129447</v>
      </c>
      <c r="E130" s="7">
        <v>9.9705983964503595</v>
      </c>
      <c r="F130" s="7">
        <v>1.93003314097662</v>
      </c>
      <c r="G130" s="7">
        <v>8.5778890202167695</v>
      </c>
      <c r="H130" s="7">
        <v>9.7620184322541306</v>
      </c>
      <c r="I130" s="7">
        <v>9.8940415768615697</v>
      </c>
      <c r="J130" s="7">
        <v>83.820405262385407</v>
      </c>
      <c r="K130" s="7">
        <v>97.881758557556395</v>
      </c>
      <c r="L130" s="7">
        <v>99.167226741446299</v>
      </c>
      <c r="M130" s="7">
        <v>99.834681375389195</v>
      </c>
      <c r="N130" s="7">
        <v>8.9793947410027997</v>
      </c>
      <c r="O130" s="7">
        <v>4.7618793792053902</v>
      </c>
      <c r="P130" s="7">
        <v>9.5026304201719594</v>
      </c>
      <c r="Q130" s="7">
        <v>9.9739043778534793</v>
      </c>
      <c r="R130" s="7">
        <v>10</v>
      </c>
      <c r="S130" s="7">
        <v>96.111922253895401</v>
      </c>
      <c r="T130" s="7">
        <v>99.598291192534404</v>
      </c>
      <c r="U130" s="7">
        <v>100</v>
      </c>
      <c r="V130" s="7">
        <v>100</v>
      </c>
      <c r="W130" s="7">
        <v>7.2199767399128199</v>
      </c>
      <c r="X130" s="7">
        <v>9.5602061075189102</v>
      </c>
      <c r="Y130" s="7">
        <v>10</v>
      </c>
      <c r="Z130" s="7">
        <v>10</v>
      </c>
      <c r="AA130" s="7">
        <v>10</v>
      </c>
      <c r="AB130" s="7">
        <v>99.850904231075305</v>
      </c>
      <c r="AC130" s="7">
        <v>100</v>
      </c>
      <c r="AD130" s="7">
        <v>100</v>
      </c>
      <c r="AE130" s="7">
        <v>100</v>
      </c>
      <c r="AF130" s="6">
        <v>11.3323458323331</v>
      </c>
      <c r="AG130" s="6">
        <v>1.5434038641297201</v>
      </c>
      <c r="AH130" s="6">
        <v>5.0936290528169801</v>
      </c>
      <c r="AI130" s="6">
        <v>8.5766529931168698</v>
      </c>
      <c r="AJ130" s="6">
        <v>9.2886818543496599</v>
      </c>
      <c r="AK130" s="6">
        <v>79.693619782613695</v>
      </c>
      <c r="AL130" s="6">
        <v>95.736479022302603</v>
      </c>
      <c r="AM130" s="6">
        <v>97.873260871244597</v>
      </c>
      <c r="AN130" s="6">
        <v>98.695218892674205</v>
      </c>
      <c r="AO130" s="6">
        <v>12.0462511824964</v>
      </c>
      <c r="AP130" s="7">
        <v>1.1340857648303899</v>
      </c>
      <c r="AQ130" s="7">
        <v>6.5812340185558602</v>
      </c>
      <c r="AR130" s="7">
        <v>9.5055350838567101</v>
      </c>
      <c r="AS130" s="7">
        <v>9.8404675272505404</v>
      </c>
      <c r="AT130" s="7">
        <v>68.726969338802803</v>
      </c>
      <c r="AU130" s="7">
        <v>98.3437236861418</v>
      </c>
      <c r="AV130" s="7">
        <v>99.348768221743299</v>
      </c>
      <c r="AW130" s="7">
        <v>99.465418279295804</v>
      </c>
      <c r="AX130" s="7">
        <v>9.9915582538585799</v>
      </c>
      <c r="AY130" s="7">
        <v>3.1557471397560399</v>
      </c>
      <c r="AZ130" s="7">
        <v>9.0656175886656296</v>
      </c>
      <c r="BA130" s="7">
        <v>9.9097931972158495</v>
      </c>
      <c r="BB130" s="7">
        <v>10</v>
      </c>
      <c r="BC130" s="7">
        <v>90.301822367455401</v>
      </c>
      <c r="BD130" s="7">
        <v>99.822321104390198</v>
      </c>
      <c r="BE130" s="7">
        <v>100</v>
      </c>
      <c r="BF130" s="7">
        <v>100</v>
      </c>
      <c r="BG130" s="7">
        <v>7.70110926915474</v>
      </c>
      <c r="BH130" s="7">
        <v>8.9864268774092899</v>
      </c>
      <c r="BI130" s="7">
        <v>10</v>
      </c>
      <c r="BJ130" s="7">
        <v>10</v>
      </c>
      <c r="BK130" s="7">
        <v>10</v>
      </c>
      <c r="BL130" s="7">
        <v>99.808415799516396</v>
      </c>
      <c r="BM130" s="7">
        <v>100</v>
      </c>
      <c r="BN130" s="7">
        <v>100</v>
      </c>
      <c r="BO130" s="7">
        <v>100</v>
      </c>
      <c r="BP130" s="6">
        <v>14.289641917244101</v>
      </c>
      <c r="BQ130" s="6">
        <v>0.971980810679274</v>
      </c>
      <c r="BR130" s="6">
        <v>3.35683329857007</v>
      </c>
      <c r="BS130" s="6">
        <v>6.5305646326295701</v>
      </c>
      <c r="BT130" s="6">
        <v>8.3990745247089507</v>
      </c>
      <c r="BU130" s="6">
        <v>63.047424814789103</v>
      </c>
      <c r="BV130" s="6">
        <v>92.438604216397493</v>
      </c>
      <c r="BW130" s="6">
        <v>97.762018432254095</v>
      </c>
      <c r="BX130" s="6">
        <v>99.029718726583098</v>
      </c>
      <c r="BY130" s="6" t="str">
        <f>TRIM(Table1[[#This Row],[LA_Name]])</f>
        <v>Telford and Wrekin</v>
      </c>
      <c r="BZ130" s="7">
        <v>29.530699006014501</v>
      </c>
      <c r="CA130" s="7">
        <v>0.12636059545605499</v>
      </c>
      <c r="CB130" s="7">
        <v>0.84101601427611306</v>
      </c>
      <c r="CC130" s="7">
        <v>2.2983228657288302</v>
      </c>
      <c r="CD130" s="7">
        <v>4.1512897170270504</v>
      </c>
      <c r="CE130" s="7">
        <v>12.6360595456055</v>
      </c>
      <c r="CF130" s="7">
        <v>60.023793521672999</v>
      </c>
      <c r="CG130" s="7">
        <v>84.942099855539297</v>
      </c>
      <c r="CH130" s="7">
        <v>96.424791613556096</v>
      </c>
      <c r="CI130" s="7">
        <v>21.092731574445001</v>
      </c>
      <c r="CJ130" s="7">
        <v>0.33989200213214699</v>
      </c>
      <c r="CK130" s="7">
        <v>2.1243752269268499</v>
      </c>
      <c r="CL130" s="7">
        <v>3.1914837732817301</v>
      </c>
      <c r="CM130" s="7">
        <v>3.8107719761755798</v>
      </c>
      <c r="CN130" s="7">
        <v>33.463116178822197</v>
      </c>
      <c r="CO130" s="7">
        <v>85.978817585575598</v>
      </c>
      <c r="CP130" s="7">
        <v>89.427333194280294</v>
      </c>
      <c r="CQ130" s="7">
        <v>99.672452818528001</v>
      </c>
      <c r="CR130" s="7">
        <v>12.309046580656</v>
      </c>
      <c r="CS130" s="7">
        <v>1.8658292583064899</v>
      </c>
      <c r="CT130" s="7">
        <v>4.1013542221913202</v>
      </c>
      <c r="CU130" s="7">
        <v>9.9107665685570208</v>
      </c>
      <c r="CV130" s="7">
        <v>10</v>
      </c>
      <c r="CW130" s="7">
        <v>84.610690089380199</v>
      </c>
      <c r="CX130" s="7">
        <v>99.845496612513202</v>
      </c>
      <c r="CY130" s="7">
        <v>100</v>
      </c>
      <c r="CZ130" s="7">
        <v>100</v>
      </c>
      <c r="DA130" s="9">
        <v>45.091105717706903</v>
      </c>
      <c r="DB130" s="9">
        <v>0.108221897765109</v>
      </c>
      <c r="DC130" s="9">
        <v>0.38208687725478402</v>
      </c>
      <c r="DD130" s="9">
        <v>0.92863488531986105</v>
      </c>
      <c r="DE130" s="9">
        <v>1.4803587568657399</v>
      </c>
      <c r="DF130" s="9">
        <v>10.8221897765109</v>
      </c>
      <c r="DG130" s="9">
        <v>37.158837207505798</v>
      </c>
      <c r="DH130" s="9">
        <v>65.215879858165906</v>
      </c>
      <c r="DI130" s="9">
        <v>79.600145233184193</v>
      </c>
    </row>
    <row r="131" spans="1:113">
      <c r="A131" s="5" t="s">
        <v>366</v>
      </c>
      <c r="B131" s="5" t="s">
        <v>375</v>
      </c>
      <c r="C131" s="5" t="s">
        <v>376</v>
      </c>
      <c r="D131" s="6">
        <v>639071</v>
      </c>
      <c r="E131" s="7">
        <v>11.4868541991149</v>
      </c>
      <c r="F131" s="7">
        <v>1.9458448278829701</v>
      </c>
      <c r="G131" s="7">
        <v>7.5061988417562402</v>
      </c>
      <c r="H131" s="7">
        <v>9.32279981410516</v>
      </c>
      <c r="I131" s="7">
        <v>9.62659078568735</v>
      </c>
      <c r="J131" s="7">
        <v>78.835997878170005</v>
      </c>
      <c r="K131" s="7">
        <v>95.658385375020899</v>
      </c>
      <c r="L131" s="7">
        <v>97.284965207308701</v>
      </c>
      <c r="M131" s="7">
        <v>98.574023856504198</v>
      </c>
      <c r="N131" s="7">
        <v>9.6213113516877602</v>
      </c>
      <c r="O131" s="7">
        <v>4.6868313536367596</v>
      </c>
      <c r="P131" s="7">
        <v>8.65400401520332</v>
      </c>
      <c r="Q131" s="7">
        <v>9.8053205355899404</v>
      </c>
      <c r="R131" s="7">
        <v>9.9851252834192099</v>
      </c>
      <c r="S131" s="7">
        <v>90.590403883136602</v>
      </c>
      <c r="T131" s="7">
        <v>98.967876808680103</v>
      </c>
      <c r="U131" s="7">
        <v>99.867307388380894</v>
      </c>
      <c r="V131" s="7">
        <v>100</v>
      </c>
      <c r="W131" s="7">
        <v>7.3958206670815203</v>
      </c>
      <c r="X131" s="7">
        <v>8.6662076670667307</v>
      </c>
      <c r="Y131" s="7">
        <v>9.9959237705982602</v>
      </c>
      <c r="Z131" s="7">
        <v>10</v>
      </c>
      <c r="AA131" s="7">
        <v>10</v>
      </c>
      <c r="AB131" s="7">
        <v>99.101351805980897</v>
      </c>
      <c r="AC131" s="7">
        <v>100</v>
      </c>
      <c r="AD131" s="7">
        <v>100</v>
      </c>
      <c r="AE131" s="7">
        <v>100</v>
      </c>
      <c r="AF131" s="6">
        <v>14.087523618978601</v>
      </c>
      <c r="AG131" s="6">
        <v>1.6178718796503</v>
      </c>
      <c r="AH131" s="6">
        <v>4.5729848483188897</v>
      </c>
      <c r="AI131" s="6">
        <v>6.8399849156040604</v>
      </c>
      <c r="AJ131" s="6">
        <v>7.8918195317891104</v>
      </c>
      <c r="AK131" s="6">
        <v>72.672832909019505</v>
      </c>
      <c r="AL131" s="6">
        <v>90.207973761913806</v>
      </c>
      <c r="AM131" s="6">
        <v>94.041507125186399</v>
      </c>
      <c r="AN131" s="6">
        <v>96.894711229268694</v>
      </c>
      <c r="AO131" s="6">
        <v>13.9834274156721</v>
      </c>
      <c r="AP131" s="7">
        <v>1.1626626775428699</v>
      </c>
      <c r="AQ131" s="7">
        <v>6.27207775035951</v>
      </c>
      <c r="AR131" s="7">
        <v>9.1836619092401293</v>
      </c>
      <c r="AS131" s="7">
        <v>9.63277945642972</v>
      </c>
      <c r="AT131" s="7">
        <v>61.520550924701602</v>
      </c>
      <c r="AU131" s="7">
        <v>95.355289161924105</v>
      </c>
      <c r="AV131" s="7">
        <v>98.198165775007794</v>
      </c>
      <c r="AW131" s="7">
        <v>99.172079471608001</v>
      </c>
      <c r="AX131" s="7">
        <v>10.9384875789425</v>
      </c>
      <c r="AY131" s="7">
        <v>3.0747788586870599</v>
      </c>
      <c r="AZ131" s="7">
        <v>8.3029193939327595</v>
      </c>
      <c r="BA131" s="7">
        <v>9.7659133335732609</v>
      </c>
      <c r="BB131" s="7">
        <v>9.9859358349854705</v>
      </c>
      <c r="BC131" s="7">
        <v>85.483772538575494</v>
      </c>
      <c r="BD131" s="7">
        <v>98.775566408114301</v>
      </c>
      <c r="BE131" s="7">
        <v>100</v>
      </c>
      <c r="BF131" s="7">
        <v>100</v>
      </c>
      <c r="BG131" s="7">
        <v>8.0566818149988304</v>
      </c>
      <c r="BH131" s="7">
        <v>7.92103224837303</v>
      </c>
      <c r="BI131" s="7">
        <v>9.9991847541196499</v>
      </c>
      <c r="BJ131" s="7">
        <v>10</v>
      </c>
      <c r="BK131" s="7">
        <v>10</v>
      </c>
      <c r="BL131" s="7">
        <v>99.023895623491001</v>
      </c>
      <c r="BM131" s="7">
        <v>100</v>
      </c>
      <c r="BN131" s="7">
        <v>100</v>
      </c>
      <c r="BO131" s="7">
        <v>100</v>
      </c>
      <c r="BP131" s="6">
        <v>18.227835249247001</v>
      </c>
      <c r="BQ131" s="6">
        <v>0.90416714261795605</v>
      </c>
      <c r="BR131" s="6">
        <v>2.9874646166075398</v>
      </c>
      <c r="BS131" s="6">
        <v>5.2064308973494304</v>
      </c>
      <c r="BT131" s="6">
        <v>6.9700549704180004</v>
      </c>
      <c r="BU131" s="6">
        <v>54.542609506611903</v>
      </c>
      <c r="BV131" s="6">
        <v>84.980855022368402</v>
      </c>
      <c r="BW131" s="6">
        <v>92.732262925402694</v>
      </c>
      <c r="BX131" s="6">
        <v>96.651702236527697</v>
      </c>
      <c r="BY131" s="6" t="str">
        <f>TRIM(Table1[[#This Row],[LA_Name]])</f>
        <v>Staffordshire</v>
      </c>
      <c r="BZ131" s="7">
        <v>35.263033859749399</v>
      </c>
      <c r="CA131" s="7">
        <v>0.10178994196263</v>
      </c>
      <c r="CB131" s="7">
        <v>0.64871821753764403</v>
      </c>
      <c r="CC131" s="7">
        <v>1.9064830042358401</v>
      </c>
      <c r="CD131" s="7">
        <v>4.7163758017497299</v>
      </c>
      <c r="CE131" s="7">
        <v>10.137997186541099</v>
      </c>
      <c r="CF131" s="7">
        <v>49.18483235822</v>
      </c>
      <c r="CG131" s="7">
        <v>77.377787444587497</v>
      </c>
      <c r="CH131" s="7">
        <v>92.153453998069097</v>
      </c>
      <c r="CI131" s="7">
        <v>30.3983174161629</v>
      </c>
      <c r="CJ131" s="7">
        <v>0.26478122149182198</v>
      </c>
      <c r="CK131" s="7">
        <v>1.12293313262533</v>
      </c>
      <c r="CL131" s="7">
        <v>2.0230475174119902</v>
      </c>
      <c r="CM131" s="7">
        <v>3.6717985951482701</v>
      </c>
      <c r="CN131" s="7">
        <v>23.938341749195299</v>
      </c>
      <c r="CO131" s="7">
        <v>61.465158018436099</v>
      </c>
      <c r="CP131" s="7">
        <v>78.024507449094102</v>
      </c>
      <c r="CQ131" s="7">
        <v>90.040386748890199</v>
      </c>
      <c r="CR131" s="7">
        <v>16.115126297786901</v>
      </c>
      <c r="CS131" s="7">
        <v>0.84089091822348405</v>
      </c>
      <c r="CT131" s="7">
        <v>5.7861646045588104</v>
      </c>
      <c r="CU131" s="7">
        <v>9.6913457190202692</v>
      </c>
      <c r="CV131" s="7">
        <v>9.9991628473205605</v>
      </c>
      <c r="CW131" s="7">
        <v>54.0032328176368</v>
      </c>
      <c r="CX131" s="7">
        <v>95.530543554628494</v>
      </c>
      <c r="CY131" s="7">
        <v>99.848686609156104</v>
      </c>
      <c r="CZ131" s="7">
        <v>100</v>
      </c>
      <c r="DA131" s="9">
        <v>67.414311965510606</v>
      </c>
      <c r="DB131" s="9">
        <v>6.8885929732377199E-2</v>
      </c>
      <c r="DC131" s="9">
        <v>0.25264329002567798</v>
      </c>
      <c r="DD131" s="9">
        <v>0.50827842289823799</v>
      </c>
      <c r="DE131" s="9">
        <v>0.77287656614053801</v>
      </c>
      <c r="DF131" s="9">
        <v>6.8885929732377198</v>
      </c>
      <c r="DG131" s="9">
        <v>22.949875678915198</v>
      </c>
      <c r="DH131" s="9">
        <v>37.125608891656803</v>
      </c>
      <c r="DI131" s="9">
        <v>48.817424042086103</v>
      </c>
    </row>
    <row r="132" spans="1:113">
      <c r="A132" s="5" t="s">
        <v>366</v>
      </c>
      <c r="B132" s="5" t="s">
        <v>377</v>
      </c>
      <c r="C132" s="5" t="s">
        <v>378</v>
      </c>
      <c r="D132" s="6">
        <v>74072</v>
      </c>
      <c r="E132" s="7">
        <v>8.7535774859404896</v>
      </c>
      <c r="F132" s="7">
        <v>2.53182039097095</v>
      </c>
      <c r="G132" s="7">
        <v>9.6808375634517798</v>
      </c>
      <c r="H132" s="7">
        <v>9.9843665622637392</v>
      </c>
      <c r="I132" s="7">
        <v>9.9921832811318705</v>
      </c>
      <c r="J132" s="7">
        <v>85.532994923857899</v>
      </c>
      <c r="K132" s="7">
        <v>100</v>
      </c>
      <c r="L132" s="7">
        <v>100</v>
      </c>
      <c r="M132" s="7">
        <v>100</v>
      </c>
      <c r="N132" s="7">
        <v>8.1783469171539007</v>
      </c>
      <c r="O132" s="7">
        <v>6.3733394535047001</v>
      </c>
      <c r="P132" s="7">
        <v>9.8619316340857495</v>
      </c>
      <c r="Q132" s="7">
        <v>10</v>
      </c>
      <c r="R132" s="7">
        <v>10</v>
      </c>
      <c r="S132" s="7">
        <v>99.100874824495094</v>
      </c>
      <c r="T132" s="7">
        <v>100</v>
      </c>
      <c r="U132" s="7">
        <v>100</v>
      </c>
      <c r="V132" s="7">
        <v>100</v>
      </c>
      <c r="W132" s="7">
        <v>6.8975473906543501</v>
      </c>
      <c r="X132" s="7">
        <v>9.9085484393563004</v>
      </c>
      <c r="Y132" s="7">
        <v>10</v>
      </c>
      <c r="Z132" s="7">
        <v>10</v>
      </c>
      <c r="AA132" s="7">
        <v>10</v>
      </c>
      <c r="AB132" s="7">
        <v>100</v>
      </c>
      <c r="AC132" s="7">
        <v>100</v>
      </c>
      <c r="AD132" s="7">
        <v>100</v>
      </c>
      <c r="AE132" s="7">
        <v>100</v>
      </c>
      <c r="AF132" s="6">
        <v>9.5298411038844293</v>
      </c>
      <c r="AG132" s="6">
        <v>2.07147100118803</v>
      </c>
      <c r="AH132" s="6">
        <v>6.0529484825575102</v>
      </c>
      <c r="AI132" s="6">
        <v>9.0111378118587293</v>
      </c>
      <c r="AJ132" s="6">
        <v>9.3664677610973097</v>
      </c>
      <c r="AK132" s="6">
        <v>81.013068365914194</v>
      </c>
      <c r="AL132" s="6">
        <v>98.953720704179702</v>
      </c>
      <c r="AM132" s="6">
        <v>100</v>
      </c>
      <c r="AN132" s="6">
        <v>100</v>
      </c>
      <c r="AO132" s="6">
        <v>12.585177406414401</v>
      </c>
      <c r="AP132" s="7">
        <v>1.1910033480937501</v>
      </c>
      <c r="AQ132" s="7">
        <v>7.4702046657306402</v>
      </c>
      <c r="AR132" s="7">
        <v>9.8849092774597693</v>
      </c>
      <c r="AS132" s="7">
        <v>9.9791554163516594</v>
      </c>
      <c r="AT132" s="7">
        <v>61.521222594232597</v>
      </c>
      <c r="AU132" s="7">
        <v>99.739442704395699</v>
      </c>
      <c r="AV132" s="7">
        <v>100</v>
      </c>
      <c r="AW132" s="7">
        <v>100</v>
      </c>
      <c r="AX132" s="7">
        <v>10.0198884949994</v>
      </c>
      <c r="AY132" s="7">
        <v>4.0832028296792302</v>
      </c>
      <c r="AZ132" s="7">
        <v>8.9652905281347905</v>
      </c>
      <c r="BA132" s="7">
        <v>10</v>
      </c>
      <c r="BB132" s="7">
        <v>10</v>
      </c>
      <c r="BC132" s="7">
        <v>93.175558915649603</v>
      </c>
      <c r="BD132" s="7">
        <v>100</v>
      </c>
      <c r="BE132" s="7">
        <v>100</v>
      </c>
      <c r="BF132" s="7">
        <v>100</v>
      </c>
      <c r="BG132" s="7">
        <v>7.6397765481339404</v>
      </c>
      <c r="BH132" s="7">
        <v>9.0525299708391795</v>
      </c>
      <c r="BI132" s="7">
        <v>10</v>
      </c>
      <c r="BJ132" s="7">
        <v>10</v>
      </c>
      <c r="BK132" s="7">
        <v>10</v>
      </c>
      <c r="BL132" s="7">
        <v>100</v>
      </c>
      <c r="BM132" s="7">
        <v>100</v>
      </c>
      <c r="BN132" s="7">
        <v>100</v>
      </c>
      <c r="BO132" s="7">
        <v>100</v>
      </c>
      <c r="BP132" s="6">
        <v>15.418495126721201</v>
      </c>
      <c r="BQ132" s="6">
        <v>0.96314396803110502</v>
      </c>
      <c r="BR132" s="6">
        <v>3.8157738416675699</v>
      </c>
      <c r="BS132" s="6">
        <v>6.5411221514202396</v>
      </c>
      <c r="BT132" s="6">
        <v>8.2407387406847405</v>
      </c>
      <c r="BU132" s="6">
        <v>54.904687331245299</v>
      </c>
      <c r="BV132" s="6">
        <v>93.642671994815899</v>
      </c>
      <c r="BW132" s="6">
        <v>99.107625013500396</v>
      </c>
      <c r="BX132" s="6">
        <v>100</v>
      </c>
      <c r="BY132" s="6" t="str">
        <f>TRIM(Table1[[#This Row],[LA_Name]])</f>
        <v>Cannock Chase</v>
      </c>
      <c r="BZ132" s="7">
        <v>37.822951319657903</v>
      </c>
      <c r="CA132" s="7">
        <v>5.1814450804622499E-2</v>
      </c>
      <c r="CB132" s="7">
        <v>0.25379360622097402</v>
      </c>
      <c r="CC132" s="7">
        <v>0.90174424883896798</v>
      </c>
      <c r="CD132" s="7">
        <v>3.92045577276164</v>
      </c>
      <c r="CE132" s="7">
        <v>5.1814450804622503</v>
      </c>
      <c r="CF132" s="7">
        <v>25.379360622097401</v>
      </c>
      <c r="CG132" s="7">
        <v>72.255373150448193</v>
      </c>
      <c r="CH132" s="7">
        <v>99.4734852575872</v>
      </c>
      <c r="CI132" s="7">
        <v>31.4081289579536</v>
      </c>
      <c r="CJ132" s="7">
        <v>7.3793066205853797E-2</v>
      </c>
      <c r="CK132" s="7">
        <v>0.57526460740900698</v>
      </c>
      <c r="CL132" s="7">
        <v>0.86972135219786195</v>
      </c>
      <c r="CM132" s="7">
        <v>4.4497785938006302</v>
      </c>
      <c r="CN132" s="7">
        <v>7.3793066205853801</v>
      </c>
      <c r="CO132" s="7">
        <v>57.526460740900703</v>
      </c>
      <c r="CP132" s="7">
        <v>75.928826007128194</v>
      </c>
      <c r="CQ132" s="7">
        <v>100</v>
      </c>
      <c r="CR132" s="7">
        <v>16.247191895424301</v>
      </c>
      <c r="CS132" s="7">
        <v>0.36976185333189299</v>
      </c>
      <c r="CT132" s="7">
        <v>7.2655659358462001</v>
      </c>
      <c r="CU132" s="7">
        <v>10</v>
      </c>
      <c r="CV132" s="7">
        <v>10</v>
      </c>
      <c r="CW132" s="7">
        <v>36.976185333189299</v>
      </c>
      <c r="CX132" s="7">
        <v>100</v>
      </c>
      <c r="CY132" s="7">
        <v>100</v>
      </c>
      <c r="CZ132" s="7">
        <v>100</v>
      </c>
      <c r="DA132" s="9">
        <v>77.781958336981205</v>
      </c>
      <c r="DB132" s="9">
        <v>3.8597580732260502E-2</v>
      </c>
      <c r="DC132" s="9">
        <v>7.3793066205853797E-2</v>
      </c>
      <c r="DD132" s="9">
        <v>0.11162112539151101</v>
      </c>
      <c r="DE132" s="9">
        <v>0.25854573928070002</v>
      </c>
      <c r="DF132" s="9">
        <v>3.8597580732260499</v>
      </c>
      <c r="DG132" s="9">
        <v>7.3793066205853801</v>
      </c>
      <c r="DH132" s="9">
        <v>11.162112539151099</v>
      </c>
      <c r="DI132" s="9">
        <v>25.85457392807</v>
      </c>
    </row>
    <row r="133" spans="1:113">
      <c r="A133" s="5" t="s">
        <v>366</v>
      </c>
      <c r="B133" s="5" t="s">
        <v>379</v>
      </c>
      <c r="C133" s="5" t="s">
        <v>380</v>
      </c>
      <c r="D133" s="6">
        <v>85693</v>
      </c>
      <c r="E133" s="7">
        <v>9.6396496682277899</v>
      </c>
      <c r="F133" s="7">
        <v>2.12047658501861</v>
      </c>
      <c r="G133" s="7">
        <v>7.6341708190867399</v>
      </c>
      <c r="H133" s="7">
        <v>9.0036292345932605</v>
      </c>
      <c r="I133" s="7">
        <v>9.5115820428739806</v>
      </c>
      <c r="J133" s="7">
        <v>86.605673742312703</v>
      </c>
      <c r="K133" s="7">
        <v>98.199386180901598</v>
      </c>
      <c r="L133" s="7">
        <v>98.582147900061798</v>
      </c>
      <c r="M133" s="7">
        <v>99.048930484403598</v>
      </c>
      <c r="N133" s="7">
        <v>9.1953411824063895</v>
      </c>
      <c r="O133" s="7">
        <v>4.5375001458695596</v>
      </c>
      <c r="P133" s="7">
        <v>7.8224008962225602</v>
      </c>
      <c r="Q133" s="7">
        <v>9.3979321531513698</v>
      </c>
      <c r="R133" s="7">
        <v>9.9665316887026894</v>
      </c>
      <c r="S133" s="7">
        <v>93.350682086051407</v>
      </c>
      <c r="T133" s="7">
        <v>97.804954897132802</v>
      </c>
      <c r="U133" s="7">
        <v>100</v>
      </c>
      <c r="V133" s="7">
        <v>100</v>
      </c>
      <c r="W133" s="7">
        <v>7.0975989814638902</v>
      </c>
      <c r="X133" s="7">
        <v>7.9150922479082304</v>
      </c>
      <c r="Y133" s="7">
        <v>10</v>
      </c>
      <c r="Z133" s="7">
        <v>10</v>
      </c>
      <c r="AA133" s="7">
        <v>10</v>
      </c>
      <c r="AB133" s="7">
        <v>99.865800007001695</v>
      </c>
      <c r="AC133" s="7">
        <v>100</v>
      </c>
      <c r="AD133" s="7">
        <v>100</v>
      </c>
      <c r="AE133" s="7">
        <v>100</v>
      </c>
      <c r="AF133" s="6">
        <v>12.9705169631484</v>
      </c>
      <c r="AG133" s="6">
        <v>1.6670206434597901</v>
      </c>
      <c r="AH133" s="6">
        <v>4.3829834408878199</v>
      </c>
      <c r="AI133" s="6">
        <v>6.7273406229213597</v>
      </c>
      <c r="AJ133" s="6">
        <v>7.3618381898171403</v>
      </c>
      <c r="AK133" s="6">
        <v>80.511827103730795</v>
      </c>
      <c r="AL133" s="6">
        <v>92.533812563453296</v>
      </c>
      <c r="AM133" s="6">
        <v>94.805876792736896</v>
      </c>
      <c r="AN133" s="6">
        <v>95.535224580770901</v>
      </c>
      <c r="AO133" s="6">
        <v>12.8855383639323</v>
      </c>
      <c r="AP133" s="7">
        <v>1.950007585217</v>
      </c>
      <c r="AQ133" s="7">
        <v>7.3878496493295804</v>
      </c>
      <c r="AR133" s="7">
        <v>9.3699135285262507</v>
      </c>
      <c r="AS133" s="7">
        <v>9.7233496318252399</v>
      </c>
      <c r="AT133" s="7">
        <v>63.383240171309197</v>
      </c>
      <c r="AU133" s="7">
        <v>96.813041905406493</v>
      </c>
      <c r="AV133" s="7">
        <v>98.293909654230802</v>
      </c>
      <c r="AW133" s="7">
        <v>98.293909654230802</v>
      </c>
      <c r="AX133" s="7">
        <v>10.7235638884774</v>
      </c>
      <c r="AY133" s="7">
        <v>3.8903294318089001</v>
      </c>
      <c r="AZ133" s="7">
        <v>8.1623936610925103</v>
      </c>
      <c r="BA133" s="7">
        <v>9.6162813765418402</v>
      </c>
      <c r="BB133" s="7">
        <v>9.9773143664009893</v>
      </c>
      <c r="BC133" s="7">
        <v>82.614682646190502</v>
      </c>
      <c r="BD133" s="7">
        <v>99.187798303245302</v>
      </c>
      <c r="BE133" s="7">
        <v>100</v>
      </c>
      <c r="BF133" s="7">
        <v>100</v>
      </c>
      <c r="BG133" s="7">
        <v>7.9592620310066096</v>
      </c>
      <c r="BH133" s="7">
        <v>8.2952516541607793</v>
      </c>
      <c r="BI133" s="7">
        <v>10</v>
      </c>
      <c r="BJ133" s="7">
        <v>10</v>
      </c>
      <c r="BK133" s="7">
        <v>10</v>
      </c>
      <c r="BL133" s="7">
        <v>99.462033071546102</v>
      </c>
      <c r="BM133" s="7">
        <v>100</v>
      </c>
      <c r="BN133" s="7">
        <v>100</v>
      </c>
      <c r="BO133" s="7">
        <v>100</v>
      </c>
      <c r="BP133" s="6">
        <v>17.718346681060002</v>
      </c>
      <c r="BQ133" s="6">
        <v>1.1796179384547201</v>
      </c>
      <c r="BR133" s="6">
        <v>3.6709532867328698</v>
      </c>
      <c r="BS133" s="6">
        <v>5.8613655724504898</v>
      </c>
      <c r="BT133" s="6">
        <v>7.5520054146779803</v>
      </c>
      <c r="BU133" s="6">
        <v>53.646155461939699</v>
      </c>
      <c r="BV133" s="6">
        <v>82.991609583046497</v>
      </c>
      <c r="BW133" s="6">
        <v>94.560815935957393</v>
      </c>
      <c r="BX133" s="6">
        <v>96.745358430677001</v>
      </c>
      <c r="BY133" s="6" t="str">
        <f>TRIM(Table1[[#This Row],[LA_Name]])</f>
        <v>East Staffordshire</v>
      </c>
      <c r="BZ133" s="7">
        <v>32.813255424622902</v>
      </c>
      <c r="CA133" s="7">
        <v>0.128236845483295</v>
      </c>
      <c r="CB133" s="7">
        <v>0.69878519832425101</v>
      </c>
      <c r="CC133" s="7">
        <v>1.5671058312814301</v>
      </c>
      <c r="CD133" s="7">
        <v>4.7398737353109404</v>
      </c>
      <c r="CE133" s="7">
        <v>12.823684548329499</v>
      </c>
      <c r="CF133" s="7">
        <v>66.029897424527107</v>
      </c>
      <c r="CG133" s="7">
        <v>76.980616853185197</v>
      </c>
      <c r="CH133" s="7">
        <v>91.101956985984899</v>
      </c>
      <c r="CI133" s="7">
        <v>33.047378693229298</v>
      </c>
      <c r="CJ133" s="7">
        <v>0.29641861062163799</v>
      </c>
      <c r="CK133" s="7">
        <v>0.66621544350180295</v>
      </c>
      <c r="CL133" s="7">
        <v>0.79940018437912097</v>
      </c>
      <c r="CM133" s="7">
        <v>1.3601461029488999</v>
      </c>
      <c r="CN133" s="7">
        <v>29.641861062163802</v>
      </c>
      <c r="CO133" s="7">
        <v>66.621544350180301</v>
      </c>
      <c r="CP133" s="7">
        <v>75.680627355793305</v>
      </c>
      <c r="CQ133" s="7">
        <v>77.691293337845593</v>
      </c>
      <c r="CR133" s="7">
        <v>15.244345065460699</v>
      </c>
      <c r="CS133" s="7">
        <v>0.66335640017271003</v>
      </c>
      <c r="CT133" s="7">
        <v>3.37420792830219</v>
      </c>
      <c r="CU133" s="7">
        <v>9.9144154131609294</v>
      </c>
      <c r="CV133" s="7">
        <v>10</v>
      </c>
      <c r="CW133" s="7">
        <v>66.335640017271004</v>
      </c>
      <c r="CX133" s="7">
        <v>93.465043819215097</v>
      </c>
      <c r="CY133" s="7">
        <v>100</v>
      </c>
      <c r="CZ133" s="7">
        <v>100</v>
      </c>
      <c r="DA133" s="9">
        <v>60.965183254242199</v>
      </c>
      <c r="DB133" s="9">
        <v>9.1827803904636296E-2</v>
      </c>
      <c r="DC133" s="9">
        <v>0.25930939516646601</v>
      </c>
      <c r="DD133" s="9">
        <v>0.53807195453537604</v>
      </c>
      <c r="DE133" s="9">
        <v>0.62644556731588297</v>
      </c>
      <c r="DF133" s="9">
        <v>9.1827803904636305</v>
      </c>
      <c r="DG133" s="9">
        <v>25.9309395166466</v>
      </c>
      <c r="DH133" s="9">
        <v>53.807195453537602</v>
      </c>
      <c r="DI133" s="9">
        <v>62.644556731588303</v>
      </c>
    </row>
    <row r="134" spans="1:113">
      <c r="A134" s="5" t="s">
        <v>366</v>
      </c>
      <c r="B134" s="5" t="s">
        <v>381</v>
      </c>
      <c r="C134" s="5" t="s">
        <v>382</v>
      </c>
      <c r="D134" s="6">
        <v>75071</v>
      </c>
      <c r="E134" s="7">
        <v>14.036699502570499</v>
      </c>
      <c r="F134" s="7">
        <v>1.7302420375378</v>
      </c>
      <c r="G134" s="7">
        <v>7.1532415979539401</v>
      </c>
      <c r="H134" s="7">
        <v>9.1446763730335299</v>
      </c>
      <c r="I134" s="7">
        <v>9.3592465799043598</v>
      </c>
      <c r="J134" s="7">
        <v>72.033141958945507</v>
      </c>
      <c r="K134" s="7">
        <v>92.300622077766405</v>
      </c>
      <c r="L134" s="7">
        <v>94.334696487325303</v>
      </c>
      <c r="M134" s="7">
        <v>97.778103395452305</v>
      </c>
      <c r="N134" s="7">
        <v>10.8667810580337</v>
      </c>
      <c r="O134" s="7">
        <v>4.3776158569887196</v>
      </c>
      <c r="P134" s="7">
        <v>8.4740712125854198</v>
      </c>
      <c r="Q134" s="7">
        <v>10</v>
      </c>
      <c r="R134" s="7">
        <v>10</v>
      </c>
      <c r="S134" s="7">
        <v>80.335948635291899</v>
      </c>
      <c r="T134" s="7">
        <v>99.809513660401507</v>
      </c>
      <c r="U134" s="7">
        <v>100</v>
      </c>
      <c r="V134" s="7">
        <v>100</v>
      </c>
      <c r="W134" s="7">
        <v>7.8758416640985702</v>
      </c>
      <c r="X134" s="7">
        <v>8.6799163458592492</v>
      </c>
      <c r="Y134" s="7">
        <v>10</v>
      </c>
      <c r="Z134" s="7">
        <v>10</v>
      </c>
      <c r="AA134" s="7">
        <v>10</v>
      </c>
      <c r="AB134" s="7">
        <v>99.254039509264601</v>
      </c>
      <c r="AC134" s="7">
        <v>100</v>
      </c>
      <c r="AD134" s="7">
        <v>100</v>
      </c>
      <c r="AE134" s="7">
        <v>100</v>
      </c>
      <c r="AF134" s="6">
        <v>18.2885668200915</v>
      </c>
      <c r="AG134" s="6">
        <v>1.4962102542925999</v>
      </c>
      <c r="AH134" s="6">
        <v>4.2016491055134502</v>
      </c>
      <c r="AI134" s="6">
        <v>6.3703294214810002</v>
      </c>
      <c r="AJ134" s="6">
        <v>7.1088702694782304</v>
      </c>
      <c r="AK134" s="6">
        <v>62.2823726871895</v>
      </c>
      <c r="AL134" s="6">
        <v>79.944319377655802</v>
      </c>
      <c r="AM134" s="6">
        <v>87.669006673682205</v>
      </c>
      <c r="AN134" s="6">
        <v>96.194269424944395</v>
      </c>
      <c r="AO134" s="6">
        <v>12.9763623914526</v>
      </c>
      <c r="AP134" s="7">
        <v>1.0953630563067001</v>
      </c>
      <c r="AQ134" s="7">
        <v>6.1542006900134503</v>
      </c>
      <c r="AR134" s="7">
        <v>9.1307029345552895</v>
      </c>
      <c r="AS134" s="7">
        <v>9.4341756470541203</v>
      </c>
      <c r="AT134" s="7">
        <v>69.514193230408594</v>
      </c>
      <c r="AU134" s="7">
        <v>94.044304724860496</v>
      </c>
      <c r="AV134" s="7">
        <v>98.674588056639706</v>
      </c>
      <c r="AW134" s="7">
        <v>100</v>
      </c>
      <c r="AX134" s="7">
        <v>10.0522802803528</v>
      </c>
      <c r="AY134" s="7">
        <v>2.6342262658017099</v>
      </c>
      <c r="AZ134" s="7">
        <v>8.6920248831106495</v>
      </c>
      <c r="BA134" s="7">
        <v>9.9892768179456795</v>
      </c>
      <c r="BB134" s="7">
        <v>10</v>
      </c>
      <c r="BC134" s="7">
        <v>88.240465692477798</v>
      </c>
      <c r="BD134" s="7">
        <v>100</v>
      </c>
      <c r="BE134" s="7">
        <v>100</v>
      </c>
      <c r="BF134" s="7">
        <v>100</v>
      </c>
      <c r="BG134" s="7">
        <v>7.5389078257729301</v>
      </c>
      <c r="BH134" s="7">
        <v>8.1406535146727794</v>
      </c>
      <c r="BI134" s="7">
        <v>10</v>
      </c>
      <c r="BJ134" s="7">
        <v>10</v>
      </c>
      <c r="BK134" s="7">
        <v>10</v>
      </c>
      <c r="BL134" s="7">
        <v>100</v>
      </c>
      <c r="BM134" s="7">
        <v>100</v>
      </c>
      <c r="BN134" s="7">
        <v>100</v>
      </c>
      <c r="BO134" s="7">
        <v>100</v>
      </c>
      <c r="BP134" s="6">
        <v>15.46253385654</v>
      </c>
      <c r="BQ134" s="6">
        <v>0.86026561521759404</v>
      </c>
      <c r="BR134" s="6">
        <v>2.4832358700430301</v>
      </c>
      <c r="BS134" s="6">
        <v>4.11766194669047</v>
      </c>
      <c r="BT134" s="6">
        <v>5.7715229582661696</v>
      </c>
      <c r="BU134" s="6">
        <v>60.357528206631102</v>
      </c>
      <c r="BV134" s="6">
        <v>87.818198771829302</v>
      </c>
      <c r="BW134" s="6">
        <v>94.884842349242703</v>
      </c>
      <c r="BX134" s="6">
        <v>100</v>
      </c>
      <c r="BY134" s="6" t="str">
        <f>TRIM(Table1[[#This Row],[LA_Name]])</f>
        <v>Lichfield</v>
      </c>
      <c r="BZ134" s="7">
        <v>29.103632758373301</v>
      </c>
      <c r="CA134" s="7">
        <v>0.144010336881086</v>
      </c>
      <c r="CB134" s="7">
        <v>0.94273421161300597</v>
      </c>
      <c r="CC134" s="7">
        <v>2.6137922766447801</v>
      </c>
      <c r="CD134" s="7">
        <v>5.7771975862849798</v>
      </c>
      <c r="CE134" s="7">
        <v>14.401033688108599</v>
      </c>
      <c r="CF134" s="7">
        <v>66.554328568954702</v>
      </c>
      <c r="CG134" s="7">
        <v>91.734491348190403</v>
      </c>
      <c r="CH134" s="7">
        <v>92.271316487058897</v>
      </c>
      <c r="CI134" s="7">
        <v>21.364399306296601</v>
      </c>
      <c r="CJ134" s="7">
        <v>0.35239972825725002</v>
      </c>
      <c r="CK134" s="7">
        <v>1.0585312570766301</v>
      </c>
      <c r="CL134" s="7">
        <v>2.47237948075822</v>
      </c>
      <c r="CM134" s="7">
        <v>5.0249763557165901</v>
      </c>
      <c r="CN134" s="7">
        <v>35.239972825724998</v>
      </c>
      <c r="CO134" s="7">
        <v>86.214383716748102</v>
      </c>
      <c r="CP134" s="7">
        <v>97.699511129464099</v>
      </c>
      <c r="CQ134" s="7">
        <v>100</v>
      </c>
      <c r="CR134" s="7">
        <v>12.6087472054496</v>
      </c>
      <c r="CS134" s="7">
        <v>0.75818891449427905</v>
      </c>
      <c r="CT134" s="7">
        <v>7.8784883643484198</v>
      </c>
      <c r="CU134" s="7">
        <v>10</v>
      </c>
      <c r="CV134" s="7">
        <v>10</v>
      </c>
      <c r="CW134" s="7">
        <v>71.447030144796301</v>
      </c>
      <c r="CX134" s="7">
        <v>100</v>
      </c>
      <c r="CY134" s="7">
        <v>100</v>
      </c>
      <c r="CZ134" s="7">
        <v>100</v>
      </c>
      <c r="DA134" s="9">
        <v>51.130790779896799</v>
      </c>
      <c r="DB134" s="9">
        <v>0.102423039522585</v>
      </c>
      <c r="DC134" s="9">
        <v>0.34940256557125898</v>
      </c>
      <c r="DD134" s="9">
        <v>0.44627086358247497</v>
      </c>
      <c r="DE134" s="9">
        <v>0.59463707690053402</v>
      </c>
      <c r="DF134" s="9">
        <v>10.242303952258499</v>
      </c>
      <c r="DG134" s="9">
        <v>34.940256557125899</v>
      </c>
      <c r="DH134" s="9">
        <v>44.627086358247503</v>
      </c>
      <c r="DI134" s="9">
        <v>58.358087676999098</v>
      </c>
    </row>
    <row r="135" spans="1:113">
      <c r="A135" s="5" t="s">
        <v>366</v>
      </c>
      <c r="B135" s="5" t="s">
        <v>383</v>
      </c>
      <c r="C135" s="5" t="s">
        <v>384</v>
      </c>
      <c r="D135" s="6">
        <v>96066</v>
      </c>
      <c r="E135" s="7">
        <v>9.4713172393388394</v>
      </c>
      <c r="F135" s="7">
        <v>2.2434680323944001</v>
      </c>
      <c r="G135" s="7">
        <v>8.3389752878229508</v>
      </c>
      <c r="H135" s="7">
        <v>9.7436866321070905</v>
      </c>
      <c r="I135" s="7">
        <v>9.9394166510523991</v>
      </c>
      <c r="J135" s="7">
        <v>87.627256261320298</v>
      </c>
      <c r="K135" s="7">
        <v>98.842462473715997</v>
      </c>
      <c r="L135" s="7">
        <v>99.581537692836207</v>
      </c>
      <c r="M135" s="7">
        <v>100</v>
      </c>
      <c r="N135" s="7">
        <v>8.7631663764073799</v>
      </c>
      <c r="O135" s="7">
        <v>5.8901380301042998</v>
      </c>
      <c r="P135" s="7">
        <v>9.4492015905731499</v>
      </c>
      <c r="Q135" s="7">
        <v>9.9409676680615409</v>
      </c>
      <c r="R135" s="7">
        <v>10</v>
      </c>
      <c r="S135" s="7">
        <v>96.434742781004701</v>
      </c>
      <c r="T135" s="7">
        <v>99.672100430953705</v>
      </c>
      <c r="U135" s="7">
        <v>100</v>
      </c>
      <c r="V135" s="7">
        <v>100</v>
      </c>
      <c r="W135" s="7">
        <v>7.0393953230147099</v>
      </c>
      <c r="X135" s="7">
        <v>9.5014885599483705</v>
      </c>
      <c r="Y135" s="7">
        <v>10</v>
      </c>
      <c r="Z135" s="7">
        <v>10</v>
      </c>
      <c r="AA135" s="7">
        <v>10</v>
      </c>
      <c r="AB135" s="7">
        <v>99.672100430953705</v>
      </c>
      <c r="AC135" s="7">
        <v>100</v>
      </c>
      <c r="AD135" s="7">
        <v>100</v>
      </c>
      <c r="AE135" s="7">
        <v>100</v>
      </c>
      <c r="AF135" s="6">
        <v>11.2274997444046</v>
      </c>
      <c r="AG135" s="6">
        <v>1.9218766264859599</v>
      </c>
      <c r="AH135" s="6">
        <v>5.7234609539275096</v>
      </c>
      <c r="AI135" s="6">
        <v>7.9546249453500701</v>
      </c>
      <c r="AJ135" s="6">
        <v>8.9102179751420891</v>
      </c>
      <c r="AK135" s="6">
        <v>79.274665334249406</v>
      </c>
      <c r="AL135" s="6">
        <v>96.336893385797296</v>
      </c>
      <c r="AM135" s="6">
        <v>97.919138925322201</v>
      </c>
      <c r="AN135" s="6">
        <v>98.970499448295996</v>
      </c>
      <c r="AO135" s="6">
        <v>13.4097652386454</v>
      </c>
      <c r="AP135" s="7">
        <v>1.1019091041575599</v>
      </c>
      <c r="AQ135" s="7">
        <v>7.0924676784710501</v>
      </c>
      <c r="AR135" s="7">
        <v>9.3437220244415293</v>
      </c>
      <c r="AS135" s="7">
        <v>9.9022651094039507</v>
      </c>
      <c r="AT135" s="7">
        <v>60.9528865571586</v>
      </c>
      <c r="AU135" s="7">
        <v>97.186309412279101</v>
      </c>
      <c r="AV135" s="7">
        <v>99.551350113463698</v>
      </c>
      <c r="AW135" s="7">
        <v>99.551350113463698</v>
      </c>
      <c r="AX135" s="7">
        <v>10.8570064469687</v>
      </c>
      <c r="AY135" s="7">
        <v>3.7117710740532601</v>
      </c>
      <c r="AZ135" s="7">
        <v>9.1199696042304303</v>
      </c>
      <c r="BA135" s="7">
        <v>9.7168092769554306</v>
      </c>
      <c r="BB135" s="7">
        <v>9.9586742447900392</v>
      </c>
      <c r="BC135" s="7">
        <v>89.339620677450895</v>
      </c>
      <c r="BD135" s="7">
        <v>97.539191805633607</v>
      </c>
      <c r="BE135" s="7">
        <v>100</v>
      </c>
      <c r="BF135" s="7">
        <v>100</v>
      </c>
      <c r="BG135" s="7">
        <v>7.8344322893285101</v>
      </c>
      <c r="BH135" s="7">
        <v>8.9094580809027093</v>
      </c>
      <c r="BI135" s="7">
        <v>10</v>
      </c>
      <c r="BJ135" s="7">
        <v>10</v>
      </c>
      <c r="BK135" s="7">
        <v>10</v>
      </c>
      <c r="BL135" s="7">
        <v>100</v>
      </c>
      <c r="BM135" s="7">
        <v>100</v>
      </c>
      <c r="BN135" s="7">
        <v>100</v>
      </c>
      <c r="BO135" s="7">
        <v>100</v>
      </c>
      <c r="BP135" s="6">
        <v>18.207294768590401</v>
      </c>
      <c r="BQ135" s="6">
        <v>0.95045073178856199</v>
      </c>
      <c r="BR135" s="6">
        <v>3.52674203152</v>
      </c>
      <c r="BS135" s="6">
        <v>6.4240626236129303</v>
      </c>
      <c r="BT135" s="6">
        <v>8.2239814294339304</v>
      </c>
      <c r="BU135" s="6">
        <v>55.2411883496763</v>
      </c>
      <c r="BV135" s="6">
        <v>88.919076468261395</v>
      </c>
      <c r="BW135" s="6">
        <v>92.583224033476995</v>
      </c>
      <c r="BX135" s="6">
        <v>94.018695480190701</v>
      </c>
      <c r="BY135" s="6" t="str">
        <f>TRIM(Table1[[#This Row],[LA_Name]])</f>
        <v>Newcastle-under-Lyme</v>
      </c>
      <c r="BZ135" s="7">
        <v>25.814030552864399</v>
      </c>
      <c r="CA135" s="7">
        <v>0.19343992671704899</v>
      </c>
      <c r="CB135" s="7">
        <v>1.29770158016364</v>
      </c>
      <c r="CC135" s="7">
        <v>3.34754231465867</v>
      </c>
      <c r="CD135" s="7">
        <v>5.5471238523515103</v>
      </c>
      <c r="CE135" s="7">
        <v>19.071263506339399</v>
      </c>
      <c r="CF135" s="7">
        <v>72.288843087044299</v>
      </c>
      <c r="CG135" s="7">
        <v>89.365644452772102</v>
      </c>
      <c r="CH135" s="7">
        <v>98.673828409635107</v>
      </c>
      <c r="CI135" s="7">
        <v>21.179697237795502</v>
      </c>
      <c r="CJ135" s="7">
        <v>0.59675639664397395</v>
      </c>
      <c r="CK135" s="7">
        <v>2.9930776757645798</v>
      </c>
      <c r="CL135" s="7">
        <v>4.3087981179605697</v>
      </c>
      <c r="CM135" s="7">
        <v>5.3070389107488598</v>
      </c>
      <c r="CN135" s="7">
        <v>46.8511231861429</v>
      </c>
      <c r="CO135" s="7">
        <v>77.908937605396304</v>
      </c>
      <c r="CP135" s="7">
        <v>95.166864447359103</v>
      </c>
      <c r="CQ135" s="7">
        <v>96.543001686340602</v>
      </c>
      <c r="CR135" s="7">
        <v>12.233412640790601</v>
      </c>
      <c r="CS135" s="7">
        <v>2.1042616534465899</v>
      </c>
      <c r="CT135" s="7">
        <v>7.0898965294693204</v>
      </c>
      <c r="CU135" s="7">
        <v>10</v>
      </c>
      <c r="CV135" s="7">
        <v>10</v>
      </c>
      <c r="CW135" s="7">
        <v>74.804821685091497</v>
      </c>
      <c r="CX135" s="7">
        <v>99.778277434263899</v>
      </c>
      <c r="CY135" s="7">
        <v>100</v>
      </c>
      <c r="CZ135" s="7">
        <v>100</v>
      </c>
      <c r="DA135" s="9">
        <v>47.704689738583298</v>
      </c>
      <c r="DB135" s="9">
        <v>0.13330418670497399</v>
      </c>
      <c r="DC135" s="9">
        <v>0.55458747111360895</v>
      </c>
      <c r="DD135" s="9">
        <v>1.3601898694647401</v>
      </c>
      <c r="DE135" s="9">
        <v>2.1339287573126802</v>
      </c>
      <c r="DF135" s="9">
        <v>13.3304186704974</v>
      </c>
      <c r="DG135" s="9">
        <v>43.483646659588203</v>
      </c>
      <c r="DH135" s="9">
        <v>60.169050444486103</v>
      </c>
      <c r="DI135" s="9">
        <v>70.680573772198301</v>
      </c>
    </row>
    <row r="136" spans="1:113">
      <c r="A136" s="5" t="s">
        <v>366</v>
      </c>
      <c r="B136" s="5" t="s">
        <v>385</v>
      </c>
      <c r="C136" s="5" t="s">
        <v>386</v>
      </c>
      <c r="D136" s="6">
        <v>81730</v>
      </c>
      <c r="E136" s="7">
        <v>12.342878142510999</v>
      </c>
      <c r="F136" s="7">
        <v>1.6428728740976399</v>
      </c>
      <c r="G136" s="7">
        <v>7.0909213263183704</v>
      </c>
      <c r="H136" s="7">
        <v>9.3145723724458591</v>
      </c>
      <c r="I136" s="7">
        <v>9.7134222439740601</v>
      </c>
      <c r="J136" s="7">
        <v>69.632937721766794</v>
      </c>
      <c r="K136" s="7">
        <v>95.272237856356298</v>
      </c>
      <c r="L136" s="7">
        <v>97.853909213263194</v>
      </c>
      <c r="M136" s="7">
        <v>99.793221583261996</v>
      </c>
      <c r="N136" s="7">
        <v>9.85736312279864</v>
      </c>
      <c r="O136" s="7">
        <v>3.91128104735103</v>
      </c>
      <c r="P136" s="7">
        <v>8.5835678453444295</v>
      </c>
      <c r="Q136" s="7">
        <v>9.9254863575186594</v>
      </c>
      <c r="R136" s="7">
        <v>10</v>
      </c>
      <c r="S136" s="7">
        <v>87.096537379175302</v>
      </c>
      <c r="T136" s="7">
        <v>99.793221583261996</v>
      </c>
      <c r="U136" s="7">
        <v>100</v>
      </c>
      <c r="V136" s="7">
        <v>100</v>
      </c>
      <c r="W136" s="7">
        <v>7.4874931982997897</v>
      </c>
      <c r="X136" s="7">
        <v>8.5541906276764994</v>
      </c>
      <c r="Y136" s="7">
        <v>10</v>
      </c>
      <c r="Z136" s="7">
        <v>10</v>
      </c>
      <c r="AA136" s="7">
        <v>10</v>
      </c>
      <c r="AB136" s="7">
        <v>99.793221583261996</v>
      </c>
      <c r="AC136" s="7">
        <v>100</v>
      </c>
      <c r="AD136" s="7">
        <v>100</v>
      </c>
      <c r="AE136" s="7">
        <v>100</v>
      </c>
      <c r="AF136" s="6">
        <v>14.8233208346351</v>
      </c>
      <c r="AG136" s="6">
        <v>1.31079163098006</v>
      </c>
      <c r="AH136" s="6">
        <v>3.80874831763122</v>
      </c>
      <c r="AI136" s="6">
        <v>5.7978955096047997</v>
      </c>
      <c r="AJ136" s="6">
        <v>7.7611403401443804</v>
      </c>
      <c r="AK136" s="6">
        <v>64.541783922672195</v>
      </c>
      <c r="AL136" s="6">
        <v>86.610791630980103</v>
      </c>
      <c r="AM136" s="6">
        <v>96.0516334271381</v>
      </c>
      <c r="AN136" s="6">
        <v>99.542395693135902</v>
      </c>
      <c r="AO136" s="6">
        <v>15.0647386412302</v>
      </c>
      <c r="AP136" s="7">
        <v>0.85991679921693398</v>
      </c>
      <c r="AQ136" s="7">
        <v>6.12525388474244</v>
      </c>
      <c r="AR136" s="7">
        <v>9.2393980178636994</v>
      </c>
      <c r="AS136" s="7">
        <v>9.6817814755903608</v>
      </c>
      <c r="AT136" s="7">
        <v>61.957665483910397</v>
      </c>
      <c r="AU136" s="7">
        <v>92.569435947632499</v>
      </c>
      <c r="AV136" s="7">
        <v>97.829438394714302</v>
      </c>
      <c r="AW136" s="7">
        <v>98.923283983849302</v>
      </c>
      <c r="AX136" s="7">
        <v>11.594817108339599</v>
      </c>
      <c r="AY136" s="7">
        <v>1.66807781720299</v>
      </c>
      <c r="AZ136" s="7">
        <v>8.2896610791630998</v>
      </c>
      <c r="BA136" s="7">
        <v>9.7890493086993793</v>
      </c>
      <c r="BB136" s="7">
        <v>10</v>
      </c>
      <c r="BC136" s="7">
        <v>85.200048941637107</v>
      </c>
      <c r="BD136" s="7">
        <v>96.456625474122106</v>
      </c>
      <c r="BE136" s="7">
        <v>100</v>
      </c>
      <c r="BF136" s="7">
        <v>100</v>
      </c>
      <c r="BG136" s="7">
        <v>8.2760966866366203</v>
      </c>
      <c r="BH136" s="7">
        <v>7.8022635507157698</v>
      </c>
      <c r="BI136" s="7">
        <v>10</v>
      </c>
      <c r="BJ136" s="7">
        <v>10</v>
      </c>
      <c r="BK136" s="7">
        <v>10</v>
      </c>
      <c r="BL136" s="7">
        <v>96.358742199926596</v>
      </c>
      <c r="BM136" s="7">
        <v>100</v>
      </c>
      <c r="BN136" s="7">
        <v>100</v>
      </c>
      <c r="BO136" s="7">
        <v>100</v>
      </c>
      <c r="BP136" s="6">
        <v>19.895485658915</v>
      </c>
      <c r="BQ136" s="6">
        <v>0.69164321546555696</v>
      </c>
      <c r="BR136" s="6">
        <v>1.73029487336351</v>
      </c>
      <c r="BS136" s="6">
        <v>3.5845833843142101</v>
      </c>
      <c r="BT136" s="6">
        <v>6.3460296096904401</v>
      </c>
      <c r="BU136" s="6">
        <v>56.273094335005503</v>
      </c>
      <c r="BV136" s="6">
        <v>84.748562339410299</v>
      </c>
      <c r="BW136" s="6">
        <v>90.572617154043797</v>
      </c>
      <c r="BX136" s="6">
        <v>94.136791875688203</v>
      </c>
      <c r="BY136" s="6" t="str">
        <f>TRIM(Table1[[#This Row],[LA_Name]])</f>
        <v>South Staffordshire</v>
      </c>
      <c r="BZ136" s="7">
        <v>40.532403670497303</v>
      </c>
      <c r="CA136" s="7">
        <v>0</v>
      </c>
      <c r="CB136" s="7">
        <v>0.187165055671112</v>
      </c>
      <c r="CC136" s="7">
        <v>1.8262327174844</v>
      </c>
      <c r="CD136" s="7">
        <v>5.0826257188303003</v>
      </c>
      <c r="CE136" s="7">
        <v>0</v>
      </c>
      <c r="CF136" s="7">
        <v>16.823687752355301</v>
      </c>
      <c r="CG136" s="7">
        <v>81.229658632081296</v>
      </c>
      <c r="CH136" s="7">
        <v>94.688608833965503</v>
      </c>
      <c r="CI136" s="7">
        <v>32.203870608986598</v>
      </c>
      <c r="CJ136" s="7">
        <v>2.1044903952037201E-3</v>
      </c>
      <c r="CK136" s="7">
        <v>0.569264651902606</v>
      </c>
      <c r="CL136" s="7">
        <v>3.0952281903829699</v>
      </c>
      <c r="CM136" s="7">
        <v>5.3939434724091502</v>
      </c>
      <c r="CN136" s="7">
        <v>0.210449039520372</v>
      </c>
      <c r="CO136" s="7">
        <v>47.309433500550597</v>
      </c>
      <c r="CP136" s="7">
        <v>88.2870427015784</v>
      </c>
      <c r="CQ136" s="7">
        <v>97.185855866878697</v>
      </c>
      <c r="CR136" s="7">
        <v>18.036235421427001</v>
      </c>
      <c r="CS136" s="7">
        <v>0.35919491006974202</v>
      </c>
      <c r="CT136" s="7">
        <v>7.8535421509849499</v>
      </c>
      <c r="CU136" s="7">
        <v>10</v>
      </c>
      <c r="CV136" s="7">
        <v>10</v>
      </c>
      <c r="CW136" s="7">
        <v>29.926587544353399</v>
      </c>
      <c r="CX136" s="7">
        <v>100</v>
      </c>
      <c r="CY136" s="7">
        <v>100</v>
      </c>
      <c r="CZ136" s="7">
        <v>100</v>
      </c>
      <c r="DA136" s="9">
        <v>82.701999723022993</v>
      </c>
      <c r="DB136" s="9">
        <v>0</v>
      </c>
      <c r="DC136" s="9">
        <v>0</v>
      </c>
      <c r="DD136" s="9">
        <v>4.7877156490884601E-2</v>
      </c>
      <c r="DE136" s="9">
        <v>0.25607488070475998</v>
      </c>
      <c r="DF136" s="9">
        <v>0</v>
      </c>
      <c r="DG136" s="9">
        <v>0</v>
      </c>
      <c r="DH136" s="9">
        <v>4.4243239936375902</v>
      </c>
      <c r="DI136" s="9">
        <v>23.812553529915601</v>
      </c>
    </row>
    <row r="137" spans="1:113">
      <c r="A137" s="5" t="s">
        <v>366</v>
      </c>
      <c r="B137" s="5" t="s">
        <v>387</v>
      </c>
      <c r="C137" s="5" t="s">
        <v>388</v>
      </c>
      <c r="D137" s="6">
        <v>99320</v>
      </c>
      <c r="E137" s="7">
        <v>14.4913650698639</v>
      </c>
      <c r="F137" s="7">
        <v>1.3872533225936401</v>
      </c>
      <c r="G137" s="7">
        <v>5.5642569472412404</v>
      </c>
      <c r="H137" s="7">
        <v>8.73150422875554</v>
      </c>
      <c r="I137" s="7">
        <v>9.3054671768022494</v>
      </c>
      <c r="J137" s="7">
        <v>68.836085380588003</v>
      </c>
      <c r="K137" s="7">
        <v>90.706806282722496</v>
      </c>
      <c r="L137" s="7">
        <v>94.247885622231195</v>
      </c>
      <c r="M137" s="7">
        <v>96.297825211437797</v>
      </c>
      <c r="N137" s="7">
        <v>10.7320950781584</v>
      </c>
      <c r="O137" s="7">
        <v>3.3656766008860299</v>
      </c>
      <c r="P137" s="7">
        <v>7.6100382601691496</v>
      </c>
      <c r="Q137" s="7">
        <v>9.7204188481675402</v>
      </c>
      <c r="R137" s="7">
        <v>10</v>
      </c>
      <c r="S137" s="7">
        <v>83.383004430124899</v>
      </c>
      <c r="T137" s="7">
        <v>99.157269432138506</v>
      </c>
      <c r="U137" s="7">
        <v>100</v>
      </c>
      <c r="V137" s="7">
        <v>100</v>
      </c>
      <c r="W137" s="7">
        <v>7.9055173164310801</v>
      </c>
      <c r="X137" s="7">
        <v>7.5682541280708797</v>
      </c>
      <c r="Y137" s="7">
        <v>10</v>
      </c>
      <c r="Z137" s="7">
        <v>10</v>
      </c>
      <c r="AA137" s="7">
        <v>10</v>
      </c>
      <c r="AB137" s="7">
        <v>98.458517921868705</v>
      </c>
      <c r="AC137" s="7">
        <v>100</v>
      </c>
      <c r="AD137" s="7">
        <v>100</v>
      </c>
      <c r="AE137" s="7">
        <v>100</v>
      </c>
      <c r="AF137" s="6">
        <v>17.941532983901901</v>
      </c>
      <c r="AG137" s="6">
        <v>1.17140555779299</v>
      </c>
      <c r="AH137" s="6">
        <v>3.1984595247684302</v>
      </c>
      <c r="AI137" s="6">
        <v>5.4218989126057204</v>
      </c>
      <c r="AJ137" s="6">
        <v>6.8103906564639596</v>
      </c>
      <c r="AK137" s="6">
        <v>64.173378977043896</v>
      </c>
      <c r="AL137" s="6">
        <v>83.307490938380994</v>
      </c>
      <c r="AM137" s="6">
        <v>86.989528795811495</v>
      </c>
      <c r="AN137" s="6">
        <v>93.495771244462304</v>
      </c>
      <c r="AO137" s="6">
        <v>16.3166719798872</v>
      </c>
      <c r="AP137" s="7">
        <v>0.90432944019331496</v>
      </c>
      <c r="AQ137" s="7">
        <v>5.0246979460330303</v>
      </c>
      <c r="AR137" s="7">
        <v>8.7552557390253707</v>
      </c>
      <c r="AS137" s="7">
        <v>9.3325110753121194</v>
      </c>
      <c r="AT137" s="7">
        <v>52.748691099476403</v>
      </c>
      <c r="AU137" s="7">
        <v>91.384414015304102</v>
      </c>
      <c r="AV137" s="7">
        <v>96.4609343536045</v>
      </c>
      <c r="AW137" s="7">
        <v>98.811921063230002</v>
      </c>
      <c r="AX137" s="7">
        <v>11.626410775615801</v>
      </c>
      <c r="AY137" s="7">
        <v>2.8164518727346</v>
      </c>
      <c r="AZ137" s="7">
        <v>7.9352295610149</v>
      </c>
      <c r="BA137" s="7">
        <v>9.6504027386226294</v>
      </c>
      <c r="BB137" s="7">
        <v>9.9915626258558206</v>
      </c>
      <c r="BC137" s="7">
        <v>81.602899718082995</v>
      </c>
      <c r="BD137" s="7">
        <v>99.772452678211806</v>
      </c>
      <c r="BE137" s="7">
        <v>100</v>
      </c>
      <c r="BF137" s="7">
        <v>100</v>
      </c>
      <c r="BG137" s="7">
        <v>8.6572622681787497</v>
      </c>
      <c r="BH137" s="7">
        <v>7.2042992347966202</v>
      </c>
      <c r="BI137" s="7">
        <v>10</v>
      </c>
      <c r="BJ137" s="7">
        <v>10</v>
      </c>
      <c r="BK137" s="7">
        <v>10</v>
      </c>
      <c r="BL137" s="7">
        <v>99.440193314538902</v>
      </c>
      <c r="BM137" s="7">
        <v>100</v>
      </c>
      <c r="BN137" s="7">
        <v>100</v>
      </c>
      <c r="BO137" s="7">
        <v>100</v>
      </c>
      <c r="BP137" s="6">
        <v>20.728868452823701</v>
      </c>
      <c r="BQ137" s="6">
        <v>0.73742448650825598</v>
      </c>
      <c r="BR137" s="6">
        <v>2.6183850181232402</v>
      </c>
      <c r="BS137" s="6">
        <v>4.7913411196133699</v>
      </c>
      <c r="BT137" s="6">
        <v>6.6078231977446604</v>
      </c>
      <c r="BU137" s="6">
        <v>45.119814740233601</v>
      </c>
      <c r="BV137" s="6">
        <v>79.800644381796204</v>
      </c>
      <c r="BW137" s="6">
        <v>90.246677406363304</v>
      </c>
      <c r="BX137" s="6">
        <v>96.489126057188898</v>
      </c>
      <c r="BY137" s="6" t="str">
        <f>TRIM(Table1[[#This Row],[LA_Name]])</f>
        <v>Stafford</v>
      </c>
      <c r="BZ137" s="7">
        <v>33.777204070559797</v>
      </c>
      <c r="CA137" s="7">
        <v>0.148097060008055</v>
      </c>
      <c r="CB137" s="7">
        <v>0.71949254933548101</v>
      </c>
      <c r="CC137" s="7">
        <v>1.5364780507450699</v>
      </c>
      <c r="CD137" s="7">
        <v>3.818807893677</v>
      </c>
      <c r="CE137" s="7">
        <v>14.8097060008055</v>
      </c>
      <c r="CF137" s="7">
        <v>59.362666129681799</v>
      </c>
      <c r="CG137" s="7">
        <v>82.729561014901293</v>
      </c>
      <c r="CH137" s="7">
        <v>91.806282722513103</v>
      </c>
      <c r="CI137" s="7">
        <v>28.561189917763301</v>
      </c>
      <c r="CJ137" s="7">
        <v>0.34641562625855798</v>
      </c>
      <c r="CK137" s="7">
        <v>1.1321989528795799</v>
      </c>
      <c r="CL137" s="7">
        <v>1.49316351188079</v>
      </c>
      <c r="CM137" s="7">
        <v>2.2341522351993599</v>
      </c>
      <c r="CN137" s="7">
        <v>30.703785743052801</v>
      </c>
      <c r="CO137" s="7">
        <v>57.659081755940399</v>
      </c>
      <c r="CP137" s="7">
        <v>73.757551349174406</v>
      </c>
      <c r="CQ137" s="7">
        <v>97.338904550946395</v>
      </c>
      <c r="CR137" s="7">
        <v>15.723310007004301</v>
      </c>
      <c r="CS137" s="7">
        <v>0.86411598872331896</v>
      </c>
      <c r="CT137" s="7">
        <v>3.1432339911397502</v>
      </c>
      <c r="CU137" s="7">
        <v>9.9032823197744708</v>
      </c>
      <c r="CV137" s="7">
        <v>10</v>
      </c>
      <c r="CW137" s="7">
        <v>56.061216270640401</v>
      </c>
      <c r="CX137" s="7">
        <v>98.734393878372899</v>
      </c>
      <c r="CY137" s="7">
        <v>100</v>
      </c>
      <c r="CZ137" s="7">
        <v>100</v>
      </c>
      <c r="DA137" s="9">
        <v>67.049981248786807</v>
      </c>
      <c r="DB137" s="9">
        <v>8.0769230769230801E-2</v>
      </c>
      <c r="DC137" s="9">
        <v>0.32739629480467197</v>
      </c>
      <c r="DD137" s="9">
        <v>0.62066049134112</v>
      </c>
      <c r="DE137" s="9">
        <v>0.88536045106725703</v>
      </c>
      <c r="DF137" s="9">
        <v>8.0769230769230802</v>
      </c>
      <c r="DG137" s="9">
        <v>29.430124848973001</v>
      </c>
      <c r="DH137" s="9">
        <v>47.563431333064798</v>
      </c>
      <c r="DI137" s="9">
        <v>54.175392670157102</v>
      </c>
    </row>
    <row r="138" spans="1:113">
      <c r="A138" s="5" t="s">
        <v>366</v>
      </c>
      <c r="B138" s="5" t="s">
        <v>389</v>
      </c>
      <c r="C138" s="5" t="s">
        <v>390</v>
      </c>
      <c r="D138" s="6">
        <v>71509</v>
      </c>
      <c r="E138" s="7">
        <v>13.8954615522073</v>
      </c>
      <c r="F138" s="7">
        <v>1.65593142121971</v>
      </c>
      <c r="G138" s="7">
        <v>6.6744186046511604</v>
      </c>
      <c r="H138" s="7">
        <v>8.94560125298913</v>
      </c>
      <c r="I138" s="7">
        <v>9.3025073766938409</v>
      </c>
      <c r="J138" s="7">
        <v>72.2538421737124</v>
      </c>
      <c r="K138" s="7">
        <v>91.305989455872705</v>
      </c>
      <c r="L138" s="7">
        <v>94.386720552657707</v>
      </c>
      <c r="M138" s="7">
        <v>96.106783761484607</v>
      </c>
      <c r="N138" s="7">
        <v>10.7115193830058</v>
      </c>
      <c r="O138" s="7">
        <v>3.4324770308632502</v>
      </c>
      <c r="P138" s="7">
        <v>8.0037058272385302</v>
      </c>
      <c r="Q138" s="7">
        <v>9.5344362248108592</v>
      </c>
      <c r="R138" s="7">
        <v>9.9071725237382697</v>
      </c>
      <c r="S138" s="7">
        <v>88.067236291935302</v>
      </c>
      <c r="T138" s="7">
        <v>95.4537191122796</v>
      </c>
      <c r="U138" s="7">
        <v>98.814135283670595</v>
      </c>
      <c r="V138" s="7">
        <v>100</v>
      </c>
      <c r="W138" s="7">
        <v>7.7530629649694003</v>
      </c>
      <c r="X138" s="7">
        <v>7.7823350906878899</v>
      </c>
      <c r="Y138" s="7">
        <v>9.9635710190325693</v>
      </c>
      <c r="Z138" s="7">
        <v>10</v>
      </c>
      <c r="AA138" s="7">
        <v>10</v>
      </c>
      <c r="AB138" s="7">
        <v>95.730607336139499</v>
      </c>
      <c r="AC138" s="7">
        <v>100</v>
      </c>
      <c r="AD138" s="7">
        <v>100</v>
      </c>
      <c r="AE138" s="7">
        <v>100</v>
      </c>
      <c r="AF138" s="6">
        <v>17.509861843242099</v>
      </c>
      <c r="AG138" s="6">
        <v>1.40551538967123</v>
      </c>
      <c r="AH138" s="6">
        <v>3.2558698905032899</v>
      </c>
      <c r="AI138" s="6">
        <v>4.9565788921674203</v>
      </c>
      <c r="AJ138" s="6">
        <v>6.4651582318309604</v>
      </c>
      <c r="AK138" s="6">
        <v>67.118824203946403</v>
      </c>
      <c r="AL138" s="6">
        <v>86.9834566278371</v>
      </c>
      <c r="AM138" s="6">
        <v>91.297598903634494</v>
      </c>
      <c r="AN138" s="6">
        <v>92.533806933392995</v>
      </c>
      <c r="AO138" s="6">
        <v>16.2745724770366</v>
      </c>
      <c r="AP138" s="7">
        <v>1.0039994965668699</v>
      </c>
      <c r="AQ138" s="7">
        <v>3.96688528716665</v>
      </c>
      <c r="AR138" s="7">
        <v>7.9876519039561504</v>
      </c>
      <c r="AS138" s="7">
        <v>9.0873876015606392</v>
      </c>
      <c r="AT138" s="7">
        <v>55.711868436140897</v>
      </c>
      <c r="AU138" s="7">
        <v>93.070802276636499</v>
      </c>
      <c r="AV138" s="7">
        <v>95.332056104825995</v>
      </c>
      <c r="AW138" s="7">
        <v>98.128906850885897</v>
      </c>
      <c r="AX138" s="7">
        <v>12.720287814278599</v>
      </c>
      <c r="AY138" s="7">
        <v>2.1744675495392198</v>
      </c>
      <c r="AZ138" s="7">
        <v>5.4851696989190204</v>
      </c>
      <c r="BA138" s="7">
        <v>9.4861765651876002</v>
      </c>
      <c r="BB138" s="7">
        <v>9.9687312086590492</v>
      </c>
      <c r="BC138" s="7">
        <v>67.690780181515606</v>
      </c>
      <c r="BD138" s="7">
        <v>97.702387112111793</v>
      </c>
      <c r="BE138" s="7">
        <v>100</v>
      </c>
      <c r="BF138" s="7">
        <v>100</v>
      </c>
      <c r="BG138" s="7">
        <v>8.7219988064787994</v>
      </c>
      <c r="BH138" s="7">
        <v>4.5452600371981102</v>
      </c>
      <c r="BI138" s="7">
        <v>9.9927142038065107</v>
      </c>
      <c r="BJ138" s="7">
        <v>10</v>
      </c>
      <c r="BK138" s="7">
        <v>10</v>
      </c>
      <c r="BL138" s="7">
        <v>96.860535037547706</v>
      </c>
      <c r="BM138" s="7">
        <v>100</v>
      </c>
      <c r="BN138" s="7">
        <v>100</v>
      </c>
      <c r="BO138" s="7">
        <v>100</v>
      </c>
      <c r="BP138" s="6">
        <v>24.356900683033199</v>
      </c>
      <c r="BQ138" s="6">
        <v>0.82614775762491399</v>
      </c>
      <c r="BR138" s="6">
        <v>2.1094128011858602</v>
      </c>
      <c r="BS138" s="6">
        <v>2.8054790306115298</v>
      </c>
      <c r="BT138" s="6">
        <v>3.52915017690081</v>
      </c>
      <c r="BU138" s="6">
        <v>49.425946384371201</v>
      </c>
      <c r="BV138" s="6">
        <v>65.903592554783302</v>
      </c>
      <c r="BW138" s="6">
        <v>82.146303262526402</v>
      </c>
      <c r="BX138" s="6">
        <v>93.589618090030598</v>
      </c>
      <c r="BY138" s="6" t="str">
        <f>TRIM(Table1[[#This Row],[LA_Name]])</f>
        <v>Staffordshire Moorlands</v>
      </c>
      <c r="BZ138" s="7">
        <v>60.1515891489057</v>
      </c>
      <c r="CA138" s="7">
        <v>0</v>
      </c>
      <c r="CB138" s="7">
        <v>6.02721335775916E-3</v>
      </c>
      <c r="CC138" s="7">
        <v>0.29264847781398101</v>
      </c>
      <c r="CD138" s="7">
        <v>1.32005761512537</v>
      </c>
      <c r="CE138" s="7">
        <v>0</v>
      </c>
      <c r="CF138" s="7">
        <v>0.60272133577591602</v>
      </c>
      <c r="CG138" s="7">
        <v>22.555202841600401</v>
      </c>
      <c r="CH138" s="7">
        <v>68.430547203848505</v>
      </c>
      <c r="CI138" s="7">
        <v>59.108717443712699</v>
      </c>
      <c r="CJ138" s="7">
        <v>0</v>
      </c>
      <c r="CK138" s="7">
        <v>3.3785957012404E-2</v>
      </c>
      <c r="CL138" s="7">
        <v>0.44681089093680498</v>
      </c>
      <c r="CM138" s="7">
        <v>1.8579339663538901</v>
      </c>
      <c r="CN138" s="7">
        <v>0</v>
      </c>
      <c r="CO138" s="7">
        <v>2.79125704456782</v>
      </c>
      <c r="CP138" s="7">
        <v>16.427302856983001</v>
      </c>
      <c r="CQ138" s="7">
        <v>49.281908570949099</v>
      </c>
      <c r="CR138" s="7">
        <v>27.767031092602998</v>
      </c>
      <c r="CS138" s="7">
        <v>2.8947405221720298E-3</v>
      </c>
      <c r="CT138" s="7">
        <v>2.2867890755009901</v>
      </c>
      <c r="CU138" s="7">
        <v>7.4784712413822003</v>
      </c>
      <c r="CV138" s="7">
        <v>9.9925184242542908</v>
      </c>
      <c r="CW138" s="7">
        <v>0.28947405221720302</v>
      </c>
      <c r="CX138" s="7">
        <v>69.943643457466905</v>
      </c>
      <c r="CY138" s="7">
        <v>98.647722664279996</v>
      </c>
      <c r="CZ138" s="7">
        <v>100</v>
      </c>
      <c r="DA138" s="9">
        <v>116.262379735962</v>
      </c>
      <c r="DB138" s="9">
        <v>0</v>
      </c>
      <c r="DC138" s="9">
        <v>0</v>
      </c>
      <c r="DD138" s="9">
        <v>0</v>
      </c>
      <c r="DE138" s="9">
        <v>2.8947405221720298E-3</v>
      </c>
      <c r="DF138" s="9">
        <v>0</v>
      </c>
      <c r="DG138" s="9">
        <v>0</v>
      </c>
      <c r="DH138" s="9">
        <v>0</v>
      </c>
      <c r="DI138" s="9">
        <v>0.28947405221720302</v>
      </c>
    </row>
    <row r="139" spans="1:113">
      <c r="A139" s="5" t="s">
        <v>366</v>
      </c>
      <c r="B139" s="5" t="s">
        <v>391</v>
      </c>
      <c r="C139" s="5" t="s">
        <v>392</v>
      </c>
      <c r="D139" s="6">
        <v>55610</v>
      </c>
      <c r="E139" s="7">
        <v>8.2922659519807294</v>
      </c>
      <c r="F139" s="7">
        <v>2.4888689084697</v>
      </c>
      <c r="G139" s="7">
        <v>8.5985074626865696</v>
      </c>
      <c r="H139" s="7">
        <v>10</v>
      </c>
      <c r="I139" s="7">
        <v>10</v>
      </c>
      <c r="J139" s="7">
        <v>91.789246538392405</v>
      </c>
      <c r="K139" s="7">
        <v>100</v>
      </c>
      <c r="L139" s="7">
        <v>100</v>
      </c>
      <c r="M139" s="7">
        <v>100</v>
      </c>
      <c r="N139" s="7">
        <v>8.2681479836556395</v>
      </c>
      <c r="O139" s="7">
        <v>6.1216507822334103</v>
      </c>
      <c r="P139" s="7">
        <v>10</v>
      </c>
      <c r="Q139" s="7">
        <v>10</v>
      </c>
      <c r="R139" s="7">
        <v>10</v>
      </c>
      <c r="S139" s="7">
        <v>100</v>
      </c>
      <c r="T139" s="7">
        <v>100</v>
      </c>
      <c r="U139" s="7">
        <v>100</v>
      </c>
      <c r="V139" s="7">
        <v>100</v>
      </c>
      <c r="W139" s="7">
        <v>6.9823483276401497</v>
      </c>
      <c r="X139" s="7">
        <v>9.9695738176587003</v>
      </c>
      <c r="Y139" s="7">
        <v>10</v>
      </c>
      <c r="Z139" s="7">
        <v>10</v>
      </c>
      <c r="AA139" s="7">
        <v>10</v>
      </c>
      <c r="AB139" s="7">
        <v>100</v>
      </c>
      <c r="AC139" s="7">
        <v>100</v>
      </c>
      <c r="AD139" s="7">
        <v>100</v>
      </c>
      <c r="AE139" s="7">
        <v>100</v>
      </c>
      <c r="AF139" s="6">
        <v>8.7835486030025507</v>
      </c>
      <c r="AG139" s="6">
        <v>2.09879518072289</v>
      </c>
      <c r="AH139" s="6">
        <v>6.6801114907390797</v>
      </c>
      <c r="AI139" s="6">
        <v>9.3162380866750603</v>
      </c>
      <c r="AJ139" s="6">
        <v>10</v>
      </c>
      <c r="AK139" s="6">
        <v>86.378349217766598</v>
      </c>
      <c r="AL139" s="6">
        <v>100</v>
      </c>
      <c r="AM139" s="6">
        <v>100</v>
      </c>
      <c r="AN139" s="6">
        <v>100</v>
      </c>
      <c r="AO139" s="6">
        <v>11.1855939603957</v>
      </c>
      <c r="AP139" s="7">
        <v>1.2178025534975701</v>
      </c>
      <c r="AQ139" s="7">
        <v>7.1065995324581896</v>
      </c>
      <c r="AR139" s="7">
        <v>9.9787628124438008</v>
      </c>
      <c r="AS139" s="7">
        <v>10</v>
      </c>
      <c r="AT139" s="7">
        <v>71.332494155727403</v>
      </c>
      <c r="AU139" s="7">
        <v>100</v>
      </c>
      <c r="AV139" s="7">
        <v>100</v>
      </c>
      <c r="AW139" s="7">
        <v>100</v>
      </c>
      <c r="AX139" s="7">
        <v>9.3458758963245501</v>
      </c>
      <c r="AY139" s="7">
        <v>3.65567344002877</v>
      </c>
      <c r="AZ139" s="7">
        <v>10</v>
      </c>
      <c r="BA139" s="7">
        <v>10</v>
      </c>
      <c r="BB139" s="7">
        <v>10</v>
      </c>
      <c r="BC139" s="7">
        <v>99.505484625067396</v>
      </c>
      <c r="BD139" s="7">
        <v>100</v>
      </c>
      <c r="BE139" s="7">
        <v>100</v>
      </c>
      <c r="BF139" s="7">
        <v>100</v>
      </c>
      <c r="BG139" s="7">
        <v>7.5943738441762303</v>
      </c>
      <c r="BH139" s="7">
        <v>9.6288077683869808</v>
      </c>
      <c r="BI139" s="7">
        <v>10</v>
      </c>
      <c r="BJ139" s="7">
        <v>10</v>
      </c>
      <c r="BK139" s="7">
        <v>10</v>
      </c>
      <c r="BL139" s="7">
        <v>100</v>
      </c>
      <c r="BM139" s="7">
        <v>100</v>
      </c>
      <c r="BN139" s="7">
        <v>100</v>
      </c>
      <c r="BO139" s="7">
        <v>100</v>
      </c>
      <c r="BP139" s="6">
        <v>11.724278375123999</v>
      </c>
      <c r="BQ139" s="6">
        <v>1.0909368818557801</v>
      </c>
      <c r="BR139" s="6">
        <v>4.2159503686387296</v>
      </c>
      <c r="BS139" s="6">
        <v>7.9981118503866204</v>
      </c>
      <c r="BT139" s="6">
        <v>9.8213091170652795</v>
      </c>
      <c r="BU139" s="6">
        <v>67.250494515374896</v>
      </c>
      <c r="BV139" s="6">
        <v>100</v>
      </c>
      <c r="BW139" s="6">
        <v>100</v>
      </c>
      <c r="BX139" s="6">
        <v>100</v>
      </c>
      <c r="BY139" s="6" t="str">
        <f>TRIM(Table1[[#This Row],[LA_Name]])</f>
        <v>Tamworth</v>
      </c>
      <c r="BZ139" s="7">
        <v>23.171365616073299</v>
      </c>
      <c r="CA139" s="7">
        <v>0.110070131271354</v>
      </c>
      <c r="CB139" s="7">
        <v>0.95795720194209699</v>
      </c>
      <c r="CC139" s="7">
        <v>3.17750404603489</v>
      </c>
      <c r="CD139" s="7">
        <v>8.3052688365401899</v>
      </c>
      <c r="CE139" s="7">
        <v>11.0070131271354</v>
      </c>
      <c r="CF139" s="7">
        <v>83.431037583168504</v>
      </c>
      <c r="CG139" s="7">
        <v>100</v>
      </c>
      <c r="CH139" s="7">
        <v>100</v>
      </c>
      <c r="CI139" s="7">
        <v>16.8004053331412</v>
      </c>
      <c r="CJ139" s="7">
        <v>0.35939579212371903</v>
      </c>
      <c r="CK139" s="7">
        <v>1.6101960079122499</v>
      </c>
      <c r="CL139" s="7">
        <v>2.2871426002517499</v>
      </c>
      <c r="CM139" s="7">
        <v>3.9151771264161099</v>
      </c>
      <c r="CN139" s="7">
        <v>35.939579212371903</v>
      </c>
      <c r="CO139" s="7">
        <v>100</v>
      </c>
      <c r="CP139" s="7">
        <v>100</v>
      </c>
      <c r="CQ139" s="7">
        <v>100</v>
      </c>
      <c r="CR139" s="7">
        <v>11.613282520774</v>
      </c>
      <c r="CS139" s="7">
        <v>1.4152310735479201</v>
      </c>
      <c r="CT139" s="7">
        <v>8.6373493975903592</v>
      </c>
      <c r="CU139" s="7">
        <v>10</v>
      </c>
      <c r="CV139" s="7">
        <v>10</v>
      </c>
      <c r="CW139" s="7">
        <v>98.976802733321406</v>
      </c>
      <c r="CX139" s="7">
        <v>100</v>
      </c>
      <c r="CY139" s="7">
        <v>100</v>
      </c>
      <c r="CZ139" s="7">
        <v>100</v>
      </c>
      <c r="DA139" s="9">
        <v>34.941443786597901</v>
      </c>
      <c r="DB139" s="9">
        <v>8.59197985973746E-2</v>
      </c>
      <c r="DC139" s="9">
        <v>0.39104477611940303</v>
      </c>
      <c r="DD139" s="9">
        <v>0.73227836720014405</v>
      </c>
      <c r="DE139" s="9">
        <v>1.1217766588742999</v>
      </c>
      <c r="DF139" s="9">
        <v>8.5919798597374601</v>
      </c>
      <c r="DG139" s="9">
        <v>39.104477611940297</v>
      </c>
      <c r="DH139" s="9">
        <v>73.227836720014395</v>
      </c>
      <c r="DI139" s="9">
        <v>97.031109512677602</v>
      </c>
    </row>
    <row r="140" spans="1:113">
      <c r="A140" s="5" t="s">
        <v>366</v>
      </c>
      <c r="B140" s="5" t="s">
        <v>393</v>
      </c>
      <c r="C140" s="5" t="s">
        <v>394</v>
      </c>
      <c r="D140" s="6">
        <v>415872</v>
      </c>
      <c r="E140" s="7">
        <v>11.131096413171401</v>
      </c>
      <c r="F140" s="7">
        <v>2.05958804632195</v>
      </c>
      <c r="G140" s="7">
        <v>7.5842807402277597</v>
      </c>
      <c r="H140" s="7">
        <v>9.1148718836565106</v>
      </c>
      <c r="I140" s="7">
        <v>9.5551948676515792</v>
      </c>
      <c r="J140" s="7">
        <v>78.503962757771603</v>
      </c>
      <c r="K140" s="7">
        <v>95.344240535549403</v>
      </c>
      <c r="L140" s="7">
        <v>97.886609341335799</v>
      </c>
      <c r="M140" s="7">
        <v>99.029749538319507</v>
      </c>
      <c r="N140" s="7">
        <v>9.8333241265369207</v>
      </c>
      <c r="O140" s="7">
        <v>4.9375553054786101</v>
      </c>
      <c r="P140" s="7">
        <v>8.2959251885195506</v>
      </c>
      <c r="Q140" s="7">
        <v>9.4631064365958792</v>
      </c>
      <c r="R140" s="7">
        <v>9.9276532202216092</v>
      </c>
      <c r="S140" s="7">
        <v>85.732629270544805</v>
      </c>
      <c r="T140" s="7">
        <v>98.846760541705095</v>
      </c>
      <c r="U140" s="7">
        <v>100</v>
      </c>
      <c r="V140" s="7">
        <v>100</v>
      </c>
      <c r="W140" s="7">
        <v>7.4499991574471096</v>
      </c>
      <c r="X140" s="7">
        <v>8.2454240727916304</v>
      </c>
      <c r="Y140" s="7">
        <v>9.9928920437057496</v>
      </c>
      <c r="Z140" s="7">
        <v>10</v>
      </c>
      <c r="AA140" s="7">
        <v>10</v>
      </c>
      <c r="AB140" s="7">
        <v>98.876336949830701</v>
      </c>
      <c r="AC140" s="7">
        <v>100</v>
      </c>
      <c r="AD140" s="7">
        <v>100</v>
      </c>
      <c r="AE140" s="7">
        <v>100</v>
      </c>
      <c r="AF140" s="6">
        <v>14.858619929717401</v>
      </c>
      <c r="AG140" s="6">
        <v>1.6711367920898701</v>
      </c>
      <c r="AH140" s="6">
        <v>4.8361298668821204</v>
      </c>
      <c r="AI140" s="6">
        <v>6.8191751308094801</v>
      </c>
      <c r="AJ140" s="6">
        <v>7.68070223530317</v>
      </c>
      <c r="AK140" s="6">
        <v>74.970423591874393</v>
      </c>
      <c r="AL140" s="6">
        <v>85.115131578947398</v>
      </c>
      <c r="AM140" s="6">
        <v>92.208419898430293</v>
      </c>
      <c r="AN140" s="6">
        <v>95.786684364419798</v>
      </c>
      <c r="AO140" s="6">
        <v>13.0501460083693</v>
      </c>
      <c r="AP140" s="7">
        <v>1.5037824138196401</v>
      </c>
      <c r="AQ140" s="7">
        <v>6.5626466797476102</v>
      </c>
      <c r="AR140" s="7">
        <v>9.25292157202216</v>
      </c>
      <c r="AS140" s="7">
        <v>9.6368497999384406</v>
      </c>
      <c r="AT140" s="7">
        <v>67.113919667589997</v>
      </c>
      <c r="AU140" s="7">
        <v>95.695069636811297</v>
      </c>
      <c r="AV140" s="7">
        <v>98.161453524161303</v>
      </c>
      <c r="AW140" s="7">
        <v>98.947031779008896</v>
      </c>
      <c r="AX140" s="7">
        <v>10.759206541345799</v>
      </c>
      <c r="AY140" s="7">
        <v>3.5505636349645999</v>
      </c>
      <c r="AZ140" s="7">
        <v>8.1861341951369706</v>
      </c>
      <c r="BA140" s="7">
        <v>9.6686360226223496</v>
      </c>
      <c r="BB140" s="7">
        <v>9.9922908971991404</v>
      </c>
      <c r="BC140" s="7">
        <v>83.320829485995702</v>
      </c>
      <c r="BD140" s="7">
        <v>99.760022314558299</v>
      </c>
      <c r="BE140" s="7">
        <v>100</v>
      </c>
      <c r="BF140" s="7">
        <v>100</v>
      </c>
      <c r="BG140" s="7">
        <v>7.9468466024920401</v>
      </c>
      <c r="BH140" s="7">
        <v>7.9572344375192401</v>
      </c>
      <c r="BI140" s="7">
        <v>10</v>
      </c>
      <c r="BJ140" s="7">
        <v>10</v>
      </c>
      <c r="BK140" s="7">
        <v>10</v>
      </c>
      <c r="BL140" s="7">
        <v>99.494075100030798</v>
      </c>
      <c r="BM140" s="7">
        <v>100</v>
      </c>
      <c r="BN140" s="7">
        <v>100</v>
      </c>
      <c r="BO140" s="7">
        <v>100</v>
      </c>
      <c r="BP140" s="6">
        <v>17.412595775401201</v>
      </c>
      <c r="BQ140" s="6">
        <v>1.2265144082794699</v>
      </c>
      <c r="BR140" s="6">
        <v>3.42973078254848</v>
      </c>
      <c r="BS140" s="6">
        <v>5.5281240381655898</v>
      </c>
      <c r="BT140" s="6">
        <v>7.0794258810403203</v>
      </c>
      <c r="BU140" s="6">
        <v>58.780105417051402</v>
      </c>
      <c r="BV140" s="6">
        <v>83.060412819329002</v>
      </c>
      <c r="BW140" s="6">
        <v>92.057171437365398</v>
      </c>
      <c r="BX140" s="6">
        <v>96.817770852570007</v>
      </c>
      <c r="BY140" s="6" t="str">
        <f>TRIM(Table1[[#This Row],[LA_Name]])</f>
        <v>Warwickshire</v>
      </c>
      <c r="BZ140" s="7">
        <v>34.091188459686101</v>
      </c>
      <c r="CA140" s="7">
        <v>0.135426285010773</v>
      </c>
      <c r="CB140" s="7">
        <v>0.95832852416128</v>
      </c>
      <c r="CC140" s="7">
        <v>2.7605513234841501</v>
      </c>
      <c r="CD140" s="7">
        <v>5.8141351184980001</v>
      </c>
      <c r="CE140" s="7">
        <v>13.542628501077299</v>
      </c>
      <c r="CF140" s="7">
        <v>57.573724607571599</v>
      </c>
      <c r="CG140" s="7">
        <v>80.781346183441102</v>
      </c>
      <c r="CH140" s="7">
        <v>88.896583564173596</v>
      </c>
      <c r="CI140" s="7">
        <v>28.205856832051001</v>
      </c>
      <c r="CJ140" s="7">
        <v>0.39891601261926701</v>
      </c>
      <c r="CK140" s="7">
        <v>1.44324455601724</v>
      </c>
      <c r="CL140" s="7">
        <v>2.9343475877193002</v>
      </c>
      <c r="CM140" s="7">
        <v>5.2207337834718404</v>
      </c>
      <c r="CN140" s="7">
        <v>29.972683902739298</v>
      </c>
      <c r="CO140" s="7">
        <v>72.549245921822106</v>
      </c>
      <c r="CP140" s="7">
        <v>82.113246383502599</v>
      </c>
      <c r="CQ140" s="7">
        <v>88.648670744844594</v>
      </c>
      <c r="CR140" s="7">
        <v>14.496888319499901</v>
      </c>
      <c r="CS140" s="7">
        <v>1.18235659048938</v>
      </c>
      <c r="CT140" s="7">
        <v>7.8602646968297902</v>
      </c>
      <c r="CU140" s="7">
        <v>9.9277854724530599</v>
      </c>
      <c r="CV140" s="7">
        <v>10</v>
      </c>
      <c r="CW140" s="7">
        <v>66.52070829486</v>
      </c>
      <c r="CX140" s="7">
        <v>97.0288935056941</v>
      </c>
      <c r="CY140" s="7">
        <v>100</v>
      </c>
      <c r="CZ140" s="7">
        <v>100</v>
      </c>
      <c r="DA140" s="9">
        <v>59.563759900275201</v>
      </c>
      <c r="DB140" s="9">
        <v>0.10571041089566</v>
      </c>
      <c r="DC140" s="9">
        <v>0.37794561788242498</v>
      </c>
      <c r="DD140" s="9">
        <v>0.66328822329947701</v>
      </c>
      <c r="DE140" s="9">
        <v>0.97120508233302505</v>
      </c>
      <c r="DF140" s="9">
        <v>10.571041089566</v>
      </c>
      <c r="DG140" s="9">
        <v>28.534020083102501</v>
      </c>
      <c r="DH140" s="9">
        <v>42.157442674669099</v>
      </c>
      <c r="DI140" s="9">
        <v>57.148112880886401</v>
      </c>
    </row>
    <row r="141" spans="1:113">
      <c r="A141" s="5" t="s">
        <v>366</v>
      </c>
      <c r="B141" s="5" t="s">
        <v>395</v>
      </c>
      <c r="C141" s="5" t="s">
        <v>396</v>
      </c>
      <c r="D141" s="6">
        <v>47452</v>
      </c>
      <c r="E141" s="7">
        <v>11.9586457734635</v>
      </c>
      <c r="F141" s="7">
        <v>1.58362134367361</v>
      </c>
      <c r="G141" s="7">
        <v>7.7579237966787504</v>
      </c>
      <c r="H141" s="7">
        <v>9.4205723678664803</v>
      </c>
      <c r="I141" s="7">
        <v>9.5969822136053295</v>
      </c>
      <c r="J141" s="7">
        <v>68.901205428643706</v>
      </c>
      <c r="K141" s="7">
        <v>95.129815392396495</v>
      </c>
      <c r="L141" s="7">
        <v>97.873640731686805</v>
      </c>
      <c r="M141" s="7">
        <v>99.544803169518701</v>
      </c>
      <c r="N141" s="7">
        <v>10.7368814798006</v>
      </c>
      <c r="O141" s="7">
        <v>2.7343209980612002</v>
      </c>
      <c r="P141" s="7">
        <v>8.8813327151648007</v>
      </c>
      <c r="Q141" s="7">
        <v>10</v>
      </c>
      <c r="R141" s="7">
        <v>10</v>
      </c>
      <c r="S141" s="7">
        <v>76.900868245806294</v>
      </c>
      <c r="T141" s="7">
        <v>98.824074854589895</v>
      </c>
      <c r="U141" s="7">
        <v>100</v>
      </c>
      <c r="V141" s="7">
        <v>100</v>
      </c>
      <c r="W141" s="7">
        <v>7.7348035803575197</v>
      </c>
      <c r="X141" s="7">
        <v>8.6931425440445107</v>
      </c>
      <c r="Y141" s="7">
        <v>10</v>
      </c>
      <c r="Z141" s="7">
        <v>10</v>
      </c>
      <c r="AA141" s="7">
        <v>10</v>
      </c>
      <c r="AB141" s="7">
        <v>99.186546404788004</v>
      </c>
      <c r="AC141" s="7">
        <v>100</v>
      </c>
      <c r="AD141" s="7">
        <v>100</v>
      </c>
      <c r="AE141" s="7">
        <v>100</v>
      </c>
      <c r="AF141" s="6">
        <v>17.315165221218798</v>
      </c>
      <c r="AG141" s="6">
        <v>1.1631121975891401</v>
      </c>
      <c r="AH141" s="6">
        <v>2.6902975638540001</v>
      </c>
      <c r="AI141" s="6">
        <v>4.6595085560145</v>
      </c>
      <c r="AJ141" s="6">
        <v>7.1233456967040398</v>
      </c>
      <c r="AK141" s="6">
        <v>61.068026637444099</v>
      </c>
      <c r="AL141" s="6">
        <v>77.663744415409298</v>
      </c>
      <c r="AM141" s="6">
        <v>90.8749894630363</v>
      </c>
      <c r="AN141" s="6">
        <v>97.089690634746702</v>
      </c>
      <c r="AO141" s="6">
        <v>17.007990192034701</v>
      </c>
      <c r="AP141" s="7">
        <v>0.89610553822810401</v>
      </c>
      <c r="AQ141" s="7">
        <v>3.8680561409424299</v>
      </c>
      <c r="AR141" s="7">
        <v>8.2913470454353906</v>
      </c>
      <c r="AS141" s="7">
        <v>9.4555972351007291</v>
      </c>
      <c r="AT141" s="7">
        <v>45.4079912332462</v>
      </c>
      <c r="AU141" s="7">
        <v>90.320745174070595</v>
      </c>
      <c r="AV141" s="7">
        <v>99.228694259462202</v>
      </c>
      <c r="AW141" s="7">
        <v>99.544803169518701</v>
      </c>
      <c r="AX141" s="7">
        <v>13.8887593767087</v>
      </c>
      <c r="AY141" s="7">
        <v>1.16654724774509</v>
      </c>
      <c r="AZ141" s="7">
        <v>6.6998651268650402</v>
      </c>
      <c r="BA141" s="7">
        <v>9.9853746944280495</v>
      </c>
      <c r="BB141" s="7">
        <v>10</v>
      </c>
      <c r="BC141" s="7">
        <v>56.130405462361999</v>
      </c>
      <c r="BD141" s="7">
        <v>100</v>
      </c>
      <c r="BE141" s="7">
        <v>100</v>
      </c>
      <c r="BF141" s="7">
        <v>100</v>
      </c>
      <c r="BG141" s="7">
        <v>9.3382259588322807</v>
      </c>
      <c r="BH141" s="7">
        <v>6.0418738936188197</v>
      </c>
      <c r="BI141" s="7">
        <v>10</v>
      </c>
      <c r="BJ141" s="7">
        <v>10</v>
      </c>
      <c r="BK141" s="7">
        <v>10</v>
      </c>
      <c r="BL141" s="7">
        <v>100</v>
      </c>
      <c r="BM141" s="7">
        <v>100</v>
      </c>
      <c r="BN141" s="7">
        <v>100</v>
      </c>
      <c r="BO141" s="7">
        <v>100</v>
      </c>
      <c r="BP141" s="6">
        <v>26.578483846864501</v>
      </c>
      <c r="BQ141" s="6">
        <v>0.62079575149624899</v>
      </c>
      <c r="BR141" s="6">
        <v>1.1816572536457901</v>
      </c>
      <c r="BS141" s="6">
        <v>2.1628803843884299</v>
      </c>
      <c r="BT141" s="6">
        <v>4.1533549692320699</v>
      </c>
      <c r="BU141" s="6">
        <v>40.506195734637103</v>
      </c>
      <c r="BV141" s="6">
        <v>58.123998988451497</v>
      </c>
      <c r="BW141" s="6">
        <v>78.4097614431425</v>
      </c>
      <c r="BX141" s="6">
        <v>95.1803928180056</v>
      </c>
      <c r="BY141" s="6" t="str">
        <f>TRIM(Table1[[#This Row],[LA_Name]])</f>
        <v>North Warwickshire</v>
      </c>
      <c r="BZ141" s="7">
        <v>29.368658496976199</v>
      </c>
      <c r="CA141" s="7">
        <v>6.3263929865969806E-2</v>
      </c>
      <c r="CB141" s="7">
        <v>0.84778302284413698</v>
      </c>
      <c r="CC141" s="7">
        <v>2.6843757902722798</v>
      </c>
      <c r="CD141" s="7">
        <v>5.31520273118098</v>
      </c>
      <c r="CE141" s="7">
        <v>6.3263929865969804</v>
      </c>
      <c r="CF141" s="7">
        <v>59.1840175335076</v>
      </c>
      <c r="CG141" s="7">
        <v>94.168844305824805</v>
      </c>
      <c r="CH141" s="7">
        <v>98.2361122818849</v>
      </c>
      <c r="CI141" s="7">
        <v>23.238698278100099</v>
      </c>
      <c r="CJ141" s="7">
        <v>0.178074685998483</v>
      </c>
      <c r="CK141" s="7">
        <v>1.1453047289892899</v>
      </c>
      <c r="CL141" s="7">
        <v>3.0966239568406002</v>
      </c>
      <c r="CM141" s="7">
        <v>5.8374146505942903</v>
      </c>
      <c r="CN141" s="7">
        <v>17.807468599848299</v>
      </c>
      <c r="CO141" s="7">
        <v>84.002781758408503</v>
      </c>
      <c r="CP141" s="7">
        <v>100</v>
      </c>
      <c r="CQ141" s="7">
        <v>100</v>
      </c>
      <c r="CR141" s="7">
        <v>12.637410636275</v>
      </c>
      <c r="CS141" s="7">
        <v>0.981728904998736</v>
      </c>
      <c r="CT141" s="7">
        <v>8.0728314928770093</v>
      </c>
      <c r="CU141" s="7">
        <v>10</v>
      </c>
      <c r="CV141" s="7">
        <v>10</v>
      </c>
      <c r="CW141" s="7">
        <v>81.754193711540097</v>
      </c>
      <c r="CX141" s="7">
        <v>100</v>
      </c>
      <c r="CY141" s="7">
        <v>100</v>
      </c>
      <c r="CZ141" s="7">
        <v>100</v>
      </c>
      <c r="DA141" s="9">
        <v>58.657250704501401</v>
      </c>
      <c r="DB141" s="9">
        <v>5.9849953637359898E-2</v>
      </c>
      <c r="DC141" s="9">
        <v>0.16648402596307799</v>
      </c>
      <c r="DD141" s="9">
        <v>0.26909297816741101</v>
      </c>
      <c r="DE141" s="9">
        <v>0.49243446008598202</v>
      </c>
      <c r="DF141" s="9">
        <v>5.9849953637359903</v>
      </c>
      <c r="DG141" s="9">
        <v>16.6484025963079</v>
      </c>
      <c r="DH141" s="9">
        <v>26.909297816741098</v>
      </c>
      <c r="DI141" s="9">
        <v>48.8472561746607</v>
      </c>
    </row>
    <row r="142" spans="1:113">
      <c r="A142" s="5" t="s">
        <v>366</v>
      </c>
      <c r="B142" s="5" t="s">
        <v>397</v>
      </c>
      <c r="C142" s="5" t="s">
        <v>398</v>
      </c>
      <c r="D142" s="6">
        <v>93202</v>
      </c>
      <c r="E142" s="7">
        <v>6.7749823050866897</v>
      </c>
      <c r="F142" s="7">
        <v>3.2550910924658298</v>
      </c>
      <c r="G142" s="7">
        <v>9.9375549880903904</v>
      </c>
      <c r="H142" s="7">
        <v>10</v>
      </c>
      <c r="I142" s="7">
        <v>10</v>
      </c>
      <c r="J142" s="7">
        <v>96.139567820433001</v>
      </c>
      <c r="K142" s="7">
        <v>100</v>
      </c>
      <c r="L142" s="7">
        <v>100</v>
      </c>
      <c r="M142" s="7">
        <v>100</v>
      </c>
      <c r="N142" s="7">
        <v>7.3992150533849301</v>
      </c>
      <c r="O142" s="7">
        <v>7.8379004742387499</v>
      </c>
      <c r="P142" s="7">
        <v>10</v>
      </c>
      <c r="Q142" s="7">
        <v>10</v>
      </c>
      <c r="R142" s="7">
        <v>10</v>
      </c>
      <c r="S142" s="7">
        <v>99.812235788931602</v>
      </c>
      <c r="T142" s="7">
        <v>100</v>
      </c>
      <c r="U142" s="7">
        <v>100</v>
      </c>
      <c r="V142" s="7">
        <v>100</v>
      </c>
      <c r="W142" s="7">
        <v>6.4352116834395696</v>
      </c>
      <c r="X142" s="7">
        <v>10</v>
      </c>
      <c r="Y142" s="7">
        <v>10</v>
      </c>
      <c r="Z142" s="7">
        <v>10</v>
      </c>
      <c r="AA142" s="7">
        <v>10</v>
      </c>
      <c r="AB142" s="7">
        <v>100</v>
      </c>
      <c r="AC142" s="7">
        <v>100</v>
      </c>
      <c r="AD142" s="7">
        <v>100</v>
      </c>
      <c r="AE142" s="7">
        <v>100</v>
      </c>
      <c r="AF142" s="6">
        <v>6.9398078421153802</v>
      </c>
      <c r="AG142" s="6">
        <v>2.5863071607905401</v>
      </c>
      <c r="AH142" s="6">
        <v>7.7065620909422501</v>
      </c>
      <c r="AI142" s="6">
        <v>9.7868071500611595</v>
      </c>
      <c r="AJ142" s="6">
        <v>10</v>
      </c>
      <c r="AK142" s="6">
        <v>94.651402330422101</v>
      </c>
      <c r="AL142" s="6">
        <v>100</v>
      </c>
      <c r="AM142" s="6">
        <v>100</v>
      </c>
      <c r="AN142" s="6">
        <v>100</v>
      </c>
      <c r="AO142" s="6">
        <v>12.0549535340809</v>
      </c>
      <c r="AP142" s="7">
        <v>1.0235188086092599</v>
      </c>
      <c r="AQ142" s="7">
        <v>7.0634428445741504</v>
      </c>
      <c r="AR142" s="7">
        <v>9.9718353683397396</v>
      </c>
      <c r="AS142" s="7">
        <v>10</v>
      </c>
      <c r="AT142" s="7">
        <v>67.656273470526401</v>
      </c>
      <c r="AU142" s="7">
        <v>100</v>
      </c>
      <c r="AV142" s="7">
        <v>100</v>
      </c>
      <c r="AW142" s="7">
        <v>100</v>
      </c>
      <c r="AX142" s="7">
        <v>10.2470490149333</v>
      </c>
      <c r="AY142" s="7">
        <v>3.1880968219566101</v>
      </c>
      <c r="AZ142" s="7">
        <v>9.9354091113924596</v>
      </c>
      <c r="BA142" s="7">
        <v>10</v>
      </c>
      <c r="BB142" s="7">
        <v>10</v>
      </c>
      <c r="BC142" s="7">
        <v>91.244823072466204</v>
      </c>
      <c r="BD142" s="7">
        <v>100</v>
      </c>
      <c r="BE142" s="7">
        <v>100</v>
      </c>
      <c r="BF142" s="7">
        <v>100</v>
      </c>
      <c r="BG142" s="7">
        <v>7.8856643683071201</v>
      </c>
      <c r="BH142" s="7">
        <v>9.3486513164953493</v>
      </c>
      <c r="BI142" s="7">
        <v>10</v>
      </c>
      <c r="BJ142" s="7">
        <v>10</v>
      </c>
      <c r="BK142" s="7">
        <v>10</v>
      </c>
      <c r="BL142" s="7">
        <v>100</v>
      </c>
      <c r="BM142" s="7">
        <v>100</v>
      </c>
      <c r="BN142" s="7">
        <v>100</v>
      </c>
      <c r="BO142" s="7">
        <v>100</v>
      </c>
      <c r="BP142" s="6">
        <v>15.218504294373499</v>
      </c>
      <c r="BQ142" s="6">
        <v>0.77127100276818095</v>
      </c>
      <c r="BR142" s="6">
        <v>3.07675800948478</v>
      </c>
      <c r="BS142" s="6">
        <v>6.0381429583056203</v>
      </c>
      <c r="BT142" s="6">
        <v>8.8677388897234</v>
      </c>
      <c r="BU142" s="6">
        <v>57.481599107315297</v>
      </c>
      <c r="BV142" s="6">
        <v>90.911139245938898</v>
      </c>
      <c r="BW142" s="6">
        <v>99.107315293663206</v>
      </c>
      <c r="BX142" s="6">
        <v>100</v>
      </c>
      <c r="BY142" s="6" t="str">
        <f>TRIM(Table1[[#This Row],[LA_Name]])</f>
        <v>Nuneaton and Bedworth</v>
      </c>
      <c r="BZ142" s="7">
        <v>22.3059268971707</v>
      </c>
      <c r="CA142" s="7">
        <v>0.20393339198729599</v>
      </c>
      <c r="CB142" s="7">
        <v>1.44262998648098</v>
      </c>
      <c r="CC142" s="7">
        <v>3.19516748567627</v>
      </c>
      <c r="CD142" s="7">
        <v>7.2290723375034904</v>
      </c>
      <c r="CE142" s="7">
        <v>20.393339198729599</v>
      </c>
      <c r="CF142" s="7">
        <v>80.779382416686303</v>
      </c>
      <c r="CG142" s="7">
        <v>99.413102723117504</v>
      </c>
      <c r="CH142" s="7">
        <v>100</v>
      </c>
      <c r="CI142" s="7">
        <v>18.0796406488301</v>
      </c>
      <c r="CJ142" s="7">
        <v>0.58426857792751197</v>
      </c>
      <c r="CK142" s="7">
        <v>2.03833608720843</v>
      </c>
      <c r="CL142" s="7">
        <v>4.37655844295187</v>
      </c>
      <c r="CM142" s="7">
        <v>7.1099332632346899</v>
      </c>
      <c r="CN142" s="7">
        <v>39.529194652475297</v>
      </c>
      <c r="CO142" s="7">
        <v>91.802751013926695</v>
      </c>
      <c r="CP142" s="7">
        <v>100</v>
      </c>
      <c r="CQ142" s="7">
        <v>100</v>
      </c>
      <c r="CR142" s="7">
        <v>11.8092859749763</v>
      </c>
      <c r="CS142" s="7">
        <v>1.47363790476599</v>
      </c>
      <c r="CT142" s="7">
        <v>9.3932426342782307</v>
      </c>
      <c r="CU142" s="7">
        <v>10</v>
      </c>
      <c r="CV142" s="7">
        <v>10</v>
      </c>
      <c r="CW142" s="7">
        <v>78.978991867127306</v>
      </c>
      <c r="CX142" s="7">
        <v>100</v>
      </c>
      <c r="CY142" s="7">
        <v>100</v>
      </c>
      <c r="CZ142" s="7">
        <v>100</v>
      </c>
      <c r="DA142" s="9">
        <v>41.290757212899102</v>
      </c>
      <c r="DB142" s="9">
        <v>0.14315143451857301</v>
      </c>
      <c r="DC142" s="9">
        <v>0.56651144825218303</v>
      </c>
      <c r="DD142" s="9">
        <v>1.00680242913242</v>
      </c>
      <c r="DE142" s="9">
        <v>1.48060127465076</v>
      </c>
      <c r="DF142" s="9">
        <v>14.315143451857301</v>
      </c>
      <c r="DG142" s="9">
        <v>38.729855582498203</v>
      </c>
      <c r="DH142" s="9">
        <v>58.823844981867303</v>
      </c>
      <c r="DI142" s="9">
        <v>77.004785305036407</v>
      </c>
    </row>
    <row r="143" spans="1:113">
      <c r="A143" s="5" t="s">
        <v>366</v>
      </c>
      <c r="B143" s="5" t="s">
        <v>399</v>
      </c>
      <c r="C143" s="5" t="s">
        <v>400</v>
      </c>
      <c r="D143" s="6">
        <v>76894</v>
      </c>
      <c r="E143" s="7">
        <v>9.4562456029308102</v>
      </c>
      <c r="F143" s="7">
        <v>2.2629724035685501</v>
      </c>
      <c r="G143" s="7">
        <v>8.1743699118266697</v>
      </c>
      <c r="H143" s="7">
        <v>9.6447056987541302</v>
      </c>
      <c r="I143" s="7">
        <v>9.8314172757302298</v>
      </c>
      <c r="J143" s="7">
        <v>85.970296772179907</v>
      </c>
      <c r="K143" s="7">
        <v>97.211746040003106</v>
      </c>
      <c r="L143" s="7">
        <v>98.763232501885696</v>
      </c>
      <c r="M143" s="7">
        <v>99.330246833302994</v>
      </c>
      <c r="N143" s="7">
        <v>9.3132946504388094</v>
      </c>
      <c r="O143" s="7">
        <v>5.65449840039535</v>
      </c>
      <c r="P143" s="7">
        <v>9.3544489817150893</v>
      </c>
      <c r="Q143" s="7">
        <v>9.9739771633677492</v>
      </c>
      <c r="R143" s="7">
        <v>10</v>
      </c>
      <c r="S143" s="7">
        <v>87.872915962233705</v>
      </c>
      <c r="T143" s="7">
        <v>99.366660597705902</v>
      </c>
      <c r="U143" s="7">
        <v>100</v>
      </c>
      <c r="V143" s="7">
        <v>100</v>
      </c>
      <c r="W143" s="7">
        <v>7.1674852436824796</v>
      </c>
      <c r="X143" s="7">
        <v>9.3054464587614092</v>
      </c>
      <c r="Y143" s="7">
        <v>10</v>
      </c>
      <c r="Z143" s="7">
        <v>10</v>
      </c>
      <c r="AA143" s="7">
        <v>10</v>
      </c>
      <c r="AB143" s="7">
        <v>99.366660597705902</v>
      </c>
      <c r="AC143" s="7">
        <v>100</v>
      </c>
      <c r="AD143" s="7">
        <v>100</v>
      </c>
      <c r="AE143" s="7">
        <v>100</v>
      </c>
      <c r="AF143" s="6">
        <v>13.074380698382701</v>
      </c>
      <c r="AG143" s="6">
        <v>1.8834499440788599</v>
      </c>
      <c r="AH143" s="6">
        <v>5.5155018597029697</v>
      </c>
      <c r="AI143" s="6">
        <v>8.0519936536010608</v>
      </c>
      <c r="AJ143" s="6">
        <v>8.7607225531250794</v>
      </c>
      <c r="AK143" s="6">
        <v>83.023382838713005</v>
      </c>
      <c r="AL143" s="6">
        <v>87.3111035971597</v>
      </c>
      <c r="AM143" s="6">
        <v>93.775847270268201</v>
      </c>
      <c r="AN143" s="6">
        <v>96.212968502093801</v>
      </c>
      <c r="AO143" s="6">
        <v>12.9023955224615</v>
      </c>
      <c r="AP143" s="7">
        <v>1.7440762608265901</v>
      </c>
      <c r="AQ143" s="7">
        <v>7.5418108044840997</v>
      </c>
      <c r="AR143" s="7">
        <v>9.6351600905142103</v>
      </c>
      <c r="AS143" s="7">
        <v>9.80201316097485</v>
      </c>
      <c r="AT143" s="7">
        <v>65.287278591307498</v>
      </c>
      <c r="AU143" s="7">
        <v>97.163627851327803</v>
      </c>
      <c r="AV143" s="7">
        <v>98.595469087314996</v>
      </c>
      <c r="AW143" s="7">
        <v>98.772335942986402</v>
      </c>
      <c r="AX143" s="7">
        <v>10.658047059008499</v>
      </c>
      <c r="AY143" s="7">
        <v>4.1971415194943704</v>
      </c>
      <c r="AZ143" s="7">
        <v>9.1124795172575208</v>
      </c>
      <c r="BA143" s="7">
        <v>9.9588654511405306</v>
      </c>
      <c r="BB143" s="7">
        <v>10</v>
      </c>
      <c r="BC143" s="7">
        <v>85.203006736546399</v>
      </c>
      <c r="BD143" s="7">
        <v>99.7307982417354</v>
      </c>
      <c r="BE143" s="7">
        <v>100</v>
      </c>
      <c r="BF143" s="7">
        <v>100</v>
      </c>
      <c r="BG143" s="7">
        <v>7.8594583765838504</v>
      </c>
      <c r="BH143" s="7">
        <v>8.8907717117070195</v>
      </c>
      <c r="BI143" s="7">
        <v>10</v>
      </c>
      <c r="BJ143" s="7">
        <v>10</v>
      </c>
      <c r="BK143" s="7">
        <v>10</v>
      </c>
      <c r="BL143" s="7">
        <v>99.7307982417354</v>
      </c>
      <c r="BM143" s="7">
        <v>100</v>
      </c>
      <c r="BN143" s="7">
        <v>100</v>
      </c>
      <c r="BO143" s="7">
        <v>100</v>
      </c>
      <c r="BP143" s="6">
        <v>17.093253950141701</v>
      </c>
      <c r="BQ143" s="6">
        <v>1.3862850157359501</v>
      </c>
      <c r="BR143" s="6">
        <v>3.95811116602076</v>
      </c>
      <c r="BS143" s="6">
        <v>6.8972871745519804</v>
      </c>
      <c r="BT143" s="6">
        <v>8.3681691679454797</v>
      </c>
      <c r="BU143" s="6">
        <v>54.461986630946498</v>
      </c>
      <c r="BV143" s="6">
        <v>84.398002444924202</v>
      </c>
      <c r="BW143" s="6">
        <v>94.626368767394098</v>
      </c>
      <c r="BX143" s="6">
        <v>97.686425468827196</v>
      </c>
      <c r="BY143" s="6" t="str">
        <f>TRIM(Table1[[#This Row],[LA_Name]])</f>
        <v>Rugby</v>
      </c>
      <c r="BZ143" s="7">
        <v>28.152048464779099</v>
      </c>
      <c r="CA143" s="7">
        <v>0.15081800920748001</v>
      </c>
      <c r="CB143" s="7">
        <v>0.85413686373449205</v>
      </c>
      <c r="CC143" s="7">
        <v>2.8832418654251302</v>
      </c>
      <c r="CD143" s="7">
        <v>6.5491195671964002</v>
      </c>
      <c r="CE143" s="7">
        <v>15.081800920748</v>
      </c>
      <c r="CF143" s="7">
        <v>60.151637318906502</v>
      </c>
      <c r="CG143" s="7">
        <v>94.812339064166295</v>
      </c>
      <c r="CH143" s="7">
        <v>98.060967045543194</v>
      </c>
      <c r="CI143" s="7">
        <v>20.731126452873902</v>
      </c>
      <c r="CJ143" s="7">
        <v>0.44844851353811699</v>
      </c>
      <c r="CK143" s="7">
        <v>1.6934611283065</v>
      </c>
      <c r="CL143" s="7">
        <v>2.8560876011132201</v>
      </c>
      <c r="CM143" s="7">
        <v>4.3861029469139297</v>
      </c>
      <c r="CN143" s="7">
        <v>31.7788123910838</v>
      </c>
      <c r="CO143" s="7">
        <v>88.436028818893504</v>
      </c>
      <c r="CP143" s="7">
        <v>97.051785574947303</v>
      </c>
      <c r="CQ143" s="7">
        <v>99.292532577314205</v>
      </c>
      <c r="CR143" s="7">
        <v>12.3722581508197</v>
      </c>
      <c r="CS143" s="7">
        <v>1.4237651832392599</v>
      </c>
      <c r="CT143" s="7">
        <v>8.5793039769032706</v>
      </c>
      <c r="CU143" s="7">
        <v>10</v>
      </c>
      <c r="CV143" s="7">
        <v>10</v>
      </c>
      <c r="CW143" s="7">
        <v>78.968450074128</v>
      </c>
      <c r="CX143" s="7">
        <v>99.7307982417354</v>
      </c>
      <c r="CY143" s="7">
        <v>100</v>
      </c>
      <c r="CZ143" s="7">
        <v>100</v>
      </c>
      <c r="DA143" s="9">
        <v>48.335377880242497</v>
      </c>
      <c r="DB143" s="9">
        <v>0.106133118318724</v>
      </c>
      <c r="DC143" s="9">
        <v>0.41614430254636298</v>
      </c>
      <c r="DD143" s="9">
        <v>0.72909459775795205</v>
      </c>
      <c r="DE143" s="9">
        <v>1.11909901942934</v>
      </c>
      <c r="DF143" s="9">
        <v>10.6133118318724</v>
      </c>
      <c r="DG143" s="9">
        <v>29.1180066064973</v>
      </c>
      <c r="DH143" s="9">
        <v>47.330090774312701</v>
      </c>
      <c r="DI143" s="9">
        <v>69.100319920930104</v>
      </c>
    </row>
    <row r="144" spans="1:113">
      <c r="A144" s="5" t="s">
        <v>366</v>
      </c>
      <c r="B144" s="5" t="s">
        <v>401</v>
      </c>
      <c r="C144" s="5" t="s">
        <v>402</v>
      </c>
      <c r="D144" s="6">
        <v>92393</v>
      </c>
      <c r="E144" s="7">
        <v>17.477794459533399</v>
      </c>
      <c r="F144" s="7">
        <v>0.74823850291688798</v>
      </c>
      <c r="G144" s="7">
        <v>3.5975127985886401</v>
      </c>
      <c r="H144" s="7">
        <v>7.0386284675245996</v>
      </c>
      <c r="I144" s="7">
        <v>8.6241490156180696</v>
      </c>
      <c r="J144" s="7">
        <v>54.0008442198002</v>
      </c>
      <c r="K144" s="7">
        <v>86.497894862164898</v>
      </c>
      <c r="L144" s="7">
        <v>94.3253276763391</v>
      </c>
      <c r="M144" s="7">
        <v>97.642678557899401</v>
      </c>
      <c r="N144" s="7">
        <v>13.3019008931011</v>
      </c>
      <c r="O144" s="7">
        <v>1.2997629690560999</v>
      </c>
      <c r="P144" s="7">
        <v>3.8086651586159102</v>
      </c>
      <c r="Q144" s="7">
        <v>7.60773002283723</v>
      </c>
      <c r="R144" s="7">
        <v>9.6743584470684993</v>
      </c>
      <c r="S144" s="7">
        <v>67.842801943870199</v>
      </c>
      <c r="T144" s="7">
        <v>96.452112173000103</v>
      </c>
      <c r="U144" s="7">
        <v>100</v>
      </c>
      <c r="V144" s="7">
        <v>100</v>
      </c>
      <c r="W144" s="7">
        <v>8.8549602145945805</v>
      </c>
      <c r="X144" s="7">
        <v>3.99383070146007</v>
      </c>
      <c r="Y144" s="7">
        <v>9.9680062342385192</v>
      </c>
      <c r="Z144" s="7">
        <v>10</v>
      </c>
      <c r="AA144" s="7">
        <v>10</v>
      </c>
      <c r="AB144" s="7">
        <v>96.180446570627595</v>
      </c>
      <c r="AC144" s="7">
        <v>100</v>
      </c>
      <c r="AD144" s="7">
        <v>100</v>
      </c>
      <c r="AE144" s="7">
        <v>100</v>
      </c>
      <c r="AF144" s="6">
        <v>26.5919610499725</v>
      </c>
      <c r="AG144" s="6">
        <v>0.65870791077246105</v>
      </c>
      <c r="AH144" s="6">
        <v>1.23440087452513</v>
      </c>
      <c r="AI144" s="6">
        <v>2.04317426644876</v>
      </c>
      <c r="AJ144" s="6">
        <v>2.92729968720574</v>
      </c>
      <c r="AK144" s="6">
        <v>50.043834489625802</v>
      </c>
      <c r="AL144" s="6">
        <v>65.844815083393797</v>
      </c>
      <c r="AM144" s="6">
        <v>77.315381035359806</v>
      </c>
      <c r="AN144" s="6">
        <v>87.119154048466896</v>
      </c>
      <c r="AO144" s="6">
        <v>14.714156489847101</v>
      </c>
      <c r="AP144" s="7">
        <v>1.1105386771725101</v>
      </c>
      <c r="AQ144" s="7">
        <v>4.9086619116166803</v>
      </c>
      <c r="AR144" s="7">
        <v>8.2772287943891794</v>
      </c>
      <c r="AS144" s="7">
        <v>9.0397649172556402</v>
      </c>
      <c r="AT144" s="7">
        <v>66.098081023454199</v>
      </c>
      <c r="AU144" s="7">
        <v>90.566384899288906</v>
      </c>
      <c r="AV144" s="7">
        <v>94.420572987131095</v>
      </c>
      <c r="AW144" s="7">
        <v>96.778976762308801</v>
      </c>
      <c r="AX144" s="7">
        <v>11.443217553292801</v>
      </c>
      <c r="AY144" s="7">
        <v>2.1579448659530498</v>
      </c>
      <c r="AZ144" s="7">
        <v>5.1043585553018103</v>
      </c>
      <c r="BA144" s="7">
        <v>8.5502364897773599</v>
      </c>
      <c r="BB144" s="7">
        <v>9.9653004015455693</v>
      </c>
      <c r="BC144" s="7">
        <v>75.508967129544402</v>
      </c>
      <c r="BD144" s="7">
        <v>99.143874535949706</v>
      </c>
      <c r="BE144" s="7">
        <v>100</v>
      </c>
      <c r="BF144" s="7">
        <v>100</v>
      </c>
      <c r="BG144" s="7">
        <v>8.0474969954249804</v>
      </c>
      <c r="BH144" s="7">
        <v>5.5392941023670597</v>
      </c>
      <c r="BI144" s="7">
        <v>10</v>
      </c>
      <c r="BJ144" s="7">
        <v>10</v>
      </c>
      <c r="BK144" s="7">
        <v>10</v>
      </c>
      <c r="BL144" s="7">
        <v>97.946814152587294</v>
      </c>
      <c r="BM144" s="7">
        <v>100</v>
      </c>
      <c r="BN144" s="7">
        <v>100</v>
      </c>
      <c r="BO144" s="7">
        <v>100</v>
      </c>
      <c r="BP144" s="6">
        <v>20.424110135459099</v>
      </c>
      <c r="BQ144" s="6">
        <v>0.94104531728594198</v>
      </c>
      <c r="BR144" s="6">
        <v>2.1196843916746899</v>
      </c>
      <c r="BS144" s="6">
        <v>3.3404586927581099</v>
      </c>
      <c r="BT144" s="6">
        <v>4.2215427575682103</v>
      </c>
      <c r="BU144" s="6">
        <v>61.5739287608369</v>
      </c>
      <c r="BV144" s="6">
        <v>75.2535365233297</v>
      </c>
      <c r="BW144" s="6">
        <v>84.239065730087802</v>
      </c>
      <c r="BX144" s="6">
        <v>90.340177286157996</v>
      </c>
      <c r="BY144" s="6" t="str">
        <f>TRIM(Table1[[#This Row],[LA_Name]])</f>
        <v>Stratford-on-Avon</v>
      </c>
      <c r="BZ144" s="7">
        <v>64.549800094301901</v>
      </c>
      <c r="CA144" s="7">
        <v>1.1451083956576799E-2</v>
      </c>
      <c r="CB144" s="7">
        <v>5.8402692844696E-2</v>
      </c>
      <c r="CC144" s="7">
        <v>0.32068446743800899</v>
      </c>
      <c r="CD144" s="7">
        <v>1.2066823244185201</v>
      </c>
      <c r="CE144" s="7">
        <v>1.14510839565768</v>
      </c>
      <c r="CF144" s="7">
        <v>5.3218317404998201</v>
      </c>
      <c r="CG144" s="7">
        <v>26.084227160066199</v>
      </c>
      <c r="CH144" s="7">
        <v>55.861374779474602</v>
      </c>
      <c r="CI144" s="7">
        <v>60.141975556603001</v>
      </c>
      <c r="CJ144" s="7">
        <v>7.3490415940601602E-3</v>
      </c>
      <c r="CK144" s="7">
        <v>0.102302122455164</v>
      </c>
      <c r="CL144" s="7">
        <v>0.33142121156364701</v>
      </c>
      <c r="CM144" s="7">
        <v>1.04866169515007</v>
      </c>
      <c r="CN144" s="7">
        <v>0.73490415940601606</v>
      </c>
      <c r="CO144" s="7">
        <v>10.2302122455164</v>
      </c>
      <c r="CP144" s="7">
        <v>23.7388113818146</v>
      </c>
      <c r="CQ144" s="7">
        <v>49.495091619495</v>
      </c>
      <c r="CR144" s="7">
        <v>23.786632511180201</v>
      </c>
      <c r="CS144" s="7">
        <v>0.109012587533688</v>
      </c>
      <c r="CT144" s="7">
        <v>3.4346541404651898</v>
      </c>
      <c r="CU144" s="7">
        <v>9.6749537302609507</v>
      </c>
      <c r="CV144" s="7">
        <v>10</v>
      </c>
      <c r="CW144" s="7">
        <v>10.901258753368801</v>
      </c>
      <c r="CX144" s="7">
        <v>86.850735445325896</v>
      </c>
      <c r="CY144" s="7">
        <v>100</v>
      </c>
      <c r="CZ144" s="7">
        <v>100</v>
      </c>
      <c r="DA144" s="9">
        <v>112.318246017039</v>
      </c>
      <c r="DB144" s="9">
        <v>7.3490415940601602E-3</v>
      </c>
      <c r="DC144" s="9">
        <v>7.3490415940601602E-3</v>
      </c>
      <c r="DD144" s="9">
        <v>1.5802062926845099E-2</v>
      </c>
      <c r="DE144" s="9">
        <v>1.5802062926845099E-2</v>
      </c>
      <c r="DF144" s="9">
        <v>0.73490415940601606</v>
      </c>
      <c r="DG144" s="9">
        <v>0.73490415940601606</v>
      </c>
      <c r="DH144" s="9">
        <v>1.58020629268451</v>
      </c>
      <c r="DI144" s="9">
        <v>1.58020629268451</v>
      </c>
    </row>
    <row r="145" spans="1:113">
      <c r="A145" s="5" t="s">
        <v>366</v>
      </c>
      <c r="B145" s="5" t="s">
        <v>403</v>
      </c>
      <c r="C145" s="5" t="s">
        <v>404</v>
      </c>
      <c r="D145" s="6">
        <v>105931</v>
      </c>
      <c r="E145" s="7">
        <v>10.273228371354</v>
      </c>
      <c r="F145" s="7">
        <v>2.2170752659750201</v>
      </c>
      <c r="G145" s="7">
        <v>8.4849194286847105</v>
      </c>
      <c r="H145" s="7">
        <v>9.6254637452681493</v>
      </c>
      <c r="I145" s="7">
        <v>9.7566717957916005</v>
      </c>
      <c r="J145" s="7">
        <v>83.240977617505706</v>
      </c>
      <c r="K145" s="7">
        <v>97.704165919324893</v>
      </c>
      <c r="L145" s="7">
        <v>98.502798991796595</v>
      </c>
      <c r="M145" s="7">
        <v>98.937043924818994</v>
      </c>
      <c r="N145" s="7">
        <v>8.9223836431162908</v>
      </c>
      <c r="O145" s="7">
        <v>6.0251295654718602</v>
      </c>
      <c r="P145" s="7">
        <v>9.6798010025393904</v>
      </c>
      <c r="Q145" s="7">
        <v>9.9976494132973404</v>
      </c>
      <c r="R145" s="7">
        <v>10</v>
      </c>
      <c r="S145" s="7">
        <v>91.350973747061801</v>
      </c>
      <c r="T145" s="7">
        <v>99.553482927566094</v>
      </c>
      <c r="U145" s="7">
        <v>100</v>
      </c>
      <c r="V145" s="7">
        <v>100</v>
      </c>
      <c r="W145" s="7">
        <v>7.1949344512562803</v>
      </c>
      <c r="X145" s="7">
        <v>9.43990899736621</v>
      </c>
      <c r="Y145" s="7">
        <v>10</v>
      </c>
      <c r="Z145" s="7">
        <v>10</v>
      </c>
      <c r="AA145" s="7">
        <v>10</v>
      </c>
      <c r="AB145" s="7">
        <v>99.744173093806296</v>
      </c>
      <c r="AC145" s="7">
        <v>100</v>
      </c>
      <c r="AD145" s="7">
        <v>100</v>
      </c>
      <c r="AE145" s="7">
        <v>100</v>
      </c>
      <c r="AF145" s="6">
        <v>11.7868075456832</v>
      </c>
      <c r="AG145" s="6">
        <v>1.8224315828227799</v>
      </c>
      <c r="AH145" s="6">
        <v>5.9201272526455897</v>
      </c>
      <c r="AI145" s="6">
        <v>8.4463093900746706</v>
      </c>
      <c r="AJ145" s="6">
        <v>9.2517110194371792</v>
      </c>
      <c r="AK145" s="6">
        <v>79.777402271289802</v>
      </c>
      <c r="AL145" s="6">
        <v>90.570276878345297</v>
      </c>
      <c r="AM145" s="6">
        <v>97.802343034616896</v>
      </c>
      <c r="AN145" s="6">
        <v>98.746353758578707</v>
      </c>
      <c r="AO145" s="6">
        <v>10.808729541362901</v>
      </c>
      <c r="AP145" s="7">
        <v>2.36710689033427</v>
      </c>
      <c r="AQ145" s="7">
        <v>8.06091701201726</v>
      </c>
      <c r="AR145" s="7">
        <v>9.6246707762600199</v>
      </c>
      <c r="AS145" s="7">
        <v>9.7994166013725899</v>
      </c>
      <c r="AT145" s="7">
        <v>78.571900576790597</v>
      </c>
      <c r="AU145" s="7">
        <v>97.722102123080106</v>
      </c>
      <c r="AV145" s="7">
        <v>99.013508793459906</v>
      </c>
      <c r="AW145" s="7">
        <v>99.770605394077293</v>
      </c>
      <c r="AX145" s="7">
        <v>9.2847683923723494</v>
      </c>
      <c r="AY145" s="7">
        <v>5.6826991154619497</v>
      </c>
      <c r="AZ145" s="7">
        <v>9.3283363699011606</v>
      </c>
      <c r="BA145" s="7">
        <v>10</v>
      </c>
      <c r="BB145" s="7">
        <v>10</v>
      </c>
      <c r="BC145" s="7">
        <v>93.9762675703996</v>
      </c>
      <c r="BD145" s="7">
        <v>100</v>
      </c>
      <c r="BE145" s="7">
        <v>100</v>
      </c>
      <c r="BF145" s="7">
        <v>100</v>
      </c>
      <c r="BG145" s="7">
        <v>7.3530526409715797</v>
      </c>
      <c r="BH145" s="7">
        <v>9.0222880931927403</v>
      </c>
      <c r="BI145" s="7">
        <v>10</v>
      </c>
      <c r="BJ145" s="7">
        <v>10</v>
      </c>
      <c r="BK145" s="7">
        <v>10</v>
      </c>
      <c r="BL145" s="7">
        <v>100</v>
      </c>
      <c r="BM145" s="7">
        <v>100</v>
      </c>
      <c r="BN145" s="7">
        <v>100</v>
      </c>
      <c r="BO145" s="7">
        <v>100</v>
      </c>
      <c r="BP145" s="6">
        <v>12.842324726230901</v>
      </c>
      <c r="BQ145" s="6">
        <v>2.03139779667897</v>
      </c>
      <c r="BR145" s="6">
        <v>5.5063956726548398</v>
      </c>
      <c r="BS145" s="6">
        <v>7.5010808922789396</v>
      </c>
      <c r="BT145" s="6">
        <v>8.3739037675467998</v>
      </c>
      <c r="BU145" s="6">
        <v>68.806109637405498</v>
      </c>
      <c r="BV145" s="6">
        <v>93.161586315620596</v>
      </c>
      <c r="BW145" s="6">
        <v>96.921581029160507</v>
      </c>
      <c r="BX145" s="6">
        <v>99.770605394077293</v>
      </c>
      <c r="BY145" s="6" t="str">
        <f>TRIM(Table1[[#This Row],[LA_Name]])</f>
        <v>Warwick</v>
      </c>
      <c r="BZ145" s="7">
        <v>24.3209150359611</v>
      </c>
      <c r="CA145" s="7">
        <v>0.20443496238117301</v>
      </c>
      <c r="CB145" s="7">
        <v>1.4422879043905901</v>
      </c>
      <c r="CC145" s="7">
        <v>4.4512748864827101</v>
      </c>
      <c r="CD145" s="7">
        <v>8.2778223560619608</v>
      </c>
      <c r="CE145" s="7">
        <v>20.443496238117302</v>
      </c>
      <c r="CF145" s="7">
        <v>80.138014367843198</v>
      </c>
      <c r="CG145" s="7">
        <v>95.913377575969307</v>
      </c>
      <c r="CH145" s="7">
        <v>97.104719109609107</v>
      </c>
      <c r="CI145" s="7">
        <v>16.911460563437899</v>
      </c>
      <c r="CJ145" s="7">
        <v>0.64033191417054502</v>
      </c>
      <c r="CK145" s="7">
        <v>2.0410644664923399</v>
      </c>
      <c r="CL145" s="7">
        <v>3.9198251692139201</v>
      </c>
      <c r="CM145" s="7">
        <v>7.5270317470806498</v>
      </c>
      <c r="CN145" s="7">
        <v>51.2040856784133</v>
      </c>
      <c r="CO145" s="7">
        <v>93.3012999027669</v>
      </c>
      <c r="CP145" s="7">
        <v>98.4338862089473</v>
      </c>
      <c r="CQ145" s="7">
        <v>100</v>
      </c>
      <c r="CR145" s="7">
        <v>11.1342260754662</v>
      </c>
      <c r="CS145" s="7">
        <v>1.7768830653916201</v>
      </c>
      <c r="CT145" s="7">
        <v>9.7543495294106499</v>
      </c>
      <c r="CU145" s="7">
        <v>10</v>
      </c>
      <c r="CV145" s="7">
        <v>10</v>
      </c>
      <c r="CW145" s="7">
        <v>88.211194079164699</v>
      </c>
      <c r="CX145" s="7">
        <v>100</v>
      </c>
      <c r="CY145" s="7">
        <v>100</v>
      </c>
      <c r="CZ145" s="7">
        <v>100</v>
      </c>
      <c r="DA145" s="9">
        <v>38.185183676969203</v>
      </c>
      <c r="DB145" s="9">
        <v>0.17879563111836899</v>
      </c>
      <c r="DC145" s="9">
        <v>0.602269401780404</v>
      </c>
      <c r="DD145" s="9">
        <v>1.0546015802739499</v>
      </c>
      <c r="DE145" s="9">
        <v>1.46343374460734</v>
      </c>
      <c r="DF145" s="9">
        <v>17.879563111836902</v>
      </c>
      <c r="DG145" s="9">
        <v>48.710009345706197</v>
      </c>
      <c r="DH145" s="9">
        <v>65.960861315384506</v>
      </c>
      <c r="DI145" s="9">
        <v>83.1862249955159</v>
      </c>
    </row>
    <row r="146" spans="1:113">
      <c r="A146" s="5" t="s">
        <v>366</v>
      </c>
      <c r="B146" s="5" t="s">
        <v>405</v>
      </c>
      <c r="C146" s="5" t="s">
        <v>406</v>
      </c>
      <c r="D146" s="6">
        <v>2080132</v>
      </c>
      <c r="E146" s="7">
        <v>6.9358046252736596</v>
      </c>
      <c r="F146" s="7">
        <v>4.3472010430107302</v>
      </c>
      <c r="G146" s="7">
        <v>9.9414599650406803</v>
      </c>
      <c r="H146" s="7">
        <v>9.9948637874904094</v>
      </c>
      <c r="I146" s="7">
        <v>9.9983496239661704</v>
      </c>
      <c r="J146" s="7">
        <v>95.955208611761194</v>
      </c>
      <c r="K146" s="7">
        <v>99.947551405391593</v>
      </c>
      <c r="L146" s="7">
        <v>99.9892795264916</v>
      </c>
      <c r="M146" s="7">
        <v>100</v>
      </c>
      <c r="N146" s="7">
        <v>7.4796598103894496</v>
      </c>
      <c r="O146" s="7">
        <v>9.2416764897612307</v>
      </c>
      <c r="P146" s="7">
        <v>9.9873195547205693</v>
      </c>
      <c r="Q146" s="7">
        <v>10</v>
      </c>
      <c r="R146" s="7">
        <v>10</v>
      </c>
      <c r="S146" s="7">
        <v>99.625023796566794</v>
      </c>
      <c r="T146" s="7">
        <v>100</v>
      </c>
      <c r="U146" s="7">
        <v>100</v>
      </c>
      <c r="V146" s="7">
        <v>100</v>
      </c>
      <c r="W146" s="7">
        <v>6.5597186938580299</v>
      </c>
      <c r="X146" s="7">
        <v>9.9851211365432597</v>
      </c>
      <c r="Y146" s="7">
        <v>10</v>
      </c>
      <c r="Z146" s="7">
        <v>10</v>
      </c>
      <c r="AA146" s="7">
        <v>10</v>
      </c>
      <c r="AB146" s="7">
        <v>100</v>
      </c>
      <c r="AC146" s="7">
        <v>100</v>
      </c>
      <c r="AD146" s="7">
        <v>100</v>
      </c>
      <c r="AE146" s="7">
        <v>100</v>
      </c>
      <c r="AF146" s="6">
        <v>7.26888580109964</v>
      </c>
      <c r="AG146" s="6">
        <v>3.36581909224991</v>
      </c>
      <c r="AH146" s="6">
        <v>9.1334847980801204</v>
      </c>
      <c r="AI146" s="6">
        <v>9.8976098632202199</v>
      </c>
      <c r="AJ146" s="6">
        <v>9.9534394932629304</v>
      </c>
      <c r="AK146" s="6">
        <v>93.1884130430184</v>
      </c>
      <c r="AL146" s="6">
        <v>99.643628385121701</v>
      </c>
      <c r="AM146" s="6">
        <v>99.878517324862102</v>
      </c>
      <c r="AN146" s="6">
        <v>99.950003172875597</v>
      </c>
      <c r="AO146" s="6">
        <v>10.2427062456933</v>
      </c>
      <c r="AP146" s="7">
        <v>1.97803312482092</v>
      </c>
      <c r="AQ146" s="7">
        <v>9.5368563148877108</v>
      </c>
      <c r="AR146" s="7">
        <v>9.9949839721709992</v>
      </c>
      <c r="AS146" s="7">
        <v>9.99834770101128</v>
      </c>
      <c r="AT146" s="7">
        <v>81.793174663915593</v>
      </c>
      <c r="AU146" s="7">
        <v>99.907746239180995</v>
      </c>
      <c r="AV146" s="7">
        <v>99.9892795264916</v>
      </c>
      <c r="AW146" s="7">
        <v>100</v>
      </c>
      <c r="AX146" s="7">
        <v>8.79651440217269</v>
      </c>
      <c r="AY146" s="7">
        <v>6.3022606257679801</v>
      </c>
      <c r="AZ146" s="7">
        <v>9.9811064874729105</v>
      </c>
      <c r="BA146" s="7">
        <v>10</v>
      </c>
      <c r="BB146" s="7">
        <v>10</v>
      </c>
      <c r="BC146" s="7">
        <v>98.399572719423603</v>
      </c>
      <c r="BD146" s="7">
        <v>100</v>
      </c>
      <c r="BE146" s="7">
        <v>100</v>
      </c>
      <c r="BF146" s="7">
        <v>100</v>
      </c>
      <c r="BG146" s="7">
        <v>7.3010078365354296</v>
      </c>
      <c r="BH146" s="7">
        <v>9.9457423855793792</v>
      </c>
      <c r="BI146" s="7">
        <v>10</v>
      </c>
      <c r="BJ146" s="7">
        <v>10</v>
      </c>
      <c r="BK146" s="7">
        <v>10</v>
      </c>
      <c r="BL146" s="7">
        <v>100</v>
      </c>
      <c r="BM146" s="7">
        <v>100</v>
      </c>
      <c r="BN146" s="7">
        <v>100</v>
      </c>
      <c r="BO146" s="7">
        <v>100</v>
      </c>
      <c r="BP146" s="6">
        <v>11.4421122992104</v>
      </c>
      <c r="BQ146" s="6">
        <v>1.4831015531706599</v>
      </c>
      <c r="BR146" s="6">
        <v>5.9438925029757703</v>
      </c>
      <c r="BS146" s="6">
        <v>8.9804574901977396</v>
      </c>
      <c r="BT146" s="6">
        <v>9.8408418311914794</v>
      </c>
      <c r="BU146" s="6">
        <v>73.2215551705373</v>
      </c>
      <c r="BV146" s="6">
        <v>98.200066149648194</v>
      </c>
      <c r="BW146" s="6">
        <v>99.9892795264916</v>
      </c>
      <c r="BX146" s="6">
        <v>100</v>
      </c>
      <c r="BY146" s="6" t="str">
        <f>TRIM(Table1[[#This Row],[LA_Name]])</f>
        <v>West Midlands (Met County)</v>
      </c>
      <c r="BZ146" s="7">
        <v>22.3398575221978</v>
      </c>
      <c r="CA146" s="7">
        <v>0.25109560354823601</v>
      </c>
      <c r="CB146" s="7">
        <v>2.7268740637613398</v>
      </c>
      <c r="CC146" s="7">
        <v>7.3486509509973397</v>
      </c>
      <c r="CD146" s="7">
        <v>9.6513245313278198</v>
      </c>
      <c r="CE146" s="7">
        <v>16.746148802095298</v>
      </c>
      <c r="CF146" s="7">
        <v>84.270757817292406</v>
      </c>
      <c r="CG146" s="7">
        <v>99.857605190439799</v>
      </c>
      <c r="CH146" s="7">
        <v>99.9783667574942</v>
      </c>
      <c r="CI146" s="7">
        <v>16.633415510808099</v>
      </c>
      <c r="CJ146" s="7">
        <v>0.93048998813536798</v>
      </c>
      <c r="CK146" s="7">
        <v>5.0704911995969502</v>
      </c>
      <c r="CL146" s="7">
        <v>8.4904308957316204</v>
      </c>
      <c r="CM146" s="7">
        <v>9.8007333188470707</v>
      </c>
      <c r="CN146" s="7">
        <v>42.292075695196303</v>
      </c>
      <c r="CO146" s="7">
        <v>97.808360238677196</v>
      </c>
      <c r="CP146" s="7">
        <v>100</v>
      </c>
      <c r="CQ146" s="7">
        <v>100</v>
      </c>
      <c r="CR146" s="7">
        <v>11.418957639763301</v>
      </c>
      <c r="CS146" s="7">
        <v>2.9638657546732601</v>
      </c>
      <c r="CT146" s="7">
        <v>9.7262221820538297</v>
      </c>
      <c r="CU146" s="7">
        <v>10</v>
      </c>
      <c r="CV146" s="7">
        <v>10</v>
      </c>
      <c r="CW146" s="7">
        <v>87.958985295163998</v>
      </c>
      <c r="CX146" s="7">
        <v>100</v>
      </c>
      <c r="CY146" s="7">
        <v>100</v>
      </c>
      <c r="CZ146" s="7">
        <v>100</v>
      </c>
      <c r="DA146" s="9">
        <v>36.357412566145399</v>
      </c>
      <c r="DB146" s="9">
        <v>0.19500877828907001</v>
      </c>
      <c r="DC146" s="9">
        <v>0.86080931402430205</v>
      </c>
      <c r="DD146" s="9">
        <v>1.84990423684651</v>
      </c>
      <c r="DE146" s="9">
        <v>3.1755321296917698</v>
      </c>
      <c r="DF146" s="9">
        <v>13.3897752642621</v>
      </c>
      <c r="DG146" s="9">
        <v>41.059221241728899</v>
      </c>
      <c r="DH146" s="9">
        <v>69.549865104714499</v>
      </c>
      <c r="DI146" s="9">
        <v>88.4270805891165</v>
      </c>
    </row>
    <row r="147" spans="1:113">
      <c r="A147" s="5" t="s">
        <v>366</v>
      </c>
      <c r="B147" s="5" t="s">
        <v>407</v>
      </c>
      <c r="C147" s="5" t="s">
        <v>408</v>
      </c>
      <c r="D147" s="6">
        <v>811248</v>
      </c>
      <c r="E147" s="7">
        <v>6.74742829330396</v>
      </c>
      <c r="F147" s="7">
        <v>4.6218024574482799</v>
      </c>
      <c r="G147" s="7">
        <v>9.9866736189180099</v>
      </c>
      <c r="H147" s="7">
        <v>10</v>
      </c>
      <c r="I147" s="7">
        <v>10</v>
      </c>
      <c r="J147" s="7">
        <v>96.589205766917104</v>
      </c>
      <c r="K147" s="7">
        <v>99.962896672780701</v>
      </c>
      <c r="L147" s="7">
        <v>100</v>
      </c>
      <c r="M147" s="7">
        <v>100</v>
      </c>
      <c r="N147" s="7">
        <v>7.3376059718457203</v>
      </c>
      <c r="O147" s="7">
        <v>9.5878966727806993</v>
      </c>
      <c r="P147" s="7">
        <v>10</v>
      </c>
      <c r="Q147" s="7">
        <v>10</v>
      </c>
      <c r="R147" s="7">
        <v>10</v>
      </c>
      <c r="S147" s="7">
        <v>100</v>
      </c>
      <c r="T147" s="7">
        <v>100</v>
      </c>
      <c r="U147" s="7">
        <v>100</v>
      </c>
      <c r="V147" s="7">
        <v>100</v>
      </c>
      <c r="W147" s="7">
        <v>6.5066908001182604</v>
      </c>
      <c r="X147" s="7">
        <v>10</v>
      </c>
      <c r="Y147" s="7">
        <v>10</v>
      </c>
      <c r="Z147" s="7">
        <v>10</v>
      </c>
      <c r="AA147" s="7">
        <v>10</v>
      </c>
      <c r="AB147" s="7">
        <v>100</v>
      </c>
      <c r="AC147" s="7">
        <v>100</v>
      </c>
      <c r="AD147" s="7">
        <v>100</v>
      </c>
      <c r="AE147" s="7">
        <v>100</v>
      </c>
      <c r="AF147" s="6">
        <v>6.9593131358732503</v>
      </c>
      <c r="AG147" s="6">
        <v>3.6016224385144899</v>
      </c>
      <c r="AH147" s="6">
        <v>9.43710431335424</v>
      </c>
      <c r="AI147" s="6">
        <v>9.9806902451531503</v>
      </c>
      <c r="AJ147" s="6">
        <v>9.9996289667278102</v>
      </c>
      <c r="AK147" s="6">
        <v>94.659339684042394</v>
      </c>
      <c r="AL147" s="6">
        <v>99.962896672780701</v>
      </c>
      <c r="AM147" s="6">
        <v>100</v>
      </c>
      <c r="AN147" s="6">
        <v>100</v>
      </c>
      <c r="AO147" s="6">
        <v>9.4453347038962097</v>
      </c>
      <c r="AP147" s="7">
        <v>2.35753924817072</v>
      </c>
      <c r="AQ147" s="7">
        <v>9.8174738181172696</v>
      </c>
      <c r="AR147" s="7">
        <v>9.9997805849752499</v>
      </c>
      <c r="AS147" s="7">
        <v>10</v>
      </c>
      <c r="AT147" s="7">
        <v>87.338890203735502</v>
      </c>
      <c r="AU147" s="7">
        <v>100</v>
      </c>
      <c r="AV147" s="7">
        <v>100</v>
      </c>
      <c r="AW147" s="7">
        <v>100</v>
      </c>
      <c r="AX147" s="7">
        <v>8.3202927489665193</v>
      </c>
      <c r="AY147" s="7">
        <v>7.1853083150898396</v>
      </c>
      <c r="AZ147" s="7">
        <v>10</v>
      </c>
      <c r="BA147" s="7">
        <v>10</v>
      </c>
      <c r="BB147" s="7">
        <v>10</v>
      </c>
      <c r="BC147" s="7">
        <v>100</v>
      </c>
      <c r="BD147" s="7">
        <v>100</v>
      </c>
      <c r="BE147" s="7">
        <v>100</v>
      </c>
      <c r="BF147" s="7">
        <v>100</v>
      </c>
      <c r="BG147" s="7">
        <v>7.1177424982601902</v>
      </c>
      <c r="BH147" s="7">
        <v>9.9791136619134999</v>
      </c>
      <c r="BI147" s="7">
        <v>10</v>
      </c>
      <c r="BJ147" s="7">
        <v>10</v>
      </c>
      <c r="BK147" s="7">
        <v>10</v>
      </c>
      <c r="BL147" s="7">
        <v>100</v>
      </c>
      <c r="BM147" s="7">
        <v>100</v>
      </c>
      <c r="BN147" s="7">
        <v>100</v>
      </c>
      <c r="BO147" s="7">
        <v>100</v>
      </c>
      <c r="BP147" s="6">
        <v>10.0876781545957</v>
      </c>
      <c r="BQ147" s="6">
        <v>1.77216461550599</v>
      </c>
      <c r="BR147" s="6">
        <v>6.7591205155513503</v>
      </c>
      <c r="BS147" s="6">
        <v>9.4138820681222004</v>
      </c>
      <c r="BT147" s="6">
        <v>9.94385440703706</v>
      </c>
      <c r="BU147" s="6">
        <v>79.903062935131999</v>
      </c>
      <c r="BV147" s="6">
        <v>100</v>
      </c>
      <c r="BW147" s="6">
        <v>100</v>
      </c>
      <c r="BX147" s="6">
        <v>100</v>
      </c>
      <c r="BY147" s="6" t="str">
        <f>TRIM(Table1[[#This Row],[LA_Name]])</f>
        <v>Birmingham</v>
      </c>
      <c r="BZ147" s="7">
        <v>22.146591235864999</v>
      </c>
      <c r="CA147" s="7">
        <v>0.35989734335246398</v>
      </c>
      <c r="CB147" s="7">
        <v>3.8801796737865599</v>
      </c>
      <c r="CC147" s="7">
        <v>8.9882415734769108</v>
      </c>
      <c r="CD147" s="7">
        <v>9.9801330789105194</v>
      </c>
      <c r="CE147" s="7">
        <v>19.005532217028598</v>
      </c>
      <c r="CF147" s="7">
        <v>83.254319271048999</v>
      </c>
      <c r="CG147" s="7">
        <v>99.722033213024901</v>
      </c>
      <c r="CH147" s="7">
        <v>100</v>
      </c>
      <c r="CI147" s="7">
        <v>16.640798605805799</v>
      </c>
      <c r="CJ147" s="7">
        <v>1.3815762873991699</v>
      </c>
      <c r="CK147" s="7">
        <v>6.6103460347513998</v>
      </c>
      <c r="CL147" s="7">
        <v>9.4734569453483992</v>
      </c>
      <c r="CM147" s="7">
        <v>10</v>
      </c>
      <c r="CN147" s="7">
        <v>44.846212255685103</v>
      </c>
      <c r="CO147" s="7">
        <v>95.498293986549101</v>
      </c>
      <c r="CP147" s="7">
        <v>100</v>
      </c>
      <c r="CQ147" s="7">
        <v>100</v>
      </c>
      <c r="CR147" s="7">
        <v>11.570671520863799</v>
      </c>
      <c r="CS147" s="7">
        <v>3.7332159832751501</v>
      </c>
      <c r="CT147" s="7">
        <v>9.9884412658028108</v>
      </c>
      <c r="CU147" s="7">
        <v>10</v>
      </c>
      <c r="CV147" s="7">
        <v>10</v>
      </c>
      <c r="CW147" s="7">
        <v>84.169082697276295</v>
      </c>
      <c r="CX147" s="7">
        <v>100</v>
      </c>
      <c r="CY147" s="7">
        <v>100</v>
      </c>
      <c r="CZ147" s="7">
        <v>100</v>
      </c>
      <c r="DA147" s="9">
        <v>37.182769464783703</v>
      </c>
      <c r="DB147" s="9">
        <v>0.27990454213754601</v>
      </c>
      <c r="DC147" s="9">
        <v>1.2316788454332099</v>
      </c>
      <c r="DD147" s="9">
        <v>2.5578343490523201</v>
      </c>
      <c r="DE147" s="9">
        <v>4.27656647535649</v>
      </c>
      <c r="DF147" s="9">
        <v>14.840714553379501</v>
      </c>
      <c r="DG147" s="9">
        <v>41.632645011143303</v>
      </c>
      <c r="DH147" s="9">
        <v>68.930955761986496</v>
      </c>
      <c r="DI147" s="9">
        <v>85.283538449401405</v>
      </c>
    </row>
    <row r="148" spans="1:113">
      <c r="A148" s="5" t="s">
        <v>366</v>
      </c>
      <c r="B148" s="5" t="s">
        <v>409</v>
      </c>
      <c r="C148" s="5" t="s">
        <v>410</v>
      </c>
      <c r="D148" s="6">
        <v>275163</v>
      </c>
      <c r="E148" s="7">
        <v>6.5994129949696001</v>
      </c>
      <c r="F148" s="7">
        <v>5.2502625716393601</v>
      </c>
      <c r="G148" s="7">
        <v>9.9894753291685294</v>
      </c>
      <c r="H148" s="7">
        <v>10</v>
      </c>
      <c r="I148" s="7">
        <v>10</v>
      </c>
      <c r="J148" s="7">
        <v>94.349894426212799</v>
      </c>
      <c r="K148" s="7">
        <v>100</v>
      </c>
      <c r="L148" s="7">
        <v>100</v>
      </c>
      <c r="M148" s="7">
        <v>100</v>
      </c>
      <c r="N148" s="7">
        <v>7.38413989882139</v>
      </c>
      <c r="O148" s="7">
        <v>9.1859661364354892</v>
      </c>
      <c r="P148" s="7">
        <v>10</v>
      </c>
      <c r="Q148" s="7">
        <v>10</v>
      </c>
      <c r="R148" s="7">
        <v>10</v>
      </c>
      <c r="S148" s="7">
        <v>99.469405406976904</v>
      </c>
      <c r="T148" s="7">
        <v>100</v>
      </c>
      <c r="U148" s="7">
        <v>100</v>
      </c>
      <c r="V148" s="7">
        <v>100</v>
      </c>
      <c r="W148" s="7">
        <v>6.4239019173312499</v>
      </c>
      <c r="X148" s="7">
        <v>10</v>
      </c>
      <c r="Y148" s="7">
        <v>10</v>
      </c>
      <c r="Z148" s="7">
        <v>10</v>
      </c>
      <c r="AA148" s="7">
        <v>10</v>
      </c>
      <c r="AB148" s="7">
        <v>100</v>
      </c>
      <c r="AC148" s="7">
        <v>100</v>
      </c>
      <c r="AD148" s="7">
        <v>100</v>
      </c>
      <c r="AE148" s="7">
        <v>100</v>
      </c>
      <c r="AF148" s="6">
        <v>6.9986594284523704</v>
      </c>
      <c r="AG148" s="6">
        <v>4.0027583650418102</v>
      </c>
      <c r="AH148" s="6">
        <v>9.1836184370718392</v>
      </c>
      <c r="AI148" s="6">
        <v>9.9260002253209905</v>
      </c>
      <c r="AJ148" s="6">
        <v>9.9973688322921301</v>
      </c>
      <c r="AK148" s="6">
        <v>91.104908726827404</v>
      </c>
      <c r="AL148" s="6">
        <v>99.673647983195394</v>
      </c>
      <c r="AM148" s="6">
        <v>99.868441614606596</v>
      </c>
      <c r="AN148" s="6">
        <v>100</v>
      </c>
      <c r="AO148" s="6">
        <v>10.622459329768001</v>
      </c>
      <c r="AP148" s="7">
        <v>1.75891744166185</v>
      </c>
      <c r="AQ148" s="7">
        <v>9.4329615536972593</v>
      </c>
      <c r="AR148" s="7">
        <v>9.9973688322921301</v>
      </c>
      <c r="AS148" s="7">
        <v>10</v>
      </c>
      <c r="AT148" s="7">
        <v>80.708162071208704</v>
      </c>
      <c r="AU148" s="7">
        <v>99.627493522021496</v>
      </c>
      <c r="AV148" s="7">
        <v>100</v>
      </c>
      <c r="AW148" s="7">
        <v>100</v>
      </c>
      <c r="AX148" s="7">
        <v>9.0014913330737105</v>
      </c>
      <c r="AY148" s="7">
        <v>5.8826877160083297</v>
      </c>
      <c r="AZ148" s="7">
        <v>10</v>
      </c>
      <c r="BA148" s="7">
        <v>10</v>
      </c>
      <c r="BB148" s="7">
        <v>10</v>
      </c>
      <c r="BC148" s="7">
        <v>96.531146992873303</v>
      </c>
      <c r="BD148" s="7">
        <v>100</v>
      </c>
      <c r="BE148" s="7">
        <v>100</v>
      </c>
      <c r="BF148" s="7">
        <v>100</v>
      </c>
      <c r="BG148" s="7">
        <v>7.2722648170592299</v>
      </c>
      <c r="BH148" s="7">
        <v>9.9617790182546404</v>
      </c>
      <c r="BI148" s="7">
        <v>10</v>
      </c>
      <c r="BJ148" s="7">
        <v>10</v>
      </c>
      <c r="BK148" s="7">
        <v>10</v>
      </c>
      <c r="BL148" s="7">
        <v>100</v>
      </c>
      <c r="BM148" s="7">
        <v>100</v>
      </c>
      <c r="BN148" s="7">
        <v>100</v>
      </c>
      <c r="BO148" s="7">
        <v>100</v>
      </c>
      <c r="BP148" s="6">
        <v>11.8583434943901</v>
      </c>
      <c r="BQ148" s="6">
        <v>1.3189709372263001</v>
      </c>
      <c r="BR148" s="6">
        <v>5.5449606233396196</v>
      </c>
      <c r="BS148" s="6">
        <v>8.9731322888615104</v>
      </c>
      <c r="BT148" s="6">
        <v>9.9157590228337398</v>
      </c>
      <c r="BU148" s="6">
        <v>72.220829108564701</v>
      </c>
      <c r="BV148" s="6">
        <v>97.911056355687407</v>
      </c>
      <c r="BW148" s="6">
        <v>100</v>
      </c>
      <c r="BX148" s="6">
        <v>100</v>
      </c>
      <c r="BY148" s="6" t="str">
        <f>TRIM(Table1[[#This Row],[LA_Name]])</f>
        <v>Coventry</v>
      </c>
      <c r="BZ148" s="7">
        <v>18.866630675886299</v>
      </c>
      <c r="CA148" s="7">
        <v>0.365928558708838</v>
      </c>
      <c r="CB148" s="7">
        <v>3.0019515705236501</v>
      </c>
      <c r="CC148" s="7">
        <v>7.0486911394337204</v>
      </c>
      <c r="CD148" s="7">
        <v>9.7687479784709392</v>
      </c>
      <c r="CE148" s="7">
        <v>30.063635009067401</v>
      </c>
      <c r="CF148" s="7">
        <v>92.163553966194598</v>
      </c>
      <c r="CG148" s="7">
        <v>100</v>
      </c>
      <c r="CH148" s="7">
        <v>100</v>
      </c>
      <c r="CI148" s="7">
        <v>15.0134542855694</v>
      </c>
      <c r="CJ148" s="7">
        <v>1.10046408855842</v>
      </c>
      <c r="CK148" s="7">
        <v>5.9362814041131999</v>
      </c>
      <c r="CL148" s="7">
        <v>9.3100852948979291</v>
      </c>
      <c r="CM148" s="7">
        <v>10</v>
      </c>
      <c r="CN148" s="7">
        <v>53.420336309751001</v>
      </c>
      <c r="CO148" s="7">
        <v>99.587517217067699</v>
      </c>
      <c r="CP148" s="7">
        <v>100</v>
      </c>
      <c r="CQ148" s="7">
        <v>100</v>
      </c>
      <c r="CR148" s="7">
        <v>10.342215352527299</v>
      </c>
      <c r="CS148" s="7">
        <v>4.0791240101321797</v>
      </c>
      <c r="CT148" s="7">
        <v>10</v>
      </c>
      <c r="CU148" s="7">
        <v>10</v>
      </c>
      <c r="CV148" s="7">
        <v>10</v>
      </c>
      <c r="CW148" s="7">
        <v>94.413856514138899</v>
      </c>
      <c r="CX148" s="7">
        <v>100</v>
      </c>
      <c r="CY148" s="7">
        <v>100</v>
      </c>
      <c r="CZ148" s="7">
        <v>100</v>
      </c>
      <c r="DA148" s="9">
        <v>28.7066102510991</v>
      </c>
      <c r="DB148" s="9">
        <v>0.28303950749192303</v>
      </c>
      <c r="DC148" s="9">
        <v>1.10078753320759</v>
      </c>
      <c r="DD148" s="9">
        <v>2.3528962832939002</v>
      </c>
      <c r="DE148" s="9">
        <v>3.8265319101768802</v>
      </c>
      <c r="DF148" s="9">
        <v>25.235587633511798</v>
      </c>
      <c r="DG148" s="9">
        <v>57.234439223296697</v>
      </c>
      <c r="DH148" s="9">
        <v>83.353866617241394</v>
      </c>
      <c r="DI148" s="9">
        <v>94.716949589879405</v>
      </c>
    </row>
    <row r="149" spans="1:113">
      <c r="A149" s="5" t="s">
        <v>366</v>
      </c>
      <c r="B149" s="5" t="s">
        <v>411</v>
      </c>
      <c r="C149" s="5" t="s">
        <v>412</v>
      </c>
      <c r="D149" s="6">
        <v>227571</v>
      </c>
      <c r="E149" s="7">
        <v>7.2064290338461499</v>
      </c>
      <c r="F149" s="7">
        <v>3.6332397361702502</v>
      </c>
      <c r="G149" s="7">
        <v>9.9919102170311707</v>
      </c>
      <c r="H149" s="7">
        <v>10</v>
      </c>
      <c r="I149" s="7">
        <v>10</v>
      </c>
      <c r="J149" s="7">
        <v>97.611734359826201</v>
      </c>
      <c r="K149" s="7">
        <v>100</v>
      </c>
      <c r="L149" s="7">
        <v>100</v>
      </c>
      <c r="M149" s="7">
        <v>100</v>
      </c>
      <c r="N149" s="7">
        <v>7.5955811722105704</v>
      </c>
      <c r="O149" s="7">
        <v>9.2374951114157806</v>
      </c>
      <c r="P149" s="7">
        <v>10</v>
      </c>
      <c r="Q149" s="7">
        <v>10</v>
      </c>
      <c r="R149" s="7">
        <v>10</v>
      </c>
      <c r="S149" s="7">
        <v>100</v>
      </c>
      <c r="T149" s="7">
        <v>100</v>
      </c>
      <c r="U149" s="7">
        <v>100</v>
      </c>
      <c r="V149" s="7">
        <v>100</v>
      </c>
      <c r="W149" s="7">
        <v>6.6750915540406099</v>
      </c>
      <c r="X149" s="7">
        <v>10</v>
      </c>
      <c r="Y149" s="7">
        <v>10</v>
      </c>
      <c r="Z149" s="7">
        <v>10</v>
      </c>
      <c r="AA149" s="7">
        <v>10</v>
      </c>
      <c r="AB149" s="7">
        <v>100</v>
      </c>
      <c r="AC149" s="7">
        <v>100</v>
      </c>
      <c r="AD149" s="7">
        <v>100</v>
      </c>
      <c r="AE149" s="7">
        <v>100</v>
      </c>
      <c r="AF149" s="6">
        <v>7.4066585452451799</v>
      </c>
      <c r="AG149" s="6">
        <v>2.81240579862988</v>
      </c>
      <c r="AH149" s="6">
        <v>9.2440029705015103</v>
      </c>
      <c r="AI149" s="6">
        <v>9.9946873722925993</v>
      </c>
      <c r="AJ149" s="6">
        <v>10</v>
      </c>
      <c r="AK149" s="6">
        <v>95.107021544924393</v>
      </c>
      <c r="AL149" s="6">
        <v>100</v>
      </c>
      <c r="AM149" s="6">
        <v>100</v>
      </c>
      <c r="AN149" s="6">
        <v>100</v>
      </c>
      <c r="AO149" s="6">
        <v>10.9106967059132</v>
      </c>
      <c r="AP149" s="7">
        <v>1.6620351450755999</v>
      </c>
      <c r="AQ149" s="7">
        <v>9.4737422606571098</v>
      </c>
      <c r="AR149" s="7">
        <v>10</v>
      </c>
      <c r="AS149" s="7">
        <v>10</v>
      </c>
      <c r="AT149" s="7">
        <v>78.930531570367094</v>
      </c>
      <c r="AU149" s="7">
        <v>100</v>
      </c>
      <c r="AV149" s="7">
        <v>100</v>
      </c>
      <c r="AW149" s="7">
        <v>100</v>
      </c>
      <c r="AX149" s="7">
        <v>9.1110287268077492</v>
      </c>
      <c r="AY149" s="7">
        <v>5.6390181525765604</v>
      </c>
      <c r="AZ149" s="7">
        <v>10</v>
      </c>
      <c r="BA149" s="7">
        <v>10</v>
      </c>
      <c r="BB149" s="7">
        <v>10</v>
      </c>
      <c r="BC149" s="7">
        <v>98.028747072342298</v>
      </c>
      <c r="BD149" s="7">
        <v>100</v>
      </c>
      <c r="BE149" s="7">
        <v>100</v>
      </c>
      <c r="BF149" s="7">
        <v>100</v>
      </c>
      <c r="BG149" s="7">
        <v>7.49794956877715</v>
      </c>
      <c r="BH149" s="7">
        <v>9.9839522610526004</v>
      </c>
      <c r="BI149" s="7">
        <v>10</v>
      </c>
      <c r="BJ149" s="7">
        <v>10</v>
      </c>
      <c r="BK149" s="7">
        <v>10</v>
      </c>
      <c r="BL149" s="7">
        <v>100</v>
      </c>
      <c r="BM149" s="7">
        <v>100</v>
      </c>
      <c r="BN149" s="7">
        <v>100</v>
      </c>
      <c r="BO149" s="7">
        <v>100</v>
      </c>
      <c r="BP149" s="6">
        <v>12.2524384822309</v>
      </c>
      <c r="BQ149" s="6">
        <v>1.23444990794082</v>
      </c>
      <c r="BR149" s="6">
        <v>5.4144728458371203</v>
      </c>
      <c r="BS149" s="6">
        <v>9.1733744633542909</v>
      </c>
      <c r="BT149" s="6">
        <v>9.9794481722187793</v>
      </c>
      <c r="BU149" s="6">
        <v>70.396491644365895</v>
      </c>
      <c r="BV149" s="6">
        <v>97.640296874382102</v>
      </c>
      <c r="BW149" s="6">
        <v>100</v>
      </c>
      <c r="BX149" s="6">
        <v>100</v>
      </c>
      <c r="BY149" s="6" t="str">
        <f>TRIM(Table1[[#This Row],[LA_Name]])</f>
        <v>Dudley</v>
      </c>
      <c r="BZ149" s="7">
        <v>24.3553579118845</v>
      </c>
      <c r="CA149" s="7">
        <v>0.13463490515048099</v>
      </c>
      <c r="CB149" s="7">
        <v>1.38404717648558</v>
      </c>
      <c r="CC149" s="7">
        <v>5.2697487816989002</v>
      </c>
      <c r="CD149" s="7">
        <v>8.8262432383739604</v>
      </c>
      <c r="CE149" s="7">
        <v>11.4614779563301</v>
      </c>
      <c r="CF149" s="7">
        <v>76.826133382548704</v>
      </c>
      <c r="CG149" s="7">
        <v>100</v>
      </c>
      <c r="CH149" s="7">
        <v>100</v>
      </c>
      <c r="CI149" s="7">
        <v>17.334916824947101</v>
      </c>
      <c r="CJ149" s="7">
        <v>0.47049052823074999</v>
      </c>
      <c r="CK149" s="7">
        <v>3.4309072772892901</v>
      </c>
      <c r="CL149" s="7">
        <v>7.4645099771060499</v>
      </c>
      <c r="CM149" s="7">
        <v>9.5884800787446594</v>
      </c>
      <c r="CN149" s="7">
        <v>35.484749814343701</v>
      </c>
      <c r="CO149" s="7">
        <v>99.500815130223103</v>
      </c>
      <c r="CP149" s="7">
        <v>100</v>
      </c>
      <c r="CQ149" s="7">
        <v>100</v>
      </c>
      <c r="CR149" s="7">
        <v>11.685224463733899</v>
      </c>
      <c r="CS149" s="7">
        <v>2.0437533780666302</v>
      </c>
      <c r="CT149" s="7">
        <v>9.2734882739892193</v>
      </c>
      <c r="CU149" s="7">
        <v>10</v>
      </c>
      <c r="CV149" s="7">
        <v>10</v>
      </c>
      <c r="CW149" s="7">
        <v>86.757539405284504</v>
      </c>
      <c r="CX149" s="7">
        <v>100</v>
      </c>
      <c r="CY149" s="7">
        <v>100</v>
      </c>
      <c r="CZ149" s="7">
        <v>100</v>
      </c>
      <c r="DA149" s="9">
        <v>37.082488368097501</v>
      </c>
      <c r="DB149" s="9">
        <v>0.10779492993395499</v>
      </c>
      <c r="DC149" s="9">
        <v>0.497677647854955</v>
      </c>
      <c r="DD149" s="9">
        <v>1.1197384552513301</v>
      </c>
      <c r="DE149" s="9">
        <v>2.1052990055850702</v>
      </c>
      <c r="DF149" s="9">
        <v>9.4111288345175801</v>
      </c>
      <c r="DG149" s="9">
        <v>38.361214741772898</v>
      </c>
      <c r="DH149" s="9">
        <v>68.570687829292794</v>
      </c>
      <c r="DI149" s="9">
        <v>87.697465845823899</v>
      </c>
    </row>
    <row r="150" spans="1:113">
      <c r="A150" s="5" t="s">
        <v>366</v>
      </c>
      <c r="B150" s="5" t="s">
        <v>413</v>
      </c>
      <c r="C150" s="5" t="s">
        <v>414</v>
      </c>
      <c r="D150" s="6">
        <v>230273</v>
      </c>
      <c r="E150" s="7">
        <v>7.4343368507696903</v>
      </c>
      <c r="F150" s="7">
        <v>3.8649298875682301</v>
      </c>
      <c r="G150" s="7">
        <v>10</v>
      </c>
      <c r="H150" s="7">
        <v>10</v>
      </c>
      <c r="I150" s="7">
        <v>10</v>
      </c>
      <c r="J150" s="7">
        <v>95.518362986542101</v>
      </c>
      <c r="K150" s="7">
        <v>100</v>
      </c>
      <c r="L150" s="7">
        <v>100</v>
      </c>
      <c r="M150" s="7">
        <v>100</v>
      </c>
      <c r="N150" s="7">
        <v>7.66858994335057</v>
      </c>
      <c r="O150" s="7">
        <v>9.1266496723454296</v>
      </c>
      <c r="P150" s="7">
        <v>10</v>
      </c>
      <c r="Q150" s="7">
        <v>10</v>
      </c>
      <c r="R150" s="7">
        <v>10</v>
      </c>
      <c r="S150" s="7">
        <v>100</v>
      </c>
      <c r="T150" s="7">
        <v>100</v>
      </c>
      <c r="U150" s="7">
        <v>100</v>
      </c>
      <c r="V150" s="7">
        <v>100</v>
      </c>
      <c r="W150" s="7">
        <v>6.6597451264060199</v>
      </c>
      <c r="X150" s="7">
        <v>10</v>
      </c>
      <c r="Y150" s="7">
        <v>10</v>
      </c>
      <c r="Z150" s="7">
        <v>10</v>
      </c>
      <c r="AA150" s="7">
        <v>10</v>
      </c>
      <c r="AB150" s="7">
        <v>100</v>
      </c>
      <c r="AC150" s="7">
        <v>100</v>
      </c>
      <c r="AD150" s="7">
        <v>100</v>
      </c>
      <c r="AE150" s="7">
        <v>100</v>
      </c>
      <c r="AF150" s="6">
        <v>7.7453091295652499</v>
      </c>
      <c r="AG150" s="6">
        <v>3.0336774176737999</v>
      </c>
      <c r="AH150" s="6">
        <v>9.0291914379888194</v>
      </c>
      <c r="AI150" s="6">
        <v>10</v>
      </c>
      <c r="AJ150" s="6">
        <v>10</v>
      </c>
      <c r="AK150" s="6">
        <v>91.587810989564602</v>
      </c>
      <c r="AL150" s="6">
        <v>100</v>
      </c>
      <c r="AM150" s="6">
        <v>100</v>
      </c>
      <c r="AN150" s="6">
        <v>100</v>
      </c>
      <c r="AO150" s="6">
        <v>10.0267654485683</v>
      </c>
      <c r="AP150" s="7">
        <v>2.0877784195281301</v>
      </c>
      <c r="AQ150" s="7">
        <v>9.7327389663573207</v>
      </c>
      <c r="AR150" s="7">
        <v>10</v>
      </c>
      <c r="AS150" s="7">
        <v>10</v>
      </c>
      <c r="AT150" s="7">
        <v>81.009931689776906</v>
      </c>
      <c r="AU150" s="7">
        <v>100</v>
      </c>
      <c r="AV150" s="7">
        <v>100</v>
      </c>
      <c r="AW150" s="7">
        <v>100</v>
      </c>
      <c r="AX150" s="7">
        <v>8.8319624473780092</v>
      </c>
      <c r="AY150" s="7">
        <v>6.98400594077465</v>
      </c>
      <c r="AZ150" s="7">
        <v>10</v>
      </c>
      <c r="BA150" s="7">
        <v>10</v>
      </c>
      <c r="BB150" s="7">
        <v>10</v>
      </c>
      <c r="BC150" s="7">
        <v>98.288553152128102</v>
      </c>
      <c r="BD150" s="7">
        <v>100</v>
      </c>
      <c r="BE150" s="7">
        <v>100</v>
      </c>
      <c r="BF150" s="7">
        <v>100</v>
      </c>
      <c r="BG150" s="7">
        <v>7.2550445390595701</v>
      </c>
      <c r="BH150" s="7">
        <v>9.9658970005167795</v>
      </c>
      <c r="BI150" s="7">
        <v>10</v>
      </c>
      <c r="BJ150" s="7">
        <v>10</v>
      </c>
      <c r="BK150" s="7">
        <v>10</v>
      </c>
      <c r="BL150" s="7">
        <v>100</v>
      </c>
      <c r="BM150" s="7">
        <v>100</v>
      </c>
      <c r="BN150" s="7">
        <v>100</v>
      </c>
      <c r="BO150" s="7">
        <v>100</v>
      </c>
      <c r="BP150" s="6">
        <v>11.423462194440599</v>
      </c>
      <c r="BQ150" s="6">
        <v>1.5396985317427601</v>
      </c>
      <c r="BR150" s="6">
        <v>6.6760975016610704</v>
      </c>
      <c r="BS150" s="6">
        <v>9.3897460839959503</v>
      </c>
      <c r="BT150" s="6">
        <v>9.9518831995066694</v>
      </c>
      <c r="BU150" s="6">
        <v>72.182583281583206</v>
      </c>
      <c r="BV150" s="6">
        <v>97.8542859996613</v>
      </c>
      <c r="BW150" s="6">
        <v>100</v>
      </c>
      <c r="BX150" s="6">
        <v>100</v>
      </c>
      <c r="BY150" s="6" t="str">
        <f>TRIM(Table1[[#This Row],[LA_Name]])</f>
        <v>Sandwell</v>
      </c>
      <c r="BZ150" s="7">
        <v>23.318309850153401</v>
      </c>
      <c r="CA150" s="7">
        <v>0.103542317162672</v>
      </c>
      <c r="CB150" s="7">
        <v>2.3196987923030501</v>
      </c>
      <c r="CC150" s="7">
        <v>8.6226392151924003</v>
      </c>
      <c r="CD150" s="7">
        <v>10</v>
      </c>
      <c r="CE150" s="7">
        <v>9.6129376870062906</v>
      </c>
      <c r="CF150" s="7">
        <v>84.714664767471604</v>
      </c>
      <c r="CG150" s="7">
        <v>100</v>
      </c>
      <c r="CH150" s="7">
        <v>100</v>
      </c>
      <c r="CI150" s="7">
        <v>17.067365453242399</v>
      </c>
      <c r="CJ150" s="7">
        <v>0.41115545461256903</v>
      </c>
      <c r="CK150" s="7">
        <v>5.1075940296951901</v>
      </c>
      <c r="CL150" s="7">
        <v>9.8331502173507097</v>
      </c>
      <c r="CM150" s="7">
        <v>10</v>
      </c>
      <c r="CN150" s="7">
        <v>32.1561798387132</v>
      </c>
      <c r="CO150" s="7">
        <v>99.834109947757696</v>
      </c>
      <c r="CP150" s="7">
        <v>100</v>
      </c>
      <c r="CQ150" s="7">
        <v>100</v>
      </c>
      <c r="CR150" s="7">
        <v>11.692003204474499</v>
      </c>
      <c r="CS150" s="7">
        <v>2.4657428356776498</v>
      </c>
      <c r="CT150" s="7">
        <v>10</v>
      </c>
      <c r="CU150" s="7">
        <v>10</v>
      </c>
      <c r="CV150" s="7">
        <v>10</v>
      </c>
      <c r="CW150" s="7">
        <v>94.377543177011603</v>
      </c>
      <c r="CX150" s="7">
        <v>100</v>
      </c>
      <c r="CY150" s="7">
        <v>100</v>
      </c>
      <c r="CZ150" s="7">
        <v>100</v>
      </c>
      <c r="DA150" s="9">
        <v>38.426249551666302</v>
      </c>
      <c r="DB150" s="9">
        <v>7.5080447989994498E-2</v>
      </c>
      <c r="DC150" s="9">
        <v>0.37380413682889402</v>
      </c>
      <c r="DD150" s="9">
        <v>1.13777993946316</v>
      </c>
      <c r="DE150" s="9">
        <v>2.64838257199064</v>
      </c>
      <c r="DF150" s="9">
        <v>7.5080447989994497</v>
      </c>
      <c r="DG150" s="9">
        <v>30.4534183338906</v>
      </c>
      <c r="DH150" s="9">
        <v>65.731978998840503</v>
      </c>
      <c r="DI150" s="9">
        <v>92.188836728578707</v>
      </c>
    </row>
    <row r="151" spans="1:113">
      <c r="A151" s="5" t="s">
        <v>366</v>
      </c>
      <c r="B151" s="5" t="s">
        <v>415</v>
      </c>
      <c r="C151" s="5" t="s">
        <v>416</v>
      </c>
      <c r="D151" s="6">
        <v>151592</v>
      </c>
      <c r="E151" s="7">
        <v>7.9579380937581199</v>
      </c>
      <c r="F151" s="7">
        <v>3.4487439970447</v>
      </c>
      <c r="G151" s="7">
        <v>9.3289817404612396</v>
      </c>
      <c r="H151" s="7">
        <v>9.9295213467729209</v>
      </c>
      <c r="I151" s="7">
        <v>9.9773536862103498</v>
      </c>
      <c r="J151" s="7">
        <v>89.845110559923995</v>
      </c>
      <c r="K151" s="7">
        <v>99.478864320016896</v>
      </c>
      <c r="L151" s="7">
        <v>99.852894611852903</v>
      </c>
      <c r="M151" s="7">
        <v>100</v>
      </c>
      <c r="N151" s="7">
        <v>8.2332682442404703</v>
      </c>
      <c r="O151" s="7">
        <v>7.4909032138899203</v>
      </c>
      <c r="P151" s="7">
        <v>9.8260000527732299</v>
      </c>
      <c r="Q151" s="7">
        <v>10</v>
      </c>
      <c r="R151" s="7">
        <v>10</v>
      </c>
      <c r="S151" s="7">
        <v>95.817721251781094</v>
      </c>
      <c r="T151" s="7">
        <v>100</v>
      </c>
      <c r="U151" s="7">
        <v>100</v>
      </c>
      <c r="V151" s="7">
        <v>100</v>
      </c>
      <c r="W151" s="7">
        <v>6.92465623851011</v>
      </c>
      <c r="X151" s="7">
        <v>9.7958335532218097</v>
      </c>
      <c r="Y151" s="7">
        <v>10</v>
      </c>
      <c r="Z151" s="7">
        <v>10</v>
      </c>
      <c r="AA151" s="7">
        <v>10</v>
      </c>
      <c r="AB151" s="7">
        <v>100</v>
      </c>
      <c r="AC151" s="7">
        <v>100</v>
      </c>
      <c r="AD151" s="7">
        <v>100</v>
      </c>
      <c r="AE151" s="7">
        <v>100</v>
      </c>
      <c r="AF151" s="6">
        <v>9.3063742963314997</v>
      </c>
      <c r="AG151" s="6">
        <v>2.6366430946224102</v>
      </c>
      <c r="AH151" s="6">
        <v>7.4990830650694003</v>
      </c>
      <c r="AI151" s="6">
        <v>8.8507704892078696</v>
      </c>
      <c r="AJ151" s="6">
        <v>9.3678624201804794</v>
      </c>
      <c r="AK151" s="6">
        <v>86.763813393846604</v>
      </c>
      <c r="AL151" s="6">
        <v>95.900839094411296</v>
      </c>
      <c r="AM151" s="6">
        <v>98.571824370679195</v>
      </c>
      <c r="AN151" s="6">
        <v>99.313947965591893</v>
      </c>
      <c r="AO151" s="6">
        <v>11.811589773792701</v>
      </c>
      <c r="AP151" s="7">
        <v>1.3305847274262499</v>
      </c>
      <c r="AQ151" s="7">
        <v>8.7897778246873202</v>
      </c>
      <c r="AR151" s="7">
        <v>9.9371206923848199</v>
      </c>
      <c r="AS151" s="7">
        <v>9.9773272995936502</v>
      </c>
      <c r="AT151" s="7">
        <v>73.296743891498195</v>
      </c>
      <c r="AU151" s="7">
        <v>99.4102591165761</v>
      </c>
      <c r="AV151" s="7">
        <v>99.852894611852903</v>
      </c>
      <c r="AW151" s="7">
        <v>100</v>
      </c>
      <c r="AX151" s="7">
        <v>9.5112312043761893</v>
      </c>
      <c r="AY151" s="7">
        <v>3.7662871391630199</v>
      </c>
      <c r="AZ151" s="7">
        <v>9.7706937041532491</v>
      </c>
      <c r="BA151" s="7">
        <v>10</v>
      </c>
      <c r="BB151" s="7">
        <v>10</v>
      </c>
      <c r="BC151" s="7">
        <v>97.612011187925503</v>
      </c>
      <c r="BD151" s="7">
        <v>100</v>
      </c>
      <c r="BE151" s="7">
        <v>100</v>
      </c>
      <c r="BF151" s="7">
        <v>100</v>
      </c>
      <c r="BG151" s="7">
        <v>7.6467392200234396</v>
      </c>
      <c r="BH151" s="7">
        <v>9.7809119214734306</v>
      </c>
      <c r="BI151" s="7">
        <v>10</v>
      </c>
      <c r="BJ151" s="7">
        <v>10</v>
      </c>
      <c r="BK151" s="7">
        <v>10</v>
      </c>
      <c r="BL151" s="7">
        <v>100</v>
      </c>
      <c r="BM151" s="7">
        <v>100</v>
      </c>
      <c r="BN151" s="7">
        <v>100</v>
      </c>
      <c r="BO151" s="7">
        <v>100</v>
      </c>
      <c r="BP151" s="6">
        <v>13.521804334878601</v>
      </c>
      <c r="BQ151" s="6">
        <v>0.95910734075676796</v>
      </c>
      <c r="BR151" s="6">
        <v>3.5618568262177401</v>
      </c>
      <c r="BS151" s="6">
        <v>7.1765792390099703</v>
      </c>
      <c r="BT151" s="6">
        <v>9.1879914507361899</v>
      </c>
      <c r="BU151" s="6">
        <v>62.000633278800997</v>
      </c>
      <c r="BV151" s="6">
        <v>95.768246345453605</v>
      </c>
      <c r="BW151" s="6">
        <v>99.852894611852903</v>
      </c>
      <c r="BX151" s="6">
        <v>100</v>
      </c>
      <c r="BY151" s="6" t="str">
        <f>TRIM(Table1[[#This Row],[LA_Name]])</f>
        <v>Solihull</v>
      </c>
      <c r="BZ151" s="7">
        <v>22.393788805520899</v>
      </c>
      <c r="CA151" s="7">
        <v>0.14464483613911</v>
      </c>
      <c r="CB151" s="7">
        <v>2.00819964114201</v>
      </c>
      <c r="CC151" s="7">
        <v>7.2298999947226799</v>
      </c>
      <c r="CD151" s="7">
        <v>9.7439508681196898</v>
      </c>
      <c r="CE151" s="7">
        <v>12.749353527890699</v>
      </c>
      <c r="CF151" s="7">
        <v>89.468441606417201</v>
      </c>
      <c r="CG151" s="7">
        <v>99.533616549686002</v>
      </c>
      <c r="CH151" s="7">
        <v>99.703150562034907</v>
      </c>
      <c r="CI151" s="7">
        <v>16.886185407251599</v>
      </c>
      <c r="CJ151" s="7">
        <v>0.629848540820096</v>
      </c>
      <c r="CK151" s="7">
        <v>3.2275911657607299</v>
      </c>
      <c r="CL151" s="7">
        <v>7.2282112512533603</v>
      </c>
      <c r="CM151" s="7">
        <v>9.6626866853132096</v>
      </c>
      <c r="CN151" s="7">
        <v>44.512903055570199</v>
      </c>
      <c r="CO151" s="7">
        <v>95.767586680035905</v>
      </c>
      <c r="CP151" s="7">
        <v>100</v>
      </c>
      <c r="CQ151" s="7">
        <v>100</v>
      </c>
      <c r="CR151" s="7">
        <v>11.1949333061303</v>
      </c>
      <c r="CS151" s="7">
        <v>1.9569964114201299</v>
      </c>
      <c r="CT151" s="7">
        <v>9.5598448466937604</v>
      </c>
      <c r="CU151" s="7">
        <v>10</v>
      </c>
      <c r="CV151" s="7">
        <v>10</v>
      </c>
      <c r="CW151" s="7">
        <v>92.272019631642806</v>
      </c>
      <c r="CX151" s="7">
        <v>100</v>
      </c>
      <c r="CY151" s="7">
        <v>100</v>
      </c>
      <c r="CZ151" s="7">
        <v>100</v>
      </c>
      <c r="DA151" s="9">
        <v>36.653542079950398</v>
      </c>
      <c r="DB151" s="9">
        <v>0.121807219378331</v>
      </c>
      <c r="DC151" s="9">
        <v>0.63006623040793697</v>
      </c>
      <c r="DD151" s="9">
        <v>1.34226740197372</v>
      </c>
      <c r="DE151" s="9">
        <v>2.0674046123805998</v>
      </c>
      <c r="DF151" s="9">
        <v>11.0902950023748</v>
      </c>
      <c r="DG151" s="9">
        <v>44.251675550161004</v>
      </c>
      <c r="DH151" s="9">
        <v>70.669956198216298</v>
      </c>
      <c r="DI151" s="9">
        <v>88.126022481397399</v>
      </c>
    </row>
    <row r="152" spans="1:113">
      <c r="A152" s="5" t="s">
        <v>366</v>
      </c>
      <c r="B152" s="5" t="s">
        <v>417</v>
      </c>
      <c r="C152" s="5" t="s">
        <v>418</v>
      </c>
      <c r="D152" s="6">
        <v>198972</v>
      </c>
      <c r="E152" s="7">
        <v>6.6977964187893502</v>
      </c>
      <c r="F152" s="7">
        <v>4.0987375108055399</v>
      </c>
      <c r="G152" s="7">
        <v>10</v>
      </c>
      <c r="H152" s="7">
        <v>10</v>
      </c>
      <c r="I152" s="7">
        <v>10</v>
      </c>
      <c r="J152" s="7">
        <v>97.434312365558995</v>
      </c>
      <c r="K152" s="7">
        <v>100</v>
      </c>
      <c r="L152" s="7">
        <v>100</v>
      </c>
      <c r="M152" s="7">
        <v>100</v>
      </c>
      <c r="N152" s="7">
        <v>7.3453290534916196</v>
      </c>
      <c r="O152" s="7">
        <v>9.0490973604326204</v>
      </c>
      <c r="P152" s="7">
        <v>10</v>
      </c>
      <c r="Q152" s="7">
        <v>10</v>
      </c>
      <c r="R152" s="7">
        <v>10</v>
      </c>
      <c r="S152" s="7">
        <v>100</v>
      </c>
      <c r="T152" s="7">
        <v>100</v>
      </c>
      <c r="U152" s="7">
        <v>100</v>
      </c>
      <c r="V152" s="7">
        <v>100</v>
      </c>
      <c r="W152" s="7">
        <v>6.4698140342447896</v>
      </c>
      <c r="X152" s="7">
        <v>10</v>
      </c>
      <c r="Y152" s="7">
        <v>10</v>
      </c>
      <c r="Z152" s="7">
        <v>10</v>
      </c>
      <c r="AA152" s="7">
        <v>10</v>
      </c>
      <c r="AB152" s="7">
        <v>100</v>
      </c>
      <c r="AC152" s="7">
        <v>100</v>
      </c>
      <c r="AD152" s="7">
        <v>100</v>
      </c>
      <c r="AE152" s="7">
        <v>100</v>
      </c>
      <c r="AF152" s="6">
        <v>6.95413184214312</v>
      </c>
      <c r="AG152" s="6">
        <v>3.07934282210562</v>
      </c>
      <c r="AH152" s="6">
        <v>8.7180357035160707</v>
      </c>
      <c r="AI152" s="6">
        <v>9.9971101461512202</v>
      </c>
      <c r="AJ152" s="6">
        <v>10</v>
      </c>
      <c r="AK152" s="6">
        <v>93.453852803409504</v>
      </c>
      <c r="AL152" s="6">
        <v>100</v>
      </c>
      <c r="AM152" s="6">
        <v>100</v>
      </c>
      <c r="AN152" s="6">
        <v>100</v>
      </c>
      <c r="AO152" s="6">
        <v>10.5416630915774</v>
      </c>
      <c r="AP152" s="7">
        <v>1.80560078805058</v>
      </c>
      <c r="AQ152" s="7">
        <v>9.1646764368855909</v>
      </c>
      <c r="AR152" s="7">
        <v>10</v>
      </c>
      <c r="AS152" s="7">
        <v>10</v>
      </c>
      <c r="AT152" s="7">
        <v>76.550971996059701</v>
      </c>
      <c r="AU152" s="7">
        <v>100</v>
      </c>
      <c r="AV152" s="7">
        <v>100</v>
      </c>
      <c r="AW152" s="7">
        <v>100</v>
      </c>
      <c r="AX152" s="7">
        <v>9.1019785605919008</v>
      </c>
      <c r="AY152" s="7">
        <v>5.5647528295438597</v>
      </c>
      <c r="AZ152" s="7">
        <v>9.9771827191765698</v>
      </c>
      <c r="BA152" s="7">
        <v>10</v>
      </c>
      <c r="BB152" s="7">
        <v>10</v>
      </c>
      <c r="BC152" s="7">
        <v>96.786482520153598</v>
      </c>
      <c r="BD152" s="7">
        <v>100</v>
      </c>
      <c r="BE152" s="7">
        <v>100</v>
      </c>
      <c r="BF152" s="7">
        <v>100</v>
      </c>
      <c r="BG152" s="7">
        <v>7.4066594747933099</v>
      </c>
      <c r="BH152" s="7">
        <v>9.8102094767102894</v>
      </c>
      <c r="BI152" s="7">
        <v>10</v>
      </c>
      <c r="BJ152" s="7">
        <v>10</v>
      </c>
      <c r="BK152" s="7">
        <v>10</v>
      </c>
      <c r="BL152" s="7">
        <v>100</v>
      </c>
      <c r="BM152" s="7">
        <v>100</v>
      </c>
      <c r="BN152" s="7">
        <v>100</v>
      </c>
      <c r="BO152" s="7">
        <v>100</v>
      </c>
      <c r="BP152" s="6">
        <v>12.6660933323656</v>
      </c>
      <c r="BQ152" s="6">
        <v>1.37735460265766</v>
      </c>
      <c r="BR152" s="6">
        <v>5.1061003558289597</v>
      </c>
      <c r="BS152" s="6">
        <v>7.8734545564199996</v>
      </c>
      <c r="BT152" s="6">
        <v>9.3821693504613695</v>
      </c>
      <c r="BU152" s="6">
        <v>66.039945318939303</v>
      </c>
      <c r="BV152" s="6">
        <v>95.818507126630905</v>
      </c>
      <c r="BW152" s="6">
        <v>100</v>
      </c>
      <c r="BX152" s="6">
        <v>100</v>
      </c>
      <c r="BY152" s="6" t="str">
        <f>TRIM(Table1[[#This Row],[LA_Name]])</f>
        <v>Walsall</v>
      </c>
      <c r="BZ152" s="7">
        <v>22.792414965063099</v>
      </c>
      <c r="CA152" s="7">
        <v>0.14876967613533601</v>
      </c>
      <c r="CB152" s="7">
        <v>1.4415545905956599</v>
      </c>
      <c r="CC152" s="7">
        <v>5.1749693424200398</v>
      </c>
      <c r="CD152" s="7">
        <v>9.1059093741832999</v>
      </c>
      <c r="CE152" s="7">
        <v>12.592224031522001</v>
      </c>
      <c r="CF152" s="7">
        <v>86.252839595520996</v>
      </c>
      <c r="CG152" s="7">
        <v>100</v>
      </c>
      <c r="CH152" s="7">
        <v>100</v>
      </c>
      <c r="CI152" s="7">
        <v>17.026565267717</v>
      </c>
      <c r="CJ152" s="7">
        <v>0.53545222443358897</v>
      </c>
      <c r="CK152" s="7">
        <v>3.0237571115533801</v>
      </c>
      <c r="CL152" s="7">
        <v>6.9457310576362499</v>
      </c>
      <c r="CM152" s="7">
        <v>9.6589570391813897</v>
      </c>
      <c r="CN152" s="7">
        <v>36.477996904087</v>
      </c>
      <c r="CO152" s="7">
        <v>100</v>
      </c>
      <c r="CP152" s="7">
        <v>100</v>
      </c>
      <c r="CQ152" s="7">
        <v>100</v>
      </c>
      <c r="CR152" s="7">
        <v>11.118588446732</v>
      </c>
      <c r="CS152" s="7">
        <v>1.9457059284723499</v>
      </c>
      <c r="CT152" s="7">
        <v>9.7441398789779505</v>
      </c>
      <c r="CU152" s="7">
        <v>10</v>
      </c>
      <c r="CV152" s="7">
        <v>10</v>
      </c>
      <c r="CW152" s="7">
        <v>94.868122147839898</v>
      </c>
      <c r="CX152" s="7">
        <v>100</v>
      </c>
      <c r="CY152" s="7">
        <v>100</v>
      </c>
      <c r="CZ152" s="7">
        <v>100</v>
      </c>
      <c r="DA152" s="9">
        <v>38.450340625352702</v>
      </c>
      <c r="DB152" s="9">
        <v>0.10949279295579301</v>
      </c>
      <c r="DC152" s="9">
        <v>0.481439599541644</v>
      </c>
      <c r="DD152" s="9">
        <v>0.99087811350340704</v>
      </c>
      <c r="DE152" s="9">
        <v>1.72872564984018</v>
      </c>
      <c r="DF152" s="9">
        <v>8.7735962849044107</v>
      </c>
      <c r="DG152" s="9">
        <v>33.5499467261725</v>
      </c>
      <c r="DH152" s="9">
        <v>62.6379591098245</v>
      </c>
      <c r="DI152" s="9">
        <v>89.954365438353094</v>
      </c>
    </row>
    <row r="153" spans="1:113">
      <c r="A153" s="5" t="s">
        <v>366</v>
      </c>
      <c r="B153" s="5" t="s">
        <v>419</v>
      </c>
      <c r="C153" s="5" t="s">
        <v>420</v>
      </c>
      <c r="D153" s="6">
        <v>185313</v>
      </c>
      <c r="E153" s="7">
        <v>6.7275482503205701</v>
      </c>
      <c r="F153" s="7">
        <v>4.2819499981113003</v>
      </c>
      <c r="G153" s="7">
        <v>9.9757059677410709</v>
      </c>
      <c r="H153" s="7">
        <v>10</v>
      </c>
      <c r="I153" s="7">
        <v>10</v>
      </c>
      <c r="J153" s="7">
        <v>97.482097856059795</v>
      </c>
      <c r="K153" s="7">
        <v>100</v>
      </c>
      <c r="L153" s="7">
        <v>100</v>
      </c>
      <c r="M153" s="7">
        <v>100</v>
      </c>
      <c r="N153" s="7">
        <v>7.3939973838813904</v>
      </c>
      <c r="O153" s="7">
        <v>9.5957757955459204</v>
      </c>
      <c r="P153" s="7">
        <v>10</v>
      </c>
      <c r="Q153" s="7">
        <v>10</v>
      </c>
      <c r="R153" s="7">
        <v>10</v>
      </c>
      <c r="S153" s="7">
        <v>100</v>
      </c>
      <c r="T153" s="7">
        <v>100</v>
      </c>
      <c r="U153" s="7">
        <v>100</v>
      </c>
      <c r="V153" s="7">
        <v>100</v>
      </c>
      <c r="W153" s="7">
        <v>6.5255522738927896</v>
      </c>
      <c r="X153" s="7">
        <v>10</v>
      </c>
      <c r="Y153" s="7">
        <v>10</v>
      </c>
      <c r="Z153" s="7">
        <v>10</v>
      </c>
      <c r="AA153" s="7">
        <v>10</v>
      </c>
      <c r="AB153" s="7">
        <v>100</v>
      </c>
      <c r="AC153" s="7">
        <v>100</v>
      </c>
      <c r="AD153" s="7">
        <v>100</v>
      </c>
      <c r="AE153" s="7">
        <v>100</v>
      </c>
      <c r="AF153" s="6">
        <v>6.9353758119187399</v>
      </c>
      <c r="AG153" s="6">
        <v>3.3841932298327699</v>
      </c>
      <c r="AH153" s="6">
        <v>9.5068235903579392</v>
      </c>
      <c r="AI153" s="6">
        <v>9.9948195755289699</v>
      </c>
      <c r="AJ153" s="6">
        <v>10</v>
      </c>
      <c r="AK153" s="6">
        <v>94.446153265016505</v>
      </c>
      <c r="AL153" s="6">
        <v>100</v>
      </c>
      <c r="AM153" s="6">
        <v>100</v>
      </c>
      <c r="AN153" s="6">
        <v>100</v>
      </c>
      <c r="AO153" s="6">
        <v>11.013121248900401</v>
      </c>
      <c r="AP153" s="7">
        <v>1.60847862805092</v>
      </c>
      <c r="AQ153" s="7">
        <v>9.30750675883505</v>
      </c>
      <c r="AR153" s="7">
        <v>10</v>
      </c>
      <c r="AS153" s="7">
        <v>10</v>
      </c>
      <c r="AT153" s="7">
        <v>76.1943306729695</v>
      </c>
      <c r="AU153" s="7">
        <v>100</v>
      </c>
      <c r="AV153" s="7">
        <v>100</v>
      </c>
      <c r="AW153" s="7">
        <v>100</v>
      </c>
      <c r="AX153" s="7">
        <v>9.2339935071948993</v>
      </c>
      <c r="AY153" s="7">
        <v>5.89324548196835</v>
      </c>
      <c r="AZ153" s="7">
        <v>10</v>
      </c>
      <c r="BA153" s="7">
        <v>10</v>
      </c>
      <c r="BB153" s="7">
        <v>10</v>
      </c>
      <c r="BC153" s="7">
        <v>97.137275852206798</v>
      </c>
      <c r="BD153" s="7">
        <v>100</v>
      </c>
      <c r="BE153" s="7">
        <v>100</v>
      </c>
      <c r="BF153" s="7">
        <v>100</v>
      </c>
      <c r="BG153" s="7">
        <v>7.5649758496363502</v>
      </c>
      <c r="BH153" s="7">
        <v>9.9842320830163001</v>
      </c>
      <c r="BI153" s="7">
        <v>10</v>
      </c>
      <c r="BJ153" s="7">
        <v>10</v>
      </c>
      <c r="BK153" s="7">
        <v>10</v>
      </c>
      <c r="BL153" s="7">
        <v>100</v>
      </c>
      <c r="BM153" s="7">
        <v>100</v>
      </c>
      <c r="BN153" s="7">
        <v>100</v>
      </c>
      <c r="BO153" s="7">
        <v>100</v>
      </c>
      <c r="BP153" s="6">
        <v>12.7660119348041</v>
      </c>
      <c r="BQ153" s="6">
        <v>1.23858552826839</v>
      </c>
      <c r="BR153" s="6">
        <v>5.5558325643640796</v>
      </c>
      <c r="BS153" s="6">
        <v>9.0126542660255904</v>
      </c>
      <c r="BT153" s="6">
        <v>9.9969780857252299</v>
      </c>
      <c r="BU153" s="6">
        <v>67.108082001802401</v>
      </c>
      <c r="BV153" s="6">
        <v>96.413095681360701</v>
      </c>
      <c r="BW153" s="6">
        <v>100</v>
      </c>
      <c r="BX153" s="6">
        <v>100</v>
      </c>
      <c r="BY153" s="6" t="str">
        <f>TRIM(Table1[[#This Row],[LA_Name]])</f>
        <v>Wolverhampton</v>
      </c>
      <c r="BZ153" s="7">
        <v>24.122182584371501</v>
      </c>
      <c r="CA153" s="7">
        <v>0.12760033025206</v>
      </c>
      <c r="CB153" s="7">
        <v>1.3925358717413201</v>
      </c>
      <c r="CC153" s="7">
        <v>4.0173112517740304</v>
      </c>
      <c r="CD153" s="7">
        <v>9.1273413090285107</v>
      </c>
      <c r="CE153" s="7">
        <v>10.1638848866512</v>
      </c>
      <c r="CF153" s="7">
        <v>79.211388299795502</v>
      </c>
      <c r="CG153" s="7">
        <v>100</v>
      </c>
      <c r="CH153" s="7">
        <v>100</v>
      </c>
      <c r="CI153" s="7">
        <v>16.976898544066099</v>
      </c>
      <c r="CJ153" s="7">
        <v>0.58369353472233498</v>
      </c>
      <c r="CK153" s="7">
        <v>2.7163771564865899</v>
      </c>
      <c r="CL153" s="7">
        <v>5.2524269749019199</v>
      </c>
      <c r="CM153" s="7">
        <v>8.9107132257316</v>
      </c>
      <c r="CN153" s="7">
        <v>39.967514421546198</v>
      </c>
      <c r="CO153" s="7">
        <v>100</v>
      </c>
      <c r="CP153" s="7">
        <v>100</v>
      </c>
      <c r="CQ153" s="7">
        <v>100</v>
      </c>
      <c r="CR153" s="7">
        <v>12.1930953554506</v>
      </c>
      <c r="CS153" s="7">
        <v>1.6056347908673401</v>
      </c>
      <c r="CT153" s="7">
        <v>8.5044168514891005</v>
      </c>
      <c r="CU153" s="7">
        <v>10</v>
      </c>
      <c r="CV153" s="7">
        <v>10</v>
      </c>
      <c r="CW153" s="7">
        <v>77.518576678376604</v>
      </c>
      <c r="CX153" s="7">
        <v>100</v>
      </c>
      <c r="CY153" s="7">
        <v>100</v>
      </c>
      <c r="CZ153" s="7">
        <v>100</v>
      </c>
      <c r="DA153" s="9">
        <v>38.153941209911899</v>
      </c>
      <c r="DB153" s="9">
        <v>0.10047325336053101</v>
      </c>
      <c r="DC153" s="9">
        <v>0.52810110461759296</v>
      </c>
      <c r="DD153" s="9">
        <v>1.1230890439418699</v>
      </c>
      <c r="DE153" s="9">
        <v>1.8181347234139</v>
      </c>
      <c r="DF153" s="9">
        <v>8.4807865611155204</v>
      </c>
      <c r="DG153" s="9">
        <v>36.474505296444399</v>
      </c>
      <c r="DH153" s="9">
        <v>64.214059456163397</v>
      </c>
      <c r="DI153" s="9">
        <v>87.677065289537197</v>
      </c>
    </row>
    <row r="154" spans="1:113">
      <c r="A154" s="5" t="s">
        <v>366</v>
      </c>
      <c r="B154" s="5" t="s">
        <v>421</v>
      </c>
      <c r="C154" s="5" t="s">
        <v>422</v>
      </c>
      <c r="D154" s="6">
        <v>426932</v>
      </c>
      <c r="E154" s="7">
        <v>11.224320379340501</v>
      </c>
      <c r="F154" s="7">
        <v>1.86176487122071</v>
      </c>
      <c r="G154" s="7">
        <v>7.7826749927388903</v>
      </c>
      <c r="H154" s="7">
        <v>9.3579328792407193</v>
      </c>
      <c r="I154" s="7">
        <v>9.7136850833388007</v>
      </c>
      <c r="J154" s="7">
        <v>78.154834962007996</v>
      </c>
      <c r="K154" s="7">
        <v>95.767241621616606</v>
      </c>
      <c r="L154" s="7">
        <v>98.581507125256493</v>
      </c>
      <c r="M154" s="7">
        <v>99.171062370588302</v>
      </c>
      <c r="N154" s="7">
        <v>9.8773638406912792</v>
      </c>
      <c r="O154" s="7">
        <v>4.2909292346322099</v>
      </c>
      <c r="P154" s="7">
        <v>8.8826183092389392</v>
      </c>
      <c r="Q154" s="7">
        <v>9.7756621663403092</v>
      </c>
      <c r="R154" s="7">
        <v>9.9838522293948504</v>
      </c>
      <c r="S154" s="7">
        <v>88.377305987838795</v>
      </c>
      <c r="T154" s="7">
        <v>98.894437521666205</v>
      </c>
      <c r="U154" s="7">
        <v>99.950109150871796</v>
      </c>
      <c r="V154" s="7">
        <v>100</v>
      </c>
      <c r="W154" s="7">
        <v>7.6173825089619003</v>
      </c>
      <c r="X154" s="7">
        <v>8.6120178389064304</v>
      </c>
      <c r="Y154" s="7">
        <v>9.9968660114491303</v>
      </c>
      <c r="Z154" s="7">
        <v>10</v>
      </c>
      <c r="AA154" s="7">
        <v>10</v>
      </c>
      <c r="AB154" s="7">
        <v>99.045281215743998</v>
      </c>
      <c r="AC154" s="7">
        <v>100</v>
      </c>
      <c r="AD154" s="7">
        <v>100</v>
      </c>
      <c r="AE154" s="7">
        <v>100</v>
      </c>
      <c r="AF154" s="6">
        <v>14.6344168387342</v>
      </c>
      <c r="AG154" s="6">
        <v>1.4303261409311101</v>
      </c>
      <c r="AH154" s="6">
        <v>4.3133566938060399</v>
      </c>
      <c r="AI154" s="6">
        <v>6.8376626722756804</v>
      </c>
      <c r="AJ154" s="6">
        <v>8.0148829321765493</v>
      </c>
      <c r="AK154" s="6">
        <v>72.374054884618602</v>
      </c>
      <c r="AL154" s="6">
        <v>87.838344279651096</v>
      </c>
      <c r="AM154" s="6">
        <v>93.400354154759995</v>
      </c>
      <c r="AN154" s="6">
        <v>96.748662550476396</v>
      </c>
      <c r="AO154" s="6">
        <v>12.328283699855</v>
      </c>
      <c r="AP154" s="7">
        <v>1.5011781735733101</v>
      </c>
      <c r="AQ154" s="7">
        <v>7.2357401178642</v>
      </c>
      <c r="AR154" s="7">
        <v>9.3736730907966592</v>
      </c>
      <c r="AS154" s="7">
        <v>9.7147883035237506</v>
      </c>
      <c r="AT154" s="7">
        <v>71.877957145400202</v>
      </c>
      <c r="AU154" s="7">
        <v>95.920193379742003</v>
      </c>
      <c r="AV154" s="7">
        <v>98.621326112823596</v>
      </c>
      <c r="AW154" s="7">
        <v>99.361256593555893</v>
      </c>
      <c r="AX154" s="7">
        <v>10.421793716401</v>
      </c>
      <c r="AY154" s="7">
        <v>3.6452643512315799</v>
      </c>
      <c r="AZ154" s="7">
        <v>8.6022692138326509</v>
      </c>
      <c r="BA154" s="7">
        <v>9.6655767194775706</v>
      </c>
      <c r="BB154" s="7">
        <v>9.9425294894737295</v>
      </c>
      <c r="BC154" s="7">
        <v>86.274629214956903</v>
      </c>
      <c r="BD154" s="7">
        <v>98.9136443274339</v>
      </c>
      <c r="BE154" s="7">
        <v>100</v>
      </c>
      <c r="BF154" s="7">
        <v>100</v>
      </c>
      <c r="BG154" s="7">
        <v>7.8066309168763803</v>
      </c>
      <c r="BH154" s="7">
        <v>8.2384548358989296</v>
      </c>
      <c r="BI154" s="7">
        <v>9.9757221290510003</v>
      </c>
      <c r="BJ154" s="7">
        <v>10</v>
      </c>
      <c r="BK154" s="7">
        <v>10</v>
      </c>
      <c r="BL154" s="7">
        <v>98.8773387799462</v>
      </c>
      <c r="BM154" s="7">
        <v>100</v>
      </c>
      <c r="BN154" s="7">
        <v>100</v>
      </c>
      <c r="BO154" s="7">
        <v>100</v>
      </c>
      <c r="BP154" s="6">
        <v>16.496230400978099</v>
      </c>
      <c r="BQ154" s="6">
        <v>1.1415588430944501</v>
      </c>
      <c r="BR154" s="6">
        <v>3.70600470332512</v>
      </c>
      <c r="BS154" s="6">
        <v>6.0299790130512596</v>
      </c>
      <c r="BT154" s="6">
        <v>7.2892896292618001</v>
      </c>
      <c r="BU154" s="6">
        <v>63.959834353011701</v>
      </c>
      <c r="BV154" s="6">
        <v>85.532824899515603</v>
      </c>
      <c r="BW154" s="6">
        <v>93.177133595045603</v>
      </c>
      <c r="BX154" s="6">
        <v>96.592900040287404</v>
      </c>
      <c r="BY154" s="6" t="str">
        <f>TRIM(Table1[[#This Row],[LA_Name]])</f>
        <v>Worcestershire</v>
      </c>
      <c r="BZ154" s="7">
        <v>32.708819799066902</v>
      </c>
      <c r="CA154" s="7">
        <v>0.10387602709565</v>
      </c>
      <c r="CB154" s="7">
        <v>0.63179382196696399</v>
      </c>
      <c r="CC154" s="7">
        <v>1.34302183954353</v>
      </c>
      <c r="CD154" s="7">
        <v>3.0820716179625798</v>
      </c>
      <c r="CE154" s="7">
        <v>10.3297480629234</v>
      </c>
      <c r="CF154" s="7">
        <v>54.697235156886798</v>
      </c>
      <c r="CG154" s="7">
        <v>81.858469264426205</v>
      </c>
      <c r="CH154" s="7">
        <v>93.210394161131006</v>
      </c>
      <c r="CI154" s="7">
        <v>32.404812165594997</v>
      </c>
      <c r="CJ154" s="7">
        <v>0.25066989590848199</v>
      </c>
      <c r="CK154" s="7">
        <v>0.80121658718484401</v>
      </c>
      <c r="CL154" s="7">
        <v>1.33409067486157</v>
      </c>
      <c r="CM154" s="7">
        <v>2.5054598858834698</v>
      </c>
      <c r="CN154" s="7">
        <v>22.377099866020799</v>
      </c>
      <c r="CO154" s="7">
        <v>61.416806423505399</v>
      </c>
      <c r="CP154" s="7">
        <v>77.308095902860401</v>
      </c>
      <c r="CQ154" s="7">
        <v>87.491450629140004</v>
      </c>
      <c r="CR154" s="7">
        <v>16.688746609947401</v>
      </c>
      <c r="CS154" s="7">
        <v>0.66133014156821202</v>
      </c>
      <c r="CT154" s="7">
        <v>3.8827892966561399</v>
      </c>
      <c r="CU154" s="7">
        <v>9.2301654596048106</v>
      </c>
      <c r="CV154" s="7">
        <v>9.9780175765695702</v>
      </c>
      <c r="CW154" s="7">
        <v>55.120721801129903</v>
      </c>
      <c r="CX154" s="7">
        <v>92.320088444998305</v>
      </c>
      <c r="CY154" s="7">
        <v>99.874453074494298</v>
      </c>
      <c r="CZ154" s="7">
        <v>100</v>
      </c>
      <c r="DA154" s="9">
        <v>67.352912333362596</v>
      </c>
      <c r="DB154" s="9">
        <v>6.8652619152464595E-2</v>
      </c>
      <c r="DC154" s="9">
        <v>0.25898035284307602</v>
      </c>
      <c r="DD154" s="9">
        <v>0.48121949162864303</v>
      </c>
      <c r="DE154" s="9">
        <v>0.63857710361369002</v>
      </c>
      <c r="DF154" s="9">
        <v>6.8652619152464602</v>
      </c>
      <c r="DG154" s="9">
        <v>22.819324857354299</v>
      </c>
      <c r="DH154" s="9">
        <v>38.964050481107101</v>
      </c>
      <c r="DI154" s="9">
        <v>47.707129004150502</v>
      </c>
    </row>
    <row r="155" spans="1:113">
      <c r="A155" s="5" t="s">
        <v>366</v>
      </c>
      <c r="B155" s="5" t="s">
        <v>423</v>
      </c>
      <c r="C155" s="5" t="s">
        <v>424</v>
      </c>
      <c r="D155" s="6">
        <v>70480</v>
      </c>
      <c r="E155" s="7">
        <v>10.218433482565199</v>
      </c>
      <c r="F155" s="7">
        <v>2.01184733257662</v>
      </c>
      <c r="G155" s="7">
        <v>8.8829738933030704</v>
      </c>
      <c r="H155" s="7">
        <v>9.8711691259931893</v>
      </c>
      <c r="I155" s="7">
        <v>9.9288592508513105</v>
      </c>
      <c r="J155" s="7">
        <v>78.9316118047673</v>
      </c>
      <c r="K155" s="7">
        <v>96.899829738932993</v>
      </c>
      <c r="L155" s="7">
        <v>100</v>
      </c>
      <c r="M155" s="7">
        <v>100</v>
      </c>
      <c r="N155" s="7">
        <v>9.1467684642884297</v>
      </c>
      <c r="O155" s="7">
        <v>4.91364926220204</v>
      </c>
      <c r="P155" s="7">
        <v>9.9185726447219107</v>
      </c>
      <c r="Q155" s="7">
        <v>10</v>
      </c>
      <c r="R155" s="7">
        <v>10</v>
      </c>
      <c r="S155" s="7">
        <v>90.255391600454004</v>
      </c>
      <c r="T155" s="7">
        <v>100</v>
      </c>
      <c r="U155" s="7">
        <v>100</v>
      </c>
      <c r="V155" s="7">
        <v>100</v>
      </c>
      <c r="W155" s="7">
        <v>7.2959548838563499</v>
      </c>
      <c r="X155" s="7">
        <v>9.7253263337116902</v>
      </c>
      <c r="Y155" s="7">
        <v>10</v>
      </c>
      <c r="Z155" s="7">
        <v>10</v>
      </c>
      <c r="AA155" s="7">
        <v>10</v>
      </c>
      <c r="AB155" s="7">
        <v>100</v>
      </c>
      <c r="AC155" s="7">
        <v>100</v>
      </c>
      <c r="AD155" s="7">
        <v>100</v>
      </c>
      <c r="AE155" s="7">
        <v>100</v>
      </c>
      <c r="AF155" s="6">
        <v>12.464010650299199</v>
      </c>
      <c r="AG155" s="6">
        <v>1.5948496027241801</v>
      </c>
      <c r="AH155" s="6">
        <v>4.6031072644721904</v>
      </c>
      <c r="AI155" s="6">
        <v>7.85327752553916</v>
      </c>
      <c r="AJ155" s="6">
        <v>9.2116628830873992</v>
      </c>
      <c r="AK155" s="6">
        <v>72.850454029511894</v>
      </c>
      <c r="AL155" s="6">
        <v>90.512202043132802</v>
      </c>
      <c r="AM155" s="6">
        <v>98.159761634506197</v>
      </c>
      <c r="AN155" s="6">
        <v>100</v>
      </c>
      <c r="AO155" s="6">
        <v>13.3541461885728</v>
      </c>
      <c r="AP155" s="7">
        <v>0.89341657207718495</v>
      </c>
      <c r="AQ155" s="7">
        <v>6.7640607264472203</v>
      </c>
      <c r="AR155" s="7">
        <v>9.7784619750283799</v>
      </c>
      <c r="AS155" s="7">
        <v>9.9178206583427908</v>
      </c>
      <c r="AT155" s="7">
        <v>59.4140181611805</v>
      </c>
      <c r="AU155" s="7">
        <v>98.024971623155494</v>
      </c>
      <c r="AV155" s="7">
        <v>98.972758229284906</v>
      </c>
      <c r="AW155" s="7">
        <v>100</v>
      </c>
      <c r="AX155" s="7">
        <v>10.5094178299154</v>
      </c>
      <c r="AY155" s="7">
        <v>2.5211691259931901</v>
      </c>
      <c r="AZ155" s="7">
        <v>9.3500567536889907</v>
      </c>
      <c r="BA155" s="7">
        <v>10</v>
      </c>
      <c r="BB155" s="7">
        <v>10</v>
      </c>
      <c r="BC155" s="7">
        <v>90.871169125993205</v>
      </c>
      <c r="BD155" s="7">
        <v>100</v>
      </c>
      <c r="BE155" s="7">
        <v>100</v>
      </c>
      <c r="BF155" s="7">
        <v>100</v>
      </c>
      <c r="BG155" s="7">
        <v>7.9324700770529697</v>
      </c>
      <c r="BH155" s="7">
        <v>8.3678206583427901</v>
      </c>
      <c r="BI155" s="7">
        <v>10</v>
      </c>
      <c r="BJ155" s="7">
        <v>10</v>
      </c>
      <c r="BK155" s="7">
        <v>10</v>
      </c>
      <c r="BL155" s="7">
        <v>100</v>
      </c>
      <c r="BM155" s="7">
        <v>100</v>
      </c>
      <c r="BN155" s="7">
        <v>100</v>
      </c>
      <c r="BO155" s="7">
        <v>100</v>
      </c>
      <c r="BP155" s="6">
        <v>17.024001282379999</v>
      </c>
      <c r="BQ155" s="6">
        <v>0.70087968217934205</v>
      </c>
      <c r="BR155" s="6">
        <v>2.3426787741203201</v>
      </c>
      <c r="BS155" s="6">
        <v>4.2942962542565297</v>
      </c>
      <c r="BT155" s="6">
        <v>6.3800652667423403</v>
      </c>
      <c r="BU155" s="6">
        <v>49.372871736662901</v>
      </c>
      <c r="BV155" s="6">
        <v>86.285471055618601</v>
      </c>
      <c r="BW155" s="6">
        <v>98.332860385925102</v>
      </c>
      <c r="BX155" s="6">
        <v>100</v>
      </c>
      <c r="BY155" s="6" t="str">
        <f>TRIM(Table1[[#This Row],[LA_Name]])</f>
        <v>Bromsgrove</v>
      </c>
      <c r="BZ155" s="7">
        <v>36.4521950379538</v>
      </c>
      <c r="CA155" s="7">
        <v>1.6501135073779798E-2</v>
      </c>
      <c r="CB155" s="7">
        <v>0.27907207718501698</v>
      </c>
      <c r="CC155" s="7">
        <v>1.93731555051078</v>
      </c>
      <c r="CD155" s="7">
        <v>7.1122446083995499</v>
      </c>
      <c r="CE155" s="7">
        <v>1.65011350737798</v>
      </c>
      <c r="CF155" s="7">
        <v>27.5170261066969</v>
      </c>
      <c r="CG155" s="7">
        <v>79.826901248581194</v>
      </c>
      <c r="CH155" s="7">
        <v>98.650681044267898</v>
      </c>
      <c r="CI155" s="7">
        <v>30.1308046331268</v>
      </c>
      <c r="CJ155" s="7">
        <v>2.3382519863791099E-2</v>
      </c>
      <c r="CK155" s="7">
        <v>0.56086833144154402</v>
      </c>
      <c r="CL155" s="7">
        <v>2.2406072644721902</v>
      </c>
      <c r="CM155" s="7">
        <v>5.6628830874006804</v>
      </c>
      <c r="CN155" s="7">
        <v>2.33825198637911</v>
      </c>
      <c r="CO155" s="7">
        <v>55.452610669693499</v>
      </c>
      <c r="CP155" s="7">
        <v>99.6367763904654</v>
      </c>
      <c r="CQ155" s="7">
        <v>100</v>
      </c>
      <c r="CR155" s="7">
        <v>16.898851311802201</v>
      </c>
      <c r="CS155" s="7">
        <v>0.29070658342792299</v>
      </c>
      <c r="CT155" s="7">
        <v>7.2447502837684503</v>
      </c>
      <c r="CU155" s="7">
        <v>10</v>
      </c>
      <c r="CV155" s="7">
        <v>10</v>
      </c>
      <c r="CW155" s="7">
        <v>29.070658342792299</v>
      </c>
      <c r="CX155" s="7">
        <v>100</v>
      </c>
      <c r="CY155" s="7">
        <v>100</v>
      </c>
      <c r="CZ155" s="7">
        <v>100</v>
      </c>
      <c r="DA155" s="9">
        <v>78.852919019121003</v>
      </c>
      <c r="DB155" s="9">
        <v>1.26418842224745E-2</v>
      </c>
      <c r="DC155" s="9">
        <v>3.44353007945516E-2</v>
      </c>
      <c r="DD155" s="9">
        <v>0.11188989784335999</v>
      </c>
      <c r="DE155" s="9">
        <v>0.22744040862656101</v>
      </c>
      <c r="DF155" s="9">
        <v>1.26418842224745</v>
      </c>
      <c r="DG155" s="9">
        <v>3.44353007945517</v>
      </c>
      <c r="DH155" s="9">
        <v>11.188989784336</v>
      </c>
      <c r="DI155" s="9">
        <v>22.744040862656099</v>
      </c>
    </row>
    <row r="156" spans="1:113">
      <c r="A156" s="5" t="s">
        <v>366</v>
      </c>
      <c r="B156" s="5" t="s">
        <v>425</v>
      </c>
      <c r="C156" s="5" t="s">
        <v>426</v>
      </c>
      <c r="D156" s="6">
        <v>55465</v>
      </c>
      <c r="E156" s="7">
        <v>17.984184586555799</v>
      </c>
      <c r="F156" s="7">
        <v>0.98298025782024701</v>
      </c>
      <c r="G156" s="7">
        <v>5.0075182547552499</v>
      </c>
      <c r="H156" s="7">
        <v>7.4751825475525102</v>
      </c>
      <c r="I156" s="7">
        <v>8.7251059226539294</v>
      </c>
      <c r="J156" s="7">
        <v>56.686198503560803</v>
      </c>
      <c r="K156" s="7">
        <v>82.311367529072399</v>
      </c>
      <c r="L156" s="7">
        <v>93.801496439195901</v>
      </c>
      <c r="M156" s="7">
        <v>96.332822500676102</v>
      </c>
      <c r="N156" s="7">
        <v>13.580212377240301</v>
      </c>
      <c r="O156" s="7">
        <v>2.5075092400612999</v>
      </c>
      <c r="P156" s="7">
        <v>6.5822951410799604</v>
      </c>
      <c r="Q156" s="7">
        <v>8.4235463806003796</v>
      </c>
      <c r="R156" s="7">
        <v>9.8757053998016797</v>
      </c>
      <c r="S156" s="7">
        <v>68.865050031551405</v>
      </c>
      <c r="T156" s="7">
        <v>92.618768592806305</v>
      </c>
      <c r="U156" s="7">
        <v>99.615974037681397</v>
      </c>
      <c r="V156" s="7">
        <v>100</v>
      </c>
      <c r="W156" s="7">
        <v>8.8337297409743307</v>
      </c>
      <c r="X156" s="7">
        <v>6.2271161994050299</v>
      </c>
      <c r="Y156" s="7">
        <v>9.9758766789867508</v>
      </c>
      <c r="Z156" s="7">
        <v>10</v>
      </c>
      <c r="AA156" s="7">
        <v>10</v>
      </c>
      <c r="AB156" s="7">
        <v>93.307491210673405</v>
      </c>
      <c r="AC156" s="7">
        <v>100</v>
      </c>
      <c r="AD156" s="7">
        <v>100</v>
      </c>
      <c r="AE156" s="7">
        <v>100</v>
      </c>
      <c r="AF156" s="6">
        <v>27.236970323395699</v>
      </c>
      <c r="AG156" s="6">
        <v>0.81341386459929699</v>
      </c>
      <c r="AH156" s="6">
        <v>2.4992337510141498</v>
      </c>
      <c r="AI156" s="6">
        <v>4.12856756513116</v>
      </c>
      <c r="AJ156" s="6">
        <v>5.42237447038673</v>
      </c>
      <c r="AK156" s="6">
        <v>51.351302623275899</v>
      </c>
      <c r="AL156" s="6">
        <v>68.926349950419194</v>
      </c>
      <c r="AM156" s="6">
        <v>77.980708554944599</v>
      </c>
      <c r="AN156" s="6">
        <v>85.291625349319403</v>
      </c>
      <c r="AO156" s="6">
        <v>17.520755113300599</v>
      </c>
      <c r="AP156" s="7">
        <v>0.99255386279635804</v>
      </c>
      <c r="AQ156" s="7">
        <v>4.4406202109438402</v>
      </c>
      <c r="AR156" s="7">
        <v>7.5897773370594104</v>
      </c>
      <c r="AS156" s="7">
        <v>8.8460650860903307</v>
      </c>
      <c r="AT156" s="7">
        <v>62.001262057153198</v>
      </c>
      <c r="AU156" s="7">
        <v>86.376994501036705</v>
      </c>
      <c r="AV156" s="7">
        <v>93.770846479762</v>
      </c>
      <c r="AW156" s="7">
        <v>96.706030830253297</v>
      </c>
      <c r="AX156" s="7">
        <v>13.0434385900189</v>
      </c>
      <c r="AY156" s="7">
        <v>2.2285044622735102</v>
      </c>
      <c r="AZ156" s="7">
        <v>6.6744794014243203</v>
      </c>
      <c r="BA156" s="7">
        <v>8.4529162534931892</v>
      </c>
      <c r="BB156" s="7">
        <v>9.5576309384296394</v>
      </c>
      <c r="BC156" s="7">
        <v>71.077255927161303</v>
      </c>
      <c r="BD156" s="7">
        <v>95.626070494906699</v>
      </c>
      <c r="BE156" s="7">
        <v>100</v>
      </c>
      <c r="BF156" s="7">
        <v>100</v>
      </c>
      <c r="BG156" s="7">
        <v>8.5783420502908392</v>
      </c>
      <c r="BH156" s="7">
        <v>6.1860993419273402</v>
      </c>
      <c r="BI156" s="7">
        <v>9.8131253943928591</v>
      </c>
      <c r="BJ156" s="7">
        <v>10</v>
      </c>
      <c r="BK156" s="7">
        <v>10</v>
      </c>
      <c r="BL156" s="7">
        <v>94.737221671324207</v>
      </c>
      <c r="BM156" s="7">
        <v>100</v>
      </c>
      <c r="BN156" s="7">
        <v>100</v>
      </c>
      <c r="BO156" s="7">
        <v>100</v>
      </c>
      <c r="BP156" s="6">
        <v>25.866386616903799</v>
      </c>
      <c r="BQ156" s="6">
        <v>0.72283421977823803</v>
      </c>
      <c r="BR156" s="6">
        <v>2.12615162715226</v>
      </c>
      <c r="BS156" s="6">
        <v>3.6949607860813098</v>
      </c>
      <c r="BT156" s="6">
        <v>5.1045343910574204</v>
      </c>
      <c r="BU156" s="6">
        <v>51.250338051023199</v>
      </c>
      <c r="BV156" s="6">
        <v>69.966645632380803</v>
      </c>
      <c r="BW156" s="6">
        <v>78.379158027585007</v>
      </c>
      <c r="BX156" s="6">
        <v>87.520057694041299</v>
      </c>
      <c r="BY156" s="6" t="str">
        <f>TRIM(Table1[[#This Row],[LA_Name]])</f>
        <v>Malvern Hills</v>
      </c>
      <c r="BZ156" s="7">
        <v>46.524833708154198</v>
      </c>
      <c r="CA156" s="7">
        <v>0</v>
      </c>
      <c r="CB156" s="7">
        <v>0.21175516091228699</v>
      </c>
      <c r="CC156" s="7">
        <v>0.75166321103398503</v>
      </c>
      <c r="CD156" s="7">
        <v>1.6029207608401701</v>
      </c>
      <c r="CE156" s="7">
        <v>0</v>
      </c>
      <c r="CF156" s="7">
        <v>21.175516091228701</v>
      </c>
      <c r="CG156" s="7">
        <v>66.366176868295298</v>
      </c>
      <c r="CH156" s="7">
        <v>83.238078067249603</v>
      </c>
      <c r="CI156" s="7">
        <v>53.940716720033599</v>
      </c>
      <c r="CJ156" s="7">
        <v>0</v>
      </c>
      <c r="CK156" s="7">
        <v>0.13255205985756799</v>
      </c>
      <c r="CL156" s="7">
        <v>0.41027675110430001</v>
      </c>
      <c r="CM156" s="7">
        <v>1.2126566303074</v>
      </c>
      <c r="CN156" s="7">
        <v>0</v>
      </c>
      <c r="CO156" s="7">
        <v>10.4552420445326</v>
      </c>
      <c r="CP156" s="7">
        <v>24.361308933561698</v>
      </c>
      <c r="CQ156" s="7">
        <v>76.363472460110003</v>
      </c>
      <c r="CR156" s="7">
        <v>26.820199246579801</v>
      </c>
      <c r="CS156" s="7">
        <v>1.12142792752186E-2</v>
      </c>
      <c r="CT156" s="7">
        <v>1.6492021995853201</v>
      </c>
      <c r="CU156" s="7">
        <v>6.0459028215992099</v>
      </c>
      <c r="CV156" s="7">
        <v>9.8307941945370896</v>
      </c>
      <c r="CW156" s="7">
        <v>1.1214279275218599</v>
      </c>
      <c r="CX156" s="7">
        <v>75.750473271432398</v>
      </c>
      <c r="CY156" s="7">
        <v>99.033624808437807</v>
      </c>
      <c r="CZ156" s="7">
        <v>100</v>
      </c>
      <c r="DA156" s="9">
        <v>111.83949420901099</v>
      </c>
      <c r="DB156" s="9">
        <v>0</v>
      </c>
      <c r="DC156" s="9">
        <v>0</v>
      </c>
      <c r="DD156" s="9">
        <v>8.1853421076354509E-3</v>
      </c>
      <c r="DE156" s="9">
        <v>4.0980798701884098E-2</v>
      </c>
      <c r="DF156" s="9">
        <v>0</v>
      </c>
      <c r="DG156" s="9">
        <v>0</v>
      </c>
      <c r="DH156" s="9">
        <v>0.81853421076354504</v>
      </c>
      <c r="DI156" s="9">
        <v>4.0980798701884096</v>
      </c>
    </row>
    <row r="157" spans="1:113">
      <c r="A157" s="5" t="s">
        <v>366</v>
      </c>
      <c r="B157" s="5" t="s">
        <v>427</v>
      </c>
      <c r="C157" s="5" t="s">
        <v>428</v>
      </c>
      <c r="D157" s="6">
        <v>61764</v>
      </c>
      <c r="E157" s="7">
        <v>8.6565224064158102</v>
      </c>
      <c r="F157" s="7">
        <v>2.3983550288193798</v>
      </c>
      <c r="G157" s="7">
        <v>9.0150896962631997</v>
      </c>
      <c r="H157" s="7">
        <v>9.9663881872935693</v>
      </c>
      <c r="I157" s="7">
        <v>10</v>
      </c>
      <c r="J157" s="7">
        <v>87.669192409817995</v>
      </c>
      <c r="K157" s="7">
        <v>99.506184832588602</v>
      </c>
      <c r="L157" s="7">
        <v>100</v>
      </c>
      <c r="M157" s="7">
        <v>100</v>
      </c>
      <c r="N157" s="7">
        <v>8.5046174066470197</v>
      </c>
      <c r="O157" s="7">
        <v>5.1400492196101304</v>
      </c>
      <c r="P157" s="7">
        <v>9.9955313775014591</v>
      </c>
      <c r="Q157" s="7">
        <v>10</v>
      </c>
      <c r="R157" s="7">
        <v>10</v>
      </c>
      <c r="S157" s="7">
        <v>99.506184832588602</v>
      </c>
      <c r="T157" s="7">
        <v>100</v>
      </c>
      <c r="U157" s="7">
        <v>100</v>
      </c>
      <c r="V157" s="7">
        <v>100</v>
      </c>
      <c r="W157" s="7">
        <v>7.2903898796588402</v>
      </c>
      <c r="X157" s="7">
        <v>9.9758759147723595</v>
      </c>
      <c r="Y157" s="7">
        <v>10</v>
      </c>
      <c r="Z157" s="7">
        <v>10</v>
      </c>
      <c r="AA157" s="7">
        <v>10</v>
      </c>
      <c r="AB157" s="7">
        <v>100</v>
      </c>
      <c r="AC157" s="7">
        <v>100</v>
      </c>
      <c r="AD157" s="7">
        <v>100</v>
      </c>
      <c r="AE157" s="7">
        <v>100</v>
      </c>
      <c r="AF157" s="6">
        <v>9.5257829955353994</v>
      </c>
      <c r="AG157" s="6">
        <v>1.7374684282106101</v>
      </c>
      <c r="AH157" s="6">
        <v>5.4928922997215199</v>
      </c>
      <c r="AI157" s="6">
        <v>8.6954212810051192</v>
      </c>
      <c r="AJ157" s="6">
        <v>9.8496697105109803</v>
      </c>
      <c r="AK157" s="6">
        <v>78.897092157243705</v>
      </c>
      <c r="AL157" s="6">
        <v>99.506184832588602</v>
      </c>
      <c r="AM157" s="6">
        <v>100</v>
      </c>
      <c r="AN157" s="6">
        <v>100</v>
      </c>
      <c r="AO157" s="6">
        <v>10.0667960714197</v>
      </c>
      <c r="AP157" s="7">
        <v>1.9110646978822601</v>
      </c>
      <c r="AQ157" s="7">
        <v>9.0830095201087993</v>
      </c>
      <c r="AR157" s="7">
        <v>9.9085551453921408</v>
      </c>
      <c r="AS157" s="7">
        <v>9.9485136972994006</v>
      </c>
      <c r="AT157" s="7">
        <v>81.270643093063896</v>
      </c>
      <c r="AU157" s="7">
        <v>99.439803121559507</v>
      </c>
      <c r="AV157" s="7">
        <v>99.439803121559507</v>
      </c>
      <c r="AW157" s="7">
        <v>100</v>
      </c>
      <c r="AX157" s="7">
        <v>9.1690258016534401</v>
      </c>
      <c r="AY157" s="7">
        <v>4.3690337413379998</v>
      </c>
      <c r="AZ157" s="7">
        <v>9.9507803898711202</v>
      </c>
      <c r="BA157" s="7">
        <v>10</v>
      </c>
      <c r="BB157" s="7">
        <v>10</v>
      </c>
      <c r="BC157" s="7">
        <v>96.405673207693795</v>
      </c>
      <c r="BD157" s="7">
        <v>100</v>
      </c>
      <c r="BE157" s="7">
        <v>100</v>
      </c>
      <c r="BF157" s="7">
        <v>100</v>
      </c>
      <c r="BG157" s="7">
        <v>7.5289092104126603</v>
      </c>
      <c r="BH157" s="7">
        <v>9.9351078298037692</v>
      </c>
      <c r="BI157" s="7">
        <v>10</v>
      </c>
      <c r="BJ157" s="7">
        <v>10</v>
      </c>
      <c r="BK157" s="7">
        <v>10</v>
      </c>
      <c r="BL157" s="7">
        <v>100</v>
      </c>
      <c r="BM157" s="7">
        <v>100</v>
      </c>
      <c r="BN157" s="7">
        <v>100</v>
      </c>
      <c r="BO157" s="7">
        <v>100</v>
      </c>
      <c r="BP157" s="6">
        <v>11.3124844598076</v>
      </c>
      <c r="BQ157" s="6">
        <v>1.37991386568227</v>
      </c>
      <c r="BR157" s="6">
        <v>4.8597241111327003</v>
      </c>
      <c r="BS157" s="6">
        <v>8.5595006800077709</v>
      </c>
      <c r="BT157" s="6">
        <v>9.7145910238974196</v>
      </c>
      <c r="BU157" s="6">
        <v>72.192539343306805</v>
      </c>
      <c r="BV157" s="6">
        <v>97.861213651965599</v>
      </c>
      <c r="BW157" s="6">
        <v>98.992940871705201</v>
      </c>
      <c r="BX157" s="6">
        <v>100</v>
      </c>
      <c r="BY157" s="6" t="str">
        <f>TRIM(Table1[[#This Row],[LA_Name]])</f>
        <v>Redditch</v>
      </c>
      <c r="BZ157" s="7">
        <v>21.465347136825699</v>
      </c>
      <c r="CA157" s="7">
        <v>0.21433197331779</v>
      </c>
      <c r="CB157" s="7">
        <v>0.93541545236707502</v>
      </c>
      <c r="CC157" s="7">
        <v>0.98992940871705204</v>
      </c>
      <c r="CD157" s="7">
        <v>1.8675765818276</v>
      </c>
      <c r="CE157" s="7">
        <v>21.433197331778999</v>
      </c>
      <c r="CF157" s="7">
        <v>93.541545236707506</v>
      </c>
      <c r="CG157" s="7">
        <v>98.992940871705201</v>
      </c>
      <c r="CH157" s="7">
        <v>98.992940871705201</v>
      </c>
      <c r="CI157" s="7">
        <v>17.153214322293898</v>
      </c>
      <c r="CJ157" s="7">
        <v>0.35308594002979099</v>
      </c>
      <c r="CK157" s="7">
        <v>0.98782462275759297</v>
      </c>
      <c r="CL157" s="7">
        <v>1.06825982773136</v>
      </c>
      <c r="CM157" s="7">
        <v>1.80385013923969</v>
      </c>
      <c r="CN157" s="7">
        <v>35.308594002979099</v>
      </c>
      <c r="CO157" s="7">
        <v>98.7824622757593</v>
      </c>
      <c r="CP157" s="7">
        <v>100</v>
      </c>
      <c r="CQ157" s="7">
        <v>100</v>
      </c>
      <c r="CR157" s="7">
        <v>10.5286820706876</v>
      </c>
      <c r="CS157" s="7">
        <v>0.98782462275759297</v>
      </c>
      <c r="CT157" s="7">
        <v>3.43267923061978</v>
      </c>
      <c r="CU157" s="7">
        <v>10</v>
      </c>
      <c r="CV157" s="7">
        <v>10</v>
      </c>
      <c r="CW157" s="7">
        <v>98.7824622757593</v>
      </c>
      <c r="CX157" s="7">
        <v>100</v>
      </c>
      <c r="CY157" s="7">
        <v>100</v>
      </c>
      <c r="CZ157" s="7">
        <v>100</v>
      </c>
      <c r="DA157" s="9">
        <v>37.159226186461098</v>
      </c>
      <c r="DB157" s="9">
        <v>0.12123567126481399</v>
      </c>
      <c r="DC157" s="9">
        <v>0.33283142283530898</v>
      </c>
      <c r="DD157" s="9">
        <v>0.67095719189171699</v>
      </c>
      <c r="DE157" s="9">
        <v>0.92275435528786998</v>
      </c>
      <c r="DF157" s="9">
        <v>12.123567126481399</v>
      </c>
      <c r="DG157" s="9">
        <v>33.2831422835309</v>
      </c>
      <c r="DH157" s="9">
        <v>67.095719189171703</v>
      </c>
      <c r="DI157" s="9">
        <v>92.275435528787</v>
      </c>
    </row>
    <row r="158" spans="1:113">
      <c r="A158" s="5" t="s">
        <v>366</v>
      </c>
      <c r="B158" s="5" t="s">
        <v>429</v>
      </c>
      <c r="C158" s="5" t="s">
        <v>430</v>
      </c>
      <c r="D158" s="6">
        <v>74518</v>
      </c>
      <c r="E158" s="7">
        <v>7.7843903580792899</v>
      </c>
      <c r="F158" s="7">
        <v>2.6394159800316701</v>
      </c>
      <c r="G158" s="7">
        <v>9.2177594675112093</v>
      </c>
      <c r="H158" s="7">
        <v>10</v>
      </c>
      <c r="I158" s="7">
        <v>10</v>
      </c>
      <c r="J158" s="7">
        <v>96.908129579430494</v>
      </c>
      <c r="K158" s="7">
        <v>100</v>
      </c>
      <c r="L158" s="7">
        <v>100</v>
      </c>
      <c r="M158" s="7">
        <v>100</v>
      </c>
      <c r="N158" s="7">
        <v>7.8882401413847001</v>
      </c>
      <c r="O158" s="7">
        <v>6.5620252824820904</v>
      </c>
      <c r="P158" s="7">
        <v>10</v>
      </c>
      <c r="Q158" s="7">
        <v>10</v>
      </c>
      <c r="R158" s="7">
        <v>10</v>
      </c>
      <c r="S158" s="7">
        <v>100</v>
      </c>
      <c r="T158" s="7">
        <v>100</v>
      </c>
      <c r="U158" s="7">
        <v>100</v>
      </c>
      <c r="V158" s="7">
        <v>100</v>
      </c>
      <c r="W158" s="7">
        <v>6.8686302715288603</v>
      </c>
      <c r="X158" s="7">
        <v>9.6396843715612306</v>
      </c>
      <c r="Y158" s="7">
        <v>10</v>
      </c>
      <c r="Z158" s="7">
        <v>10</v>
      </c>
      <c r="AA158" s="7">
        <v>10</v>
      </c>
      <c r="AB158" s="7">
        <v>100</v>
      </c>
      <c r="AC158" s="7">
        <v>100</v>
      </c>
      <c r="AD158" s="7">
        <v>100</v>
      </c>
      <c r="AE158" s="7">
        <v>100</v>
      </c>
      <c r="AF158" s="6">
        <v>8.1210011043720893</v>
      </c>
      <c r="AG158" s="6">
        <v>2.0246115032609602</v>
      </c>
      <c r="AH158" s="6">
        <v>6.5891730856974204</v>
      </c>
      <c r="AI158" s="6">
        <v>9.4240988754394905</v>
      </c>
      <c r="AJ158" s="6">
        <v>10</v>
      </c>
      <c r="AK158" s="6">
        <v>92.148205802624901</v>
      </c>
      <c r="AL158" s="6">
        <v>100</v>
      </c>
      <c r="AM158" s="6">
        <v>100</v>
      </c>
      <c r="AN158" s="6">
        <v>100</v>
      </c>
      <c r="AO158" s="6">
        <v>8.2101665581527907</v>
      </c>
      <c r="AP158" s="7">
        <v>2.53188491371212</v>
      </c>
      <c r="AQ158" s="7">
        <v>9.75510614884994</v>
      </c>
      <c r="AR158" s="7">
        <v>10</v>
      </c>
      <c r="AS158" s="7">
        <v>10</v>
      </c>
      <c r="AT158" s="7">
        <v>92.380364475697107</v>
      </c>
      <c r="AU158" s="7">
        <v>100</v>
      </c>
      <c r="AV158" s="7">
        <v>100</v>
      </c>
      <c r="AW158" s="7">
        <v>100</v>
      </c>
      <c r="AX158" s="7">
        <v>8.1317442955450296</v>
      </c>
      <c r="AY158" s="7">
        <v>6.7754502267908396</v>
      </c>
      <c r="AZ158" s="7">
        <v>10</v>
      </c>
      <c r="BA158" s="7">
        <v>10</v>
      </c>
      <c r="BB158" s="7">
        <v>10</v>
      </c>
      <c r="BC158" s="7">
        <v>97.962908290614394</v>
      </c>
      <c r="BD158" s="7">
        <v>100</v>
      </c>
      <c r="BE158" s="7">
        <v>100</v>
      </c>
      <c r="BF158" s="7">
        <v>100</v>
      </c>
      <c r="BG158" s="7">
        <v>6.9171655122207198</v>
      </c>
      <c r="BH158" s="7">
        <v>9.9030435599452495</v>
      </c>
      <c r="BI158" s="7">
        <v>10</v>
      </c>
      <c r="BJ158" s="7">
        <v>10</v>
      </c>
      <c r="BK158" s="7">
        <v>10</v>
      </c>
      <c r="BL158" s="7">
        <v>100</v>
      </c>
      <c r="BM158" s="7">
        <v>100</v>
      </c>
      <c r="BN158" s="7">
        <v>100</v>
      </c>
      <c r="BO158" s="7">
        <v>100</v>
      </c>
      <c r="BP158" s="6">
        <v>8.6706056408465102</v>
      </c>
      <c r="BQ158" s="6">
        <v>2.0265573418502898</v>
      </c>
      <c r="BR158" s="6">
        <v>7.1737700958157804</v>
      </c>
      <c r="BS158" s="6">
        <v>9.8431117313937602</v>
      </c>
      <c r="BT158" s="6">
        <v>10</v>
      </c>
      <c r="BU158" s="6">
        <v>89.919214149601402</v>
      </c>
      <c r="BV158" s="6">
        <v>100</v>
      </c>
      <c r="BW158" s="6">
        <v>100</v>
      </c>
      <c r="BX158" s="6">
        <v>100</v>
      </c>
      <c r="BY158" s="6" t="str">
        <f>TRIM(Table1[[#This Row],[LA_Name]])</f>
        <v>Worcester</v>
      </c>
      <c r="BZ158" s="7">
        <v>17.229108506711299</v>
      </c>
      <c r="CA158" s="7">
        <v>0.30529536487828401</v>
      </c>
      <c r="CB158" s="7">
        <v>1.4240854558630101</v>
      </c>
      <c r="CC158" s="7">
        <v>2.1904908881075702</v>
      </c>
      <c r="CD158" s="7">
        <v>3.0495182372044298</v>
      </c>
      <c r="CE158" s="7">
        <v>30.1980729488177</v>
      </c>
      <c r="CF158" s="7">
        <v>100</v>
      </c>
      <c r="CG158" s="7">
        <v>100</v>
      </c>
      <c r="CH158" s="7">
        <v>100</v>
      </c>
      <c r="CI158" s="7">
        <v>14.060870260620099</v>
      </c>
      <c r="CJ158" s="7">
        <v>0.72703239485761795</v>
      </c>
      <c r="CK158" s="7">
        <v>1.9961083228213301</v>
      </c>
      <c r="CL158" s="7">
        <v>2</v>
      </c>
      <c r="CM158" s="7">
        <v>2.4035266646984601</v>
      </c>
      <c r="CN158" s="7">
        <v>57.292197858235603</v>
      </c>
      <c r="CO158" s="7">
        <v>100</v>
      </c>
      <c r="CP158" s="7">
        <v>100</v>
      </c>
      <c r="CQ158" s="7">
        <v>100</v>
      </c>
      <c r="CR158" s="7">
        <v>11.0591470670507</v>
      </c>
      <c r="CS158" s="7">
        <v>1.6004052712096399</v>
      </c>
      <c r="CT158" s="7">
        <v>4.3018733728763499</v>
      </c>
      <c r="CU158" s="7">
        <v>9.4566279288225701</v>
      </c>
      <c r="CV158" s="7">
        <v>10</v>
      </c>
      <c r="CW158" s="7">
        <v>99.000241552376593</v>
      </c>
      <c r="CX158" s="7">
        <v>100</v>
      </c>
      <c r="CY158" s="7">
        <v>100</v>
      </c>
      <c r="CZ158" s="7">
        <v>100</v>
      </c>
      <c r="DA158" s="9">
        <v>25.4629248334621</v>
      </c>
      <c r="DB158" s="9">
        <v>0.19534877479266799</v>
      </c>
      <c r="DC158" s="9">
        <v>0.80819399339756803</v>
      </c>
      <c r="DD158" s="9">
        <v>1.4998389650822599</v>
      </c>
      <c r="DE158" s="9">
        <v>1.90672052390027</v>
      </c>
      <c r="DF158" s="9">
        <v>19.5348774792668</v>
      </c>
      <c r="DG158" s="9">
        <v>63.180708016855</v>
      </c>
      <c r="DH158" s="9">
        <v>97.516036393891397</v>
      </c>
      <c r="DI158" s="9">
        <v>100</v>
      </c>
    </row>
    <row r="159" spans="1:113">
      <c r="A159" s="5" t="s">
        <v>366</v>
      </c>
      <c r="B159" s="5" t="s">
        <v>431</v>
      </c>
      <c r="C159" s="5" t="s">
        <v>432</v>
      </c>
      <c r="D159" s="6">
        <v>92449</v>
      </c>
      <c r="E159" s="7">
        <v>13.130567963708</v>
      </c>
      <c r="F159" s="7">
        <v>1.3057685859230499</v>
      </c>
      <c r="G159" s="7">
        <v>6.2116410128827804</v>
      </c>
      <c r="H159" s="7">
        <v>8.8662289478523295</v>
      </c>
      <c r="I159" s="7">
        <v>9.5914071542147603</v>
      </c>
      <c r="J159" s="7">
        <v>65.498815563175398</v>
      </c>
      <c r="K159" s="7">
        <v>95.215740570476697</v>
      </c>
      <c r="L159" s="7">
        <v>97.755519259267302</v>
      </c>
      <c r="M159" s="7">
        <v>98.751744204912995</v>
      </c>
      <c r="N159" s="7">
        <v>11.2176116750343</v>
      </c>
      <c r="O159" s="7">
        <v>2.40514229467058</v>
      </c>
      <c r="P159" s="7">
        <v>7.4456943828489202</v>
      </c>
      <c r="Q159" s="7">
        <v>9.9141905266687598</v>
      </c>
      <c r="R159" s="7">
        <v>10</v>
      </c>
      <c r="S159" s="7">
        <v>78.221505911367302</v>
      </c>
      <c r="T159" s="7">
        <v>99.441854427846707</v>
      </c>
      <c r="U159" s="7">
        <v>100</v>
      </c>
      <c r="V159" s="7">
        <v>100</v>
      </c>
      <c r="W159" s="7">
        <v>8.1259172954203809</v>
      </c>
      <c r="X159" s="7">
        <v>7.05331588227022</v>
      </c>
      <c r="Y159" s="7">
        <v>10</v>
      </c>
      <c r="Z159" s="7">
        <v>10</v>
      </c>
      <c r="AA159" s="7">
        <v>10</v>
      </c>
      <c r="AB159" s="7">
        <v>99.725253923785004</v>
      </c>
      <c r="AC159" s="7">
        <v>100</v>
      </c>
      <c r="AD159" s="7">
        <v>100</v>
      </c>
      <c r="AE159" s="7">
        <v>100</v>
      </c>
      <c r="AF159" s="6">
        <v>19.053630316362799</v>
      </c>
      <c r="AG159" s="6">
        <v>1.0119092688942</v>
      </c>
      <c r="AH159" s="6">
        <v>2.5094160023364198</v>
      </c>
      <c r="AI159" s="6">
        <v>4.07041720299841</v>
      </c>
      <c r="AJ159" s="6">
        <v>5.5217254918928296</v>
      </c>
      <c r="AK159" s="6">
        <v>60.697249294205498</v>
      </c>
      <c r="AL159" s="6">
        <v>76.322080282101496</v>
      </c>
      <c r="AM159" s="6">
        <v>87.176713647524593</v>
      </c>
      <c r="AN159" s="6">
        <v>94.719250613851997</v>
      </c>
      <c r="AO159" s="6">
        <v>14.193985540186199</v>
      </c>
      <c r="AP159" s="7">
        <v>1.2972449674955899</v>
      </c>
      <c r="AQ159" s="7">
        <v>5.8126318294411004</v>
      </c>
      <c r="AR159" s="7">
        <v>9.0490216227325302</v>
      </c>
      <c r="AS159" s="7">
        <v>9.5889950134668904</v>
      </c>
      <c r="AT159" s="7">
        <v>59.726984607729698</v>
      </c>
      <c r="AU159" s="7">
        <v>93.013445250895103</v>
      </c>
      <c r="AV159" s="7">
        <v>98.646821490767906</v>
      </c>
      <c r="AW159" s="7">
        <v>99.026490281128005</v>
      </c>
      <c r="AX159" s="7">
        <v>12.206827481094299</v>
      </c>
      <c r="AY159" s="7">
        <v>2.42904736665621</v>
      </c>
      <c r="AZ159" s="7">
        <v>6.5348462395482896</v>
      </c>
      <c r="BA159" s="7">
        <v>9.4452076279894897</v>
      </c>
      <c r="BB159" s="7">
        <v>10</v>
      </c>
      <c r="BC159" s="7">
        <v>70.929918117015902</v>
      </c>
      <c r="BD159" s="7">
        <v>98.154658244004807</v>
      </c>
      <c r="BE159" s="7">
        <v>100</v>
      </c>
      <c r="BF159" s="7">
        <v>100</v>
      </c>
      <c r="BG159" s="7">
        <v>8.3293764053898993</v>
      </c>
      <c r="BH159" s="7">
        <v>6.2892838213501499</v>
      </c>
      <c r="BI159" s="7">
        <v>10</v>
      </c>
      <c r="BJ159" s="7">
        <v>10</v>
      </c>
      <c r="BK159" s="7">
        <v>10</v>
      </c>
      <c r="BL159" s="7">
        <v>98.262825990546105</v>
      </c>
      <c r="BM159" s="7">
        <v>100</v>
      </c>
      <c r="BN159" s="7">
        <v>100</v>
      </c>
      <c r="BO159" s="7">
        <v>100</v>
      </c>
      <c r="BP159" s="6">
        <v>22.6694082479233</v>
      </c>
      <c r="BQ159" s="6">
        <v>0.89177816958539302</v>
      </c>
      <c r="BR159" s="6">
        <v>2.3617994786314598</v>
      </c>
      <c r="BS159" s="6">
        <v>3.56744799835585</v>
      </c>
      <c r="BT159" s="6">
        <v>4.7095587837618602</v>
      </c>
      <c r="BU159" s="6">
        <v>50.817207325119803</v>
      </c>
      <c r="BV159" s="6">
        <v>70.140293567264095</v>
      </c>
      <c r="BW159" s="6">
        <v>84.073380999253601</v>
      </c>
      <c r="BX159" s="6">
        <v>92.300619801187693</v>
      </c>
      <c r="BY159" s="6" t="str">
        <f>TRIM(Table1[[#This Row],[LA_Name]])</f>
        <v>Wychavon</v>
      </c>
      <c r="BZ159" s="7">
        <v>47.126406864263302</v>
      </c>
      <c r="CA159" s="7">
        <v>1.6657832967365801E-3</v>
      </c>
      <c r="CB159" s="7">
        <v>0.215102380772101</v>
      </c>
      <c r="CC159" s="7">
        <v>1.00398057307272</v>
      </c>
      <c r="CD159" s="7">
        <v>2.1921600017306799</v>
      </c>
      <c r="CE159" s="7">
        <v>0.16657832967365799</v>
      </c>
      <c r="CF159" s="7">
        <v>16.820084587177799</v>
      </c>
      <c r="CG159" s="7">
        <v>55.072526474055998</v>
      </c>
      <c r="CH159" s="7">
        <v>81.693690575344206</v>
      </c>
      <c r="CI159" s="7">
        <v>55.337363463734803</v>
      </c>
      <c r="CJ159" s="7">
        <v>9.6918300901037303E-3</v>
      </c>
      <c r="CK159" s="7">
        <v>0.30308602580882399</v>
      </c>
      <c r="CL159" s="7">
        <v>0.97520795249272596</v>
      </c>
      <c r="CM159" s="7">
        <v>1.5394001016776799</v>
      </c>
      <c r="CN159" s="7">
        <v>0.96918300901037302</v>
      </c>
      <c r="CO159" s="7">
        <v>26.3831950588973</v>
      </c>
      <c r="CP159" s="7">
        <v>43.209769710867597</v>
      </c>
      <c r="CQ159" s="7">
        <v>56.415969886099397</v>
      </c>
      <c r="CR159" s="7">
        <v>22.510415524616</v>
      </c>
      <c r="CS159" s="7">
        <v>0.28946770651927001</v>
      </c>
      <c r="CT159" s="7">
        <v>2.6222565955283499</v>
      </c>
      <c r="CU159" s="7">
        <v>9.3847851247715006</v>
      </c>
      <c r="CV159" s="7">
        <v>10</v>
      </c>
      <c r="CW159" s="7">
        <v>27.29288580731</v>
      </c>
      <c r="CX159" s="7">
        <v>79.082521173836398</v>
      </c>
      <c r="CY159" s="7">
        <v>100</v>
      </c>
      <c r="CZ159" s="7">
        <v>100</v>
      </c>
      <c r="DA159" s="9">
        <v>100.01671688707999</v>
      </c>
      <c r="DB159" s="9">
        <v>1.6657832967365801E-3</v>
      </c>
      <c r="DC159" s="9">
        <v>9.6918300901037303E-3</v>
      </c>
      <c r="DD159" s="9">
        <v>3.5598005386753798E-2</v>
      </c>
      <c r="DE159" s="9">
        <v>0.11555560363011</v>
      </c>
      <c r="DF159" s="9">
        <v>0.16657832967365799</v>
      </c>
      <c r="DG159" s="9">
        <v>0.96918300901037302</v>
      </c>
      <c r="DH159" s="9">
        <v>3.5598005386753799</v>
      </c>
      <c r="DI159" s="9">
        <v>10.0574370734134</v>
      </c>
    </row>
    <row r="160" spans="1:113">
      <c r="A160" s="5" t="s">
        <v>366</v>
      </c>
      <c r="B160" s="5" t="s">
        <v>433</v>
      </c>
      <c r="C160" s="5" t="s">
        <v>434</v>
      </c>
      <c r="D160" s="6">
        <v>72256</v>
      </c>
      <c r="E160" s="7">
        <v>10.3200707201895</v>
      </c>
      <c r="F160" s="7">
        <v>1.84064991142604</v>
      </c>
      <c r="G160" s="7">
        <v>8.3162920726306506</v>
      </c>
      <c r="H160" s="7">
        <v>9.7493910540301094</v>
      </c>
      <c r="I160" s="7">
        <v>9.8790827059344597</v>
      </c>
      <c r="J160" s="7">
        <v>82.596600974313503</v>
      </c>
      <c r="K160" s="7">
        <v>98.135794951284296</v>
      </c>
      <c r="L160" s="7">
        <v>99.248505314437594</v>
      </c>
      <c r="M160" s="7">
        <v>99.514227192205496</v>
      </c>
      <c r="N160" s="7">
        <v>9.2576385111580208</v>
      </c>
      <c r="O160" s="7">
        <v>4.39728188662533</v>
      </c>
      <c r="P160" s="7">
        <v>9.3727164526129307</v>
      </c>
      <c r="Q160" s="7">
        <v>9.9943810894597007</v>
      </c>
      <c r="R160" s="7">
        <v>10</v>
      </c>
      <c r="S160" s="7">
        <v>93.017880868024804</v>
      </c>
      <c r="T160" s="7">
        <v>99.847763507528796</v>
      </c>
      <c r="U160" s="7">
        <v>100</v>
      </c>
      <c r="V160" s="7">
        <v>100</v>
      </c>
      <c r="W160" s="7">
        <v>7.3982710068842499</v>
      </c>
      <c r="X160" s="7">
        <v>9.1254151904340102</v>
      </c>
      <c r="Y160" s="7">
        <v>10</v>
      </c>
      <c r="Z160" s="7">
        <v>10</v>
      </c>
      <c r="AA160" s="7">
        <v>10</v>
      </c>
      <c r="AB160" s="7">
        <v>99.847763507528796</v>
      </c>
      <c r="AC160" s="7">
        <v>100</v>
      </c>
      <c r="AD160" s="7">
        <v>100</v>
      </c>
      <c r="AE160" s="7">
        <v>100</v>
      </c>
      <c r="AF160" s="6">
        <v>12.5074530810586</v>
      </c>
      <c r="AG160" s="6">
        <v>1.4033159875996499</v>
      </c>
      <c r="AH160" s="6">
        <v>4.3760379760850299</v>
      </c>
      <c r="AI160" s="6">
        <v>7.2117471213463196</v>
      </c>
      <c r="AJ160" s="6">
        <v>8.4118550708591702</v>
      </c>
      <c r="AK160" s="6">
        <v>77.017825509300295</v>
      </c>
      <c r="AL160" s="6">
        <v>91.966065101860096</v>
      </c>
      <c r="AM160" s="6">
        <v>96.109665633303806</v>
      </c>
      <c r="AN160" s="6">
        <v>98.836082816651896</v>
      </c>
      <c r="AO160" s="6">
        <v>11.1348449606452</v>
      </c>
      <c r="AP160" s="7">
        <v>1.3320139503985799</v>
      </c>
      <c r="AQ160" s="7">
        <v>7.4849562666076199</v>
      </c>
      <c r="AR160" s="7">
        <v>9.6604157440212592</v>
      </c>
      <c r="AS160" s="7">
        <v>9.8506144818423405</v>
      </c>
      <c r="AT160" s="7">
        <v>77.990755093002704</v>
      </c>
      <c r="AU160" s="7">
        <v>97.695693091231206</v>
      </c>
      <c r="AV160" s="7">
        <v>99.847763507528796</v>
      </c>
      <c r="AW160" s="7">
        <v>100</v>
      </c>
      <c r="AX160" s="7">
        <v>9.4726129325487793</v>
      </c>
      <c r="AY160" s="7">
        <v>3.5385158325952202</v>
      </c>
      <c r="AZ160" s="7">
        <v>9.4036758193091199</v>
      </c>
      <c r="BA160" s="7">
        <v>9.9214321302037192</v>
      </c>
      <c r="BB160" s="7">
        <v>10</v>
      </c>
      <c r="BC160" s="7">
        <v>92.375719663418906</v>
      </c>
      <c r="BD160" s="7">
        <v>99.299712134632401</v>
      </c>
      <c r="BE160" s="7">
        <v>100</v>
      </c>
      <c r="BF160" s="7">
        <v>100</v>
      </c>
      <c r="BG160" s="7">
        <v>7.5773764163572501</v>
      </c>
      <c r="BH160" s="7">
        <v>9.0146008635960992</v>
      </c>
      <c r="BI160" s="7">
        <v>10</v>
      </c>
      <c r="BJ160" s="7">
        <v>10</v>
      </c>
      <c r="BK160" s="7">
        <v>10</v>
      </c>
      <c r="BL160" s="7">
        <v>99.629096545615596</v>
      </c>
      <c r="BM160" s="7">
        <v>100</v>
      </c>
      <c r="BN160" s="7">
        <v>100</v>
      </c>
      <c r="BO160" s="7">
        <v>100</v>
      </c>
      <c r="BP160" s="6">
        <v>13.3920129681863</v>
      </c>
      <c r="BQ160" s="6">
        <v>1.0959643489813999</v>
      </c>
      <c r="BR160" s="6">
        <v>3.40589016829052</v>
      </c>
      <c r="BS160" s="6">
        <v>6.5713989149690004</v>
      </c>
      <c r="BT160" s="6">
        <v>8.2851943091231206</v>
      </c>
      <c r="BU160" s="6">
        <v>70.950509300265693</v>
      </c>
      <c r="BV160" s="6">
        <v>90.983447741364003</v>
      </c>
      <c r="BW160" s="6">
        <v>99.147475642161197</v>
      </c>
      <c r="BX160" s="6">
        <v>99.299712134632401</v>
      </c>
      <c r="BY160" s="6" t="str">
        <f>TRIM(Table1[[#This Row],[LA_Name]])</f>
        <v>Wyre Forest</v>
      </c>
      <c r="BZ160" s="7">
        <v>25.580403704898998</v>
      </c>
      <c r="CA160" s="7">
        <v>9.7472874224977898E-2</v>
      </c>
      <c r="CB160" s="7">
        <v>0.75478852967227605</v>
      </c>
      <c r="CC160" s="7">
        <v>1.0788861824623599</v>
      </c>
      <c r="CD160" s="7">
        <v>2.4967061558901702</v>
      </c>
      <c r="CE160" s="7">
        <v>9.7472874224977897</v>
      </c>
      <c r="CF160" s="7">
        <v>75.478852967227596</v>
      </c>
      <c r="CG160" s="7">
        <v>96.648029229406504</v>
      </c>
      <c r="CH160" s="7">
        <v>98.348926040744004</v>
      </c>
      <c r="CI160" s="7">
        <v>20.705371591570199</v>
      </c>
      <c r="CJ160" s="7">
        <v>0.39429251550044297</v>
      </c>
      <c r="CK160" s="7">
        <v>0.79446689548272797</v>
      </c>
      <c r="CL160" s="7">
        <v>1.1586442648361399</v>
      </c>
      <c r="CM160" s="7">
        <v>2.3589182905225901</v>
      </c>
      <c r="CN160" s="7">
        <v>39.429251550044299</v>
      </c>
      <c r="CO160" s="7">
        <v>79.446689548272801</v>
      </c>
      <c r="CP160" s="7">
        <v>96.999557130203698</v>
      </c>
      <c r="CQ160" s="7">
        <v>100</v>
      </c>
      <c r="CR160" s="7">
        <v>12.3295246155205</v>
      </c>
      <c r="CS160" s="7">
        <v>0.75011071744906999</v>
      </c>
      <c r="CT160" s="7">
        <v>3.8833591674047798</v>
      </c>
      <c r="CU160" s="7">
        <v>9.8341175819309097</v>
      </c>
      <c r="CV160" s="7">
        <v>10</v>
      </c>
      <c r="CW160" s="7">
        <v>75.011071744906999</v>
      </c>
      <c r="CX160" s="7">
        <v>100</v>
      </c>
      <c r="CY160" s="7">
        <v>100</v>
      </c>
      <c r="CZ160" s="7">
        <v>100</v>
      </c>
      <c r="DA160" s="9">
        <v>49.205438318237498</v>
      </c>
      <c r="DB160" s="9">
        <v>8.6082816651904301E-2</v>
      </c>
      <c r="DC160" s="9">
        <v>0.36622564216120501</v>
      </c>
      <c r="DD160" s="9">
        <v>0.56204329052258595</v>
      </c>
      <c r="DE160" s="9">
        <v>0.61676538972542105</v>
      </c>
      <c r="DF160" s="9">
        <v>8.6082816651904306</v>
      </c>
      <c r="DG160" s="9">
        <v>36.622564216120502</v>
      </c>
      <c r="DH160" s="9">
        <v>56.204329052258601</v>
      </c>
      <c r="DI160" s="9">
        <v>61.676538972542097</v>
      </c>
    </row>
    <row r="161" spans="1:113">
      <c r="A161" s="5" t="s">
        <v>435</v>
      </c>
      <c r="B161" s="5" t="s">
        <v>436</v>
      </c>
      <c r="C161" s="5" t="s">
        <v>437</v>
      </c>
      <c r="D161" s="6">
        <v>122343</v>
      </c>
      <c r="E161" s="7">
        <v>9.9235844991294702</v>
      </c>
      <c r="F161" s="7">
        <v>2.3597426906320802</v>
      </c>
      <c r="G161" s="7">
        <v>8.3380168869489903</v>
      </c>
      <c r="H161" s="7">
        <v>9.6633399540635807</v>
      </c>
      <c r="I161" s="7">
        <v>9.8419934119647206</v>
      </c>
      <c r="J161" s="7">
        <v>82.477951333545803</v>
      </c>
      <c r="K161" s="7">
        <v>98.061188625422005</v>
      </c>
      <c r="L161" s="7">
        <v>98.845867765217506</v>
      </c>
      <c r="M161" s="7">
        <v>99.519384026875301</v>
      </c>
      <c r="N161" s="7">
        <v>9.4028170687677797</v>
      </c>
      <c r="O161" s="7">
        <v>5.6885804663936597</v>
      </c>
      <c r="P161" s="7">
        <v>9.1418879707053105</v>
      </c>
      <c r="Q161" s="7">
        <v>9.84680774543701</v>
      </c>
      <c r="R161" s="7">
        <v>10</v>
      </c>
      <c r="S161" s="7">
        <v>89.207392331396207</v>
      </c>
      <c r="T161" s="7">
        <v>99.090262622299605</v>
      </c>
      <c r="U161" s="7">
        <v>100</v>
      </c>
      <c r="V161" s="7">
        <v>100</v>
      </c>
      <c r="W161" s="7">
        <v>7.4050881462187297</v>
      </c>
      <c r="X161" s="7">
        <v>8.8185020802170904</v>
      </c>
      <c r="Y161" s="7">
        <v>10</v>
      </c>
      <c r="Z161" s="7">
        <v>10</v>
      </c>
      <c r="AA161" s="7">
        <v>10</v>
      </c>
      <c r="AB161" s="7">
        <v>98.863032621400507</v>
      </c>
      <c r="AC161" s="7">
        <v>100</v>
      </c>
      <c r="AD161" s="7">
        <v>100</v>
      </c>
      <c r="AE161" s="7">
        <v>100</v>
      </c>
      <c r="AF161" s="6">
        <v>13.2608487057782</v>
      </c>
      <c r="AG161" s="6">
        <v>1.97693370278643</v>
      </c>
      <c r="AH161" s="6">
        <v>6.0017982230287004</v>
      </c>
      <c r="AI161" s="6">
        <v>7.56112732236417</v>
      </c>
      <c r="AJ161" s="6">
        <v>8.3207212509093296</v>
      </c>
      <c r="AK161" s="6">
        <v>77.246757068242601</v>
      </c>
      <c r="AL161" s="6">
        <v>88.946649992234995</v>
      </c>
      <c r="AM161" s="6">
        <v>93.431581700628598</v>
      </c>
      <c r="AN161" s="6">
        <v>98.325200460999</v>
      </c>
      <c r="AO161" s="6">
        <v>11.5879142280331</v>
      </c>
      <c r="AP161" s="7">
        <v>2.06444994809674</v>
      </c>
      <c r="AQ161" s="7">
        <v>8.1469229951856708</v>
      </c>
      <c r="AR161" s="7">
        <v>9.6088619700350595</v>
      </c>
      <c r="AS161" s="7">
        <v>9.8202349133174796</v>
      </c>
      <c r="AT161" s="7">
        <v>75.620999975478796</v>
      </c>
      <c r="AU161" s="7">
        <v>94.834195663013006</v>
      </c>
      <c r="AV161" s="7">
        <v>99.246381076154705</v>
      </c>
      <c r="AW161" s="7">
        <v>100</v>
      </c>
      <c r="AX161" s="7">
        <v>10.5051849962268</v>
      </c>
      <c r="AY161" s="7">
        <v>5.0909410428058797</v>
      </c>
      <c r="AZ161" s="7">
        <v>9.0140179658828092</v>
      </c>
      <c r="BA161" s="7">
        <v>9.7524010364303599</v>
      </c>
      <c r="BB161" s="7">
        <v>10</v>
      </c>
      <c r="BC161" s="7">
        <v>83.542172416893493</v>
      </c>
      <c r="BD161" s="7">
        <v>98.281062259385493</v>
      </c>
      <c r="BE161" s="7">
        <v>100</v>
      </c>
      <c r="BF161" s="7">
        <v>100</v>
      </c>
      <c r="BG161" s="7">
        <v>7.9525297930324399</v>
      </c>
      <c r="BH161" s="7">
        <v>8.7332417874336894</v>
      </c>
      <c r="BI161" s="7">
        <v>10</v>
      </c>
      <c r="BJ161" s="7">
        <v>10</v>
      </c>
      <c r="BK161" s="7">
        <v>10</v>
      </c>
      <c r="BL161" s="7">
        <v>98.440450209656504</v>
      </c>
      <c r="BM161" s="7">
        <v>100</v>
      </c>
      <c r="BN161" s="7">
        <v>100</v>
      </c>
      <c r="BO161" s="7">
        <v>100</v>
      </c>
      <c r="BP161" s="6">
        <v>16.568875614943799</v>
      </c>
      <c r="BQ161" s="6">
        <v>1.67036119761654</v>
      </c>
      <c r="BR161" s="6">
        <v>5.0862983578954299</v>
      </c>
      <c r="BS161" s="6">
        <v>7.0954938165649004</v>
      </c>
      <c r="BT161" s="6">
        <v>8.1476831531023404</v>
      </c>
      <c r="BU161" s="6">
        <v>69.092633007201101</v>
      </c>
      <c r="BV161" s="6">
        <v>83.668865403006293</v>
      </c>
      <c r="BW161" s="6">
        <v>90.891182985540695</v>
      </c>
      <c r="BX161" s="6">
        <v>95.657291385694293</v>
      </c>
      <c r="BY161" s="6" t="str">
        <f>TRIM(Table1[[#This Row],[LA_Name]])</f>
        <v>Bedford</v>
      </c>
      <c r="BZ161" s="7">
        <v>30.574034732098799</v>
      </c>
      <c r="CA161" s="7">
        <v>0.10600524754174701</v>
      </c>
      <c r="CB161" s="7">
        <v>0.61421577041596198</v>
      </c>
      <c r="CC161" s="7">
        <v>1.2107517389634099</v>
      </c>
      <c r="CD161" s="7">
        <v>2.9116663805857299</v>
      </c>
      <c r="CE161" s="7">
        <v>10.6005247541747</v>
      </c>
      <c r="CF161" s="7">
        <v>58.801075664320798</v>
      </c>
      <c r="CG161" s="7">
        <v>88.471755637837902</v>
      </c>
      <c r="CH161" s="7">
        <v>94.241599437646599</v>
      </c>
      <c r="CI161" s="7">
        <v>23.0135831773799</v>
      </c>
      <c r="CJ161" s="7">
        <v>0.35977538559623401</v>
      </c>
      <c r="CK161" s="7">
        <v>0.81698993812478005</v>
      </c>
      <c r="CL161" s="7">
        <v>0.961534374667942</v>
      </c>
      <c r="CM161" s="7">
        <v>1.27625609965425</v>
      </c>
      <c r="CN161" s="7">
        <v>35.977538559623397</v>
      </c>
      <c r="CO161" s="7">
        <v>81.698993812477994</v>
      </c>
      <c r="CP161" s="7">
        <v>91.218950001226105</v>
      </c>
      <c r="CQ161" s="7">
        <v>94.773709979320401</v>
      </c>
      <c r="CR161" s="7">
        <v>14.3816655474394</v>
      </c>
      <c r="CS161" s="7">
        <v>0.61585869236490898</v>
      </c>
      <c r="CT161" s="7">
        <v>2.5974922962490701</v>
      </c>
      <c r="CU161" s="7">
        <v>9.8571230066288997</v>
      </c>
      <c r="CV161" s="7">
        <v>10</v>
      </c>
      <c r="CW161" s="7">
        <v>61.5858692364909</v>
      </c>
      <c r="CX161" s="7">
        <v>96.401101820292098</v>
      </c>
      <c r="CY161" s="7">
        <v>100</v>
      </c>
      <c r="CZ161" s="7">
        <v>100</v>
      </c>
      <c r="DA161" s="9">
        <v>51.842875481639901</v>
      </c>
      <c r="DB161" s="9">
        <v>7.6334567568230302E-2</v>
      </c>
      <c r="DC161" s="9">
        <v>0.32400709480722201</v>
      </c>
      <c r="DD161" s="9">
        <v>0.50705802538764</v>
      </c>
      <c r="DE161" s="9">
        <v>0.66775377422492499</v>
      </c>
      <c r="DF161" s="9">
        <v>7.6334567568230298</v>
      </c>
      <c r="DG161" s="9">
        <v>32.400709480722199</v>
      </c>
      <c r="DH161" s="9">
        <v>50.705802538763997</v>
      </c>
      <c r="DI161" s="9">
        <v>66.775377422492497</v>
      </c>
    </row>
    <row r="162" spans="1:113">
      <c r="A162" s="5" t="s">
        <v>435</v>
      </c>
      <c r="B162" s="5" t="s">
        <v>438</v>
      </c>
      <c r="C162" s="5" t="s">
        <v>439</v>
      </c>
      <c r="D162" s="6">
        <v>208128</v>
      </c>
      <c r="E162" s="7">
        <v>10.2473278334132</v>
      </c>
      <c r="F162" s="7">
        <v>1.94094499538745</v>
      </c>
      <c r="G162" s="7">
        <v>7.7049604089790904</v>
      </c>
      <c r="H162" s="7">
        <v>9.6612373154981608</v>
      </c>
      <c r="I162" s="7">
        <v>9.8671202337023391</v>
      </c>
      <c r="J162" s="7">
        <v>77.610412822878203</v>
      </c>
      <c r="K162" s="7">
        <v>98.399062115621206</v>
      </c>
      <c r="L162" s="7">
        <v>99.753997539975401</v>
      </c>
      <c r="M162" s="7">
        <v>100</v>
      </c>
      <c r="N162" s="7">
        <v>9.2761774940661397</v>
      </c>
      <c r="O162" s="7">
        <v>4.0301929581795797</v>
      </c>
      <c r="P162" s="7">
        <v>8.5284296202337</v>
      </c>
      <c r="Q162" s="7">
        <v>9.9988516682041801</v>
      </c>
      <c r="R162" s="7">
        <v>10</v>
      </c>
      <c r="S162" s="7">
        <v>89.865851783517797</v>
      </c>
      <c r="T162" s="7">
        <v>100</v>
      </c>
      <c r="U162" s="7">
        <v>100</v>
      </c>
      <c r="V162" s="7">
        <v>100</v>
      </c>
      <c r="W162" s="7">
        <v>7.2839374003260602</v>
      </c>
      <c r="X162" s="7">
        <v>8.64026464483395</v>
      </c>
      <c r="Y162" s="7">
        <v>10</v>
      </c>
      <c r="Z162" s="7">
        <v>10</v>
      </c>
      <c r="AA162" s="7">
        <v>10</v>
      </c>
      <c r="AB162" s="7">
        <v>99.846248462484596</v>
      </c>
      <c r="AC162" s="7">
        <v>100</v>
      </c>
      <c r="AD162" s="7">
        <v>100</v>
      </c>
      <c r="AE162" s="7">
        <v>100</v>
      </c>
      <c r="AF162" s="6">
        <v>13.1298299184258</v>
      </c>
      <c r="AG162" s="6">
        <v>1.5648879535670399</v>
      </c>
      <c r="AH162" s="6">
        <v>4.0388799200492</v>
      </c>
      <c r="AI162" s="6">
        <v>5.7068678889913897</v>
      </c>
      <c r="AJ162" s="6">
        <v>6.8307772140221399</v>
      </c>
      <c r="AK162" s="6">
        <v>72.032595325953295</v>
      </c>
      <c r="AL162" s="6">
        <v>89.194630227552295</v>
      </c>
      <c r="AM162" s="6">
        <v>96.028886070110701</v>
      </c>
      <c r="AN162" s="6">
        <v>99.189921586715897</v>
      </c>
      <c r="AO162" s="6">
        <v>12.5382538723736</v>
      </c>
      <c r="AP162" s="7">
        <v>1.34018969095941</v>
      </c>
      <c r="AQ162" s="7">
        <v>6.7668117696802002</v>
      </c>
      <c r="AR162" s="7">
        <v>9.5345124154366605</v>
      </c>
      <c r="AS162" s="7">
        <v>9.8449559886223899</v>
      </c>
      <c r="AT162" s="7">
        <v>67.846229243542396</v>
      </c>
      <c r="AU162" s="7">
        <v>97.883033517835202</v>
      </c>
      <c r="AV162" s="7">
        <v>99.588714637146396</v>
      </c>
      <c r="AW162" s="7">
        <v>99.760243696187004</v>
      </c>
      <c r="AX162" s="7">
        <v>11.1787181033365</v>
      </c>
      <c r="AY162" s="7">
        <v>2.9095028059655599</v>
      </c>
      <c r="AZ162" s="7">
        <v>7.9869359240467404</v>
      </c>
      <c r="BA162" s="7">
        <v>9.9835966328413299</v>
      </c>
      <c r="BB162" s="7">
        <v>10</v>
      </c>
      <c r="BC162" s="7">
        <v>79.443419434194297</v>
      </c>
      <c r="BD162" s="7">
        <v>99.128420971709701</v>
      </c>
      <c r="BE162" s="7">
        <v>100</v>
      </c>
      <c r="BF162" s="7">
        <v>100</v>
      </c>
      <c r="BG162" s="7">
        <v>8.1978336533355094</v>
      </c>
      <c r="BH162" s="7">
        <v>7.8032701030135296</v>
      </c>
      <c r="BI162" s="7">
        <v>10</v>
      </c>
      <c r="BJ162" s="7">
        <v>10</v>
      </c>
      <c r="BK162" s="7">
        <v>10</v>
      </c>
      <c r="BL162" s="7">
        <v>98.862238622386201</v>
      </c>
      <c r="BM162" s="7">
        <v>100</v>
      </c>
      <c r="BN162" s="7">
        <v>100</v>
      </c>
      <c r="BO162" s="7">
        <v>100</v>
      </c>
      <c r="BP162" s="6">
        <v>18.8318142699706</v>
      </c>
      <c r="BQ162" s="6">
        <v>1.01946398370234</v>
      </c>
      <c r="BR162" s="6">
        <v>2.8093528982164799</v>
      </c>
      <c r="BS162" s="6">
        <v>4.4998654674046703</v>
      </c>
      <c r="BT162" s="6">
        <v>5.9102763683886801</v>
      </c>
      <c r="BU162" s="6">
        <v>60.104358856088602</v>
      </c>
      <c r="BV162" s="6">
        <v>80.503824569495706</v>
      </c>
      <c r="BW162" s="6">
        <v>88.817938960639594</v>
      </c>
      <c r="BX162" s="6">
        <v>95.842462330873303</v>
      </c>
      <c r="BY162" s="6" t="str">
        <f>TRIM(Table1[[#This Row],[LA_Name]])</f>
        <v>Central Bedfordshire</v>
      </c>
      <c r="BZ162" s="7">
        <v>36.7956444177739</v>
      </c>
      <c r="CA162" s="7">
        <v>6.8015836408364103E-2</v>
      </c>
      <c r="CB162" s="7">
        <v>0.60631918819188202</v>
      </c>
      <c r="CC162" s="7">
        <v>2.5421183118081201</v>
      </c>
      <c r="CD162" s="7">
        <v>6.2943092712177098</v>
      </c>
      <c r="CE162" s="7">
        <v>6.8015836408364096</v>
      </c>
      <c r="CF162" s="7">
        <v>31.067900522755199</v>
      </c>
      <c r="CG162" s="7">
        <v>75.900407441574401</v>
      </c>
      <c r="CH162" s="7">
        <v>95.708890682656801</v>
      </c>
      <c r="CI162" s="7">
        <v>40.924245591957003</v>
      </c>
      <c r="CJ162" s="7">
        <v>0.193971978782288</v>
      </c>
      <c r="CK162" s="7">
        <v>0.86611604397293995</v>
      </c>
      <c r="CL162" s="7">
        <v>1.9839521832718301</v>
      </c>
      <c r="CM162" s="7">
        <v>3.8515913284132801</v>
      </c>
      <c r="CN162" s="7">
        <v>17.0707449261993</v>
      </c>
      <c r="CO162" s="7">
        <v>31.088080412054101</v>
      </c>
      <c r="CP162" s="7">
        <v>48.179005227552302</v>
      </c>
      <c r="CQ162" s="7">
        <v>87.288111162361602</v>
      </c>
      <c r="CR162" s="7">
        <v>18.876663679561702</v>
      </c>
      <c r="CS162" s="7">
        <v>0.55743580873308696</v>
      </c>
      <c r="CT162" s="7">
        <v>7.1848477859778601</v>
      </c>
      <c r="CU162" s="7">
        <v>10</v>
      </c>
      <c r="CV162" s="7">
        <v>10</v>
      </c>
      <c r="CW162" s="7">
        <v>28.414245079950799</v>
      </c>
      <c r="CX162" s="7">
        <v>97.547662976629795</v>
      </c>
      <c r="CY162" s="7">
        <v>100</v>
      </c>
      <c r="CZ162" s="7">
        <v>100</v>
      </c>
      <c r="DA162" s="9">
        <v>90.117305497985797</v>
      </c>
      <c r="DB162" s="9">
        <v>5.9424969249692497E-2</v>
      </c>
      <c r="DC162" s="9">
        <v>0.19921875</v>
      </c>
      <c r="DD162" s="9">
        <v>0.43804773985239898</v>
      </c>
      <c r="DE162" s="9">
        <v>0.64166762761377605</v>
      </c>
      <c r="DF162" s="9">
        <v>5.9424969249692499</v>
      </c>
      <c r="DG162" s="9">
        <v>17.4267758302583</v>
      </c>
      <c r="DH162" s="9">
        <v>24.5238507072571</v>
      </c>
      <c r="DI162" s="9">
        <v>26.506284594095899</v>
      </c>
    </row>
    <row r="163" spans="1:113">
      <c r="A163" s="5" t="s">
        <v>435</v>
      </c>
      <c r="B163" s="5" t="s">
        <v>440</v>
      </c>
      <c r="C163" s="5" t="s">
        <v>441</v>
      </c>
      <c r="D163" s="6">
        <v>147967</v>
      </c>
      <c r="E163" s="7">
        <v>6.3862229411216802</v>
      </c>
      <c r="F163" s="7">
        <v>4.2153520717457296</v>
      </c>
      <c r="G163" s="7">
        <v>10</v>
      </c>
      <c r="H163" s="7">
        <v>10</v>
      </c>
      <c r="I163" s="7">
        <v>10</v>
      </c>
      <c r="J163" s="7">
        <v>97.187210661836801</v>
      </c>
      <c r="K163" s="7">
        <v>100</v>
      </c>
      <c r="L163" s="7">
        <v>100</v>
      </c>
      <c r="M163" s="7">
        <v>100</v>
      </c>
      <c r="N163" s="7">
        <v>7.23897090985521</v>
      </c>
      <c r="O163" s="7">
        <v>9.5027134428622606</v>
      </c>
      <c r="P163" s="7">
        <v>10</v>
      </c>
      <c r="Q163" s="7">
        <v>10</v>
      </c>
      <c r="R163" s="7">
        <v>10</v>
      </c>
      <c r="S163" s="7">
        <v>99.766164077125296</v>
      </c>
      <c r="T163" s="7">
        <v>100</v>
      </c>
      <c r="U163" s="7">
        <v>100</v>
      </c>
      <c r="V163" s="7">
        <v>100</v>
      </c>
      <c r="W163" s="7">
        <v>6.5117569463846499</v>
      </c>
      <c r="X163" s="7">
        <v>10</v>
      </c>
      <c r="Y163" s="7">
        <v>10</v>
      </c>
      <c r="Z163" s="7">
        <v>10</v>
      </c>
      <c r="AA163" s="7">
        <v>10</v>
      </c>
      <c r="AB163" s="7">
        <v>100</v>
      </c>
      <c r="AC163" s="7">
        <v>100</v>
      </c>
      <c r="AD163" s="7">
        <v>100</v>
      </c>
      <c r="AE163" s="7">
        <v>100</v>
      </c>
      <c r="AF163" s="6">
        <v>6.4437457025991698</v>
      </c>
      <c r="AG163" s="6">
        <v>3.5653152392087399</v>
      </c>
      <c r="AH163" s="6">
        <v>9.6198949765826196</v>
      </c>
      <c r="AI163" s="6">
        <v>10</v>
      </c>
      <c r="AJ163" s="6">
        <v>10</v>
      </c>
      <c r="AK163" s="6">
        <v>97.0608311312658</v>
      </c>
      <c r="AL163" s="6">
        <v>100</v>
      </c>
      <c r="AM163" s="6">
        <v>100</v>
      </c>
      <c r="AN163" s="6">
        <v>100</v>
      </c>
      <c r="AO163" s="6">
        <v>8.6765151738531792</v>
      </c>
      <c r="AP163" s="7">
        <v>2.4612244622111699</v>
      </c>
      <c r="AQ163" s="7">
        <v>9.3447187548574995</v>
      </c>
      <c r="AR163" s="7">
        <v>10</v>
      </c>
      <c r="AS163" s="7">
        <v>10</v>
      </c>
      <c r="AT163" s="7">
        <v>90.8743165705867</v>
      </c>
      <c r="AU163" s="7">
        <v>100</v>
      </c>
      <c r="AV163" s="7">
        <v>100</v>
      </c>
      <c r="AW163" s="7">
        <v>100</v>
      </c>
      <c r="AX163" s="7">
        <v>8.2149774030176097</v>
      </c>
      <c r="AY163" s="7">
        <v>7.0034805057884499</v>
      </c>
      <c r="AZ163" s="7">
        <v>10</v>
      </c>
      <c r="BA163" s="7">
        <v>10</v>
      </c>
      <c r="BB163" s="7">
        <v>10</v>
      </c>
      <c r="BC163" s="7">
        <v>100</v>
      </c>
      <c r="BD163" s="7">
        <v>100</v>
      </c>
      <c r="BE163" s="7">
        <v>100</v>
      </c>
      <c r="BF163" s="7">
        <v>100</v>
      </c>
      <c r="BG163" s="7">
        <v>7.0810750480022602</v>
      </c>
      <c r="BH163" s="7">
        <v>9.8813586813275904</v>
      </c>
      <c r="BI163" s="7">
        <v>10</v>
      </c>
      <c r="BJ163" s="7">
        <v>10</v>
      </c>
      <c r="BK163" s="7">
        <v>10</v>
      </c>
      <c r="BL163" s="7">
        <v>100</v>
      </c>
      <c r="BM163" s="7">
        <v>100</v>
      </c>
      <c r="BN163" s="7">
        <v>100</v>
      </c>
      <c r="BO163" s="7">
        <v>100</v>
      </c>
      <c r="BP163" s="6">
        <v>9.0844510727833292</v>
      </c>
      <c r="BQ163" s="6">
        <v>2.0619597612981302</v>
      </c>
      <c r="BR163" s="6">
        <v>6.9180560530388497</v>
      </c>
      <c r="BS163" s="6">
        <v>9.3380145572999407</v>
      </c>
      <c r="BT163" s="6">
        <v>9.9722167780653805</v>
      </c>
      <c r="BU163" s="6">
        <v>84.840538768779496</v>
      </c>
      <c r="BV163" s="6">
        <v>100</v>
      </c>
      <c r="BW163" s="6">
        <v>100</v>
      </c>
      <c r="BX163" s="6">
        <v>100</v>
      </c>
      <c r="BY163" s="6" t="str">
        <f>TRIM(Table1[[#This Row],[LA_Name]])</f>
        <v>Luton</v>
      </c>
      <c r="BZ163" s="7">
        <v>18.1084399601861</v>
      </c>
      <c r="CA163" s="7">
        <v>0.42432434258990198</v>
      </c>
      <c r="CB163" s="7">
        <v>2.7967722532726902</v>
      </c>
      <c r="CC163" s="7">
        <v>7.3352909770421801</v>
      </c>
      <c r="CD163" s="7">
        <v>9.9008224806882605</v>
      </c>
      <c r="CE163" s="7">
        <v>32.9242331060304</v>
      </c>
      <c r="CF163" s="7">
        <v>92.651064088614305</v>
      </c>
      <c r="CG163" s="7">
        <v>100</v>
      </c>
      <c r="CH163" s="7">
        <v>100</v>
      </c>
      <c r="CI163" s="7">
        <v>13.0503667672173</v>
      </c>
      <c r="CJ163" s="7">
        <v>1.3465772773658999</v>
      </c>
      <c r="CK163" s="7">
        <v>5.0204369893287</v>
      </c>
      <c r="CL163" s="7">
        <v>7.6506450762670104</v>
      </c>
      <c r="CM163" s="7">
        <v>9.3439550710631405</v>
      </c>
      <c r="CN163" s="7">
        <v>71.876161576567696</v>
      </c>
      <c r="CO163" s="7">
        <v>100</v>
      </c>
      <c r="CP163" s="7">
        <v>100</v>
      </c>
      <c r="CQ163" s="7">
        <v>100</v>
      </c>
      <c r="CR163" s="7">
        <v>10.1047161840262</v>
      </c>
      <c r="CS163" s="7">
        <v>3.26444409902208</v>
      </c>
      <c r="CT163" s="7">
        <v>9.6160360080288196</v>
      </c>
      <c r="CU163" s="7">
        <v>10</v>
      </c>
      <c r="CV163" s="7">
        <v>10</v>
      </c>
      <c r="CW163" s="7">
        <v>92.996411361992898</v>
      </c>
      <c r="CX163" s="7">
        <v>100</v>
      </c>
      <c r="CY163" s="7">
        <v>100</v>
      </c>
      <c r="CZ163" s="7">
        <v>100</v>
      </c>
      <c r="DA163" s="9">
        <v>24.8757786721347</v>
      </c>
      <c r="DB163" s="9">
        <v>0.35526164617786399</v>
      </c>
      <c r="DC163" s="9">
        <v>1.21206755560361</v>
      </c>
      <c r="DD163" s="9">
        <v>2.3014185595436798</v>
      </c>
      <c r="DE163" s="9">
        <v>3.5437158285293302</v>
      </c>
      <c r="DF163" s="9">
        <v>26.186244230132399</v>
      </c>
      <c r="DG163" s="9">
        <v>70.346766508748601</v>
      </c>
      <c r="DH163" s="9">
        <v>88.5859684929748</v>
      </c>
      <c r="DI163" s="9">
        <v>97.849520501192799</v>
      </c>
    </row>
    <row r="164" spans="1:113">
      <c r="A164" s="5" t="s">
        <v>435</v>
      </c>
      <c r="B164" s="5" t="s">
        <v>442</v>
      </c>
      <c r="C164" s="5" t="s">
        <v>443</v>
      </c>
      <c r="D164" s="6">
        <v>141243</v>
      </c>
      <c r="E164" s="7">
        <v>8.2864214200032293</v>
      </c>
      <c r="F164" s="7">
        <v>2.5282102475874901</v>
      </c>
      <c r="G164" s="7">
        <v>8.7973492491663308</v>
      </c>
      <c r="H164" s="7">
        <v>9.8189998796400495</v>
      </c>
      <c r="I164" s="7">
        <v>9.9381349872206108</v>
      </c>
      <c r="J164" s="7">
        <v>89.830292474671296</v>
      </c>
      <c r="K164" s="7">
        <v>99.061192413075304</v>
      </c>
      <c r="L164" s="7">
        <v>99.737332115573906</v>
      </c>
      <c r="M164" s="7">
        <v>100</v>
      </c>
      <c r="N164" s="7">
        <v>8.2631884063067407</v>
      </c>
      <c r="O164" s="7">
        <v>6.0010619995327197</v>
      </c>
      <c r="P164" s="7">
        <v>9.6611442690965195</v>
      </c>
      <c r="Q164" s="7">
        <v>9.9845514467973597</v>
      </c>
      <c r="R164" s="7">
        <v>10</v>
      </c>
      <c r="S164" s="7">
        <v>97.211189227076702</v>
      </c>
      <c r="T164" s="7">
        <v>99.909376039874502</v>
      </c>
      <c r="U164" s="7">
        <v>100</v>
      </c>
      <c r="V164" s="7">
        <v>100</v>
      </c>
      <c r="W164" s="7">
        <v>6.9790633753650297</v>
      </c>
      <c r="X164" s="7">
        <v>9.7323761177545105</v>
      </c>
      <c r="Y164" s="7">
        <v>10</v>
      </c>
      <c r="Z164" s="7">
        <v>10</v>
      </c>
      <c r="AA164" s="7">
        <v>10</v>
      </c>
      <c r="AB164" s="7">
        <v>100</v>
      </c>
      <c r="AC164" s="7">
        <v>100</v>
      </c>
      <c r="AD164" s="7">
        <v>100</v>
      </c>
      <c r="AE164" s="7">
        <v>100</v>
      </c>
      <c r="AF164" s="6">
        <v>9.1790966726234196</v>
      </c>
      <c r="AG164" s="6">
        <v>2.1700473651791601</v>
      </c>
      <c r="AH164" s="6">
        <v>6.3166103806914302</v>
      </c>
      <c r="AI164" s="6">
        <v>8.6890394568226395</v>
      </c>
      <c r="AJ164" s="6">
        <v>9.3102313034982291</v>
      </c>
      <c r="AK164" s="6">
        <v>87.8089533640605</v>
      </c>
      <c r="AL164" s="6">
        <v>97.211189227076702</v>
      </c>
      <c r="AM164" s="6">
        <v>98.681704580049995</v>
      </c>
      <c r="AN164" s="6">
        <v>99.356428283171596</v>
      </c>
      <c r="AO164" s="6">
        <v>11.106145874960401</v>
      </c>
      <c r="AP164" s="7">
        <v>1.62490176504322</v>
      </c>
      <c r="AQ164" s="7">
        <v>7.8239912774438398</v>
      </c>
      <c r="AR164" s="7">
        <v>9.70091969159534</v>
      </c>
      <c r="AS164" s="7">
        <v>9.8740114554349603</v>
      </c>
      <c r="AT164" s="7">
        <v>77.443837924711303</v>
      </c>
      <c r="AU164" s="7">
        <v>96.775061418972996</v>
      </c>
      <c r="AV164" s="7">
        <v>99.410236259496003</v>
      </c>
      <c r="AW164" s="7">
        <v>99.553960196257506</v>
      </c>
      <c r="AX164" s="7">
        <v>9.9374988809317895</v>
      </c>
      <c r="AY164" s="7">
        <v>4.7361001961159097</v>
      </c>
      <c r="AZ164" s="7">
        <v>9.4451831241194295</v>
      </c>
      <c r="BA164" s="7">
        <v>9.8533449445282209</v>
      </c>
      <c r="BB164" s="7">
        <v>10</v>
      </c>
      <c r="BC164" s="7">
        <v>89.792768491181903</v>
      </c>
      <c r="BD164" s="7">
        <v>98.253364768519504</v>
      </c>
      <c r="BE164" s="7">
        <v>99.810256083487303</v>
      </c>
      <c r="BF164" s="7">
        <v>100</v>
      </c>
      <c r="BG164" s="7">
        <v>7.6965245011633598</v>
      </c>
      <c r="BH164" s="7">
        <v>9.4536366403998802</v>
      </c>
      <c r="BI164" s="7">
        <v>10</v>
      </c>
      <c r="BJ164" s="7">
        <v>10</v>
      </c>
      <c r="BK164" s="7">
        <v>10</v>
      </c>
      <c r="BL164" s="7">
        <v>98.451604681293901</v>
      </c>
      <c r="BM164" s="7">
        <v>100</v>
      </c>
      <c r="BN164" s="7">
        <v>100</v>
      </c>
      <c r="BO164" s="7">
        <v>100</v>
      </c>
      <c r="BP164" s="6">
        <v>14.356941063187101</v>
      </c>
      <c r="BQ164" s="6">
        <v>1.34927748631791</v>
      </c>
      <c r="BR164" s="6">
        <v>4.8573026627868297</v>
      </c>
      <c r="BS164" s="6">
        <v>7.74061015413153</v>
      </c>
      <c r="BT164" s="6">
        <v>8.8926247672451009</v>
      </c>
      <c r="BU164" s="6">
        <v>72.866619938687194</v>
      </c>
      <c r="BV164" s="6">
        <v>89.792768491181903</v>
      </c>
      <c r="BW164" s="6">
        <v>93.991206643869106</v>
      </c>
      <c r="BX164" s="6">
        <v>96.479117549188302</v>
      </c>
      <c r="BY164" s="6" t="str">
        <f>TRIM(Table1[[#This Row],[LA_Name]])</f>
        <v>Peterborough</v>
      </c>
      <c r="BZ164" s="7">
        <v>24.151520776285299</v>
      </c>
      <c r="CA164" s="7">
        <v>0.19200243551892801</v>
      </c>
      <c r="CB164" s="7">
        <v>1.34281344916208</v>
      </c>
      <c r="CC164" s="7">
        <v>2.9438768646941802</v>
      </c>
      <c r="CD164" s="7">
        <v>4.8113251630169298</v>
      </c>
      <c r="CE164" s="7">
        <v>17.552728276799598</v>
      </c>
      <c r="CF164" s="7">
        <v>75.390638828118895</v>
      </c>
      <c r="CG164" s="7">
        <v>96.367961598096898</v>
      </c>
      <c r="CH164" s="7">
        <v>99.182968359493898</v>
      </c>
      <c r="CI164" s="7">
        <v>18.9105735717581</v>
      </c>
      <c r="CJ164" s="7">
        <v>0.66908094560438403</v>
      </c>
      <c r="CK164" s="7">
        <v>2.5889212208746599</v>
      </c>
      <c r="CL164" s="7">
        <v>3.5968154174012201</v>
      </c>
      <c r="CM164" s="7">
        <v>3.8727653759832301</v>
      </c>
      <c r="CN164" s="7">
        <v>40.8777780137777</v>
      </c>
      <c r="CO164" s="7">
        <v>90.628916123276895</v>
      </c>
      <c r="CP164" s="7">
        <v>95.217462104316695</v>
      </c>
      <c r="CQ164" s="7">
        <v>99.747244111212595</v>
      </c>
      <c r="CR164" s="7">
        <v>11.7635871574616</v>
      </c>
      <c r="CS164" s="7">
        <v>2.0495033382185301</v>
      </c>
      <c r="CT164" s="7">
        <v>4.7831042954341099</v>
      </c>
      <c r="CU164" s="7">
        <v>8.3438683686979207</v>
      </c>
      <c r="CV164" s="7">
        <v>10</v>
      </c>
      <c r="CW164" s="7">
        <v>84.351082885523496</v>
      </c>
      <c r="CX164" s="7">
        <v>100</v>
      </c>
      <c r="CY164" s="7">
        <v>100</v>
      </c>
      <c r="CZ164" s="7">
        <v>100</v>
      </c>
      <c r="DA164" s="9">
        <v>40.6231953069436</v>
      </c>
      <c r="DB164" s="9">
        <v>0.16967212534426501</v>
      </c>
      <c r="DC164" s="9">
        <v>0.65935302988466704</v>
      </c>
      <c r="DD164" s="9">
        <v>1.2908604320214101</v>
      </c>
      <c r="DE164" s="9">
        <v>1.9600263375884099</v>
      </c>
      <c r="DF164" s="9">
        <v>15.9356569883109</v>
      </c>
      <c r="DG164" s="9">
        <v>42.989741084513902</v>
      </c>
      <c r="DH164" s="9">
        <v>65.939550986597595</v>
      </c>
      <c r="DI164" s="9">
        <v>81.546696119453699</v>
      </c>
    </row>
    <row r="165" spans="1:113">
      <c r="A165" s="5" t="s">
        <v>435</v>
      </c>
      <c r="B165" s="5" t="s">
        <v>444</v>
      </c>
      <c r="C165" s="5" t="s">
        <v>445</v>
      </c>
      <c r="D165" s="6">
        <v>130360</v>
      </c>
      <c r="E165" s="7">
        <v>5.8848667533892796</v>
      </c>
      <c r="F165" s="7">
        <v>5.0607778459650197</v>
      </c>
      <c r="G165" s="7">
        <v>10</v>
      </c>
      <c r="H165" s="7">
        <v>10</v>
      </c>
      <c r="I165" s="7">
        <v>10</v>
      </c>
      <c r="J165" s="7">
        <v>99.395520098189607</v>
      </c>
      <c r="K165" s="7">
        <v>100</v>
      </c>
      <c r="L165" s="7">
        <v>100</v>
      </c>
      <c r="M165" s="7">
        <v>100</v>
      </c>
      <c r="N165" s="7">
        <v>7.0137895032502904</v>
      </c>
      <c r="O165" s="7">
        <v>9.8655108929119404</v>
      </c>
      <c r="P165" s="7">
        <v>10</v>
      </c>
      <c r="Q165" s="7">
        <v>10</v>
      </c>
      <c r="R165" s="7">
        <v>10</v>
      </c>
      <c r="S165" s="7">
        <v>99.755293034673201</v>
      </c>
      <c r="T165" s="7">
        <v>100</v>
      </c>
      <c r="U165" s="7">
        <v>100</v>
      </c>
      <c r="V165" s="7">
        <v>100</v>
      </c>
      <c r="W165" s="7">
        <v>6.3450904369427397</v>
      </c>
      <c r="X165" s="7">
        <v>10</v>
      </c>
      <c r="Y165" s="7">
        <v>10</v>
      </c>
      <c r="Z165" s="7">
        <v>10</v>
      </c>
      <c r="AA165" s="7">
        <v>10</v>
      </c>
      <c r="AB165" s="7">
        <v>100</v>
      </c>
      <c r="AC165" s="7">
        <v>100</v>
      </c>
      <c r="AD165" s="7">
        <v>100</v>
      </c>
      <c r="AE165" s="7">
        <v>100</v>
      </c>
      <c r="AF165" s="6">
        <v>5.9201065473663101</v>
      </c>
      <c r="AG165" s="6">
        <v>4.2311061675360504</v>
      </c>
      <c r="AH165" s="6">
        <v>9.7978367597422498</v>
      </c>
      <c r="AI165" s="6">
        <v>10</v>
      </c>
      <c r="AJ165" s="6">
        <v>10</v>
      </c>
      <c r="AK165" s="6">
        <v>98.745780914390906</v>
      </c>
      <c r="AL165" s="6">
        <v>100</v>
      </c>
      <c r="AM165" s="6">
        <v>100</v>
      </c>
      <c r="AN165" s="6">
        <v>100</v>
      </c>
      <c r="AO165" s="6">
        <v>8.9073286131010594</v>
      </c>
      <c r="AP165" s="7">
        <v>2.8406949984657901</v>
      </c>
      <c r="AQ165" s="7">
        <v>9.6458499539736096</v>
      </c>
      <c r="AR165" s="7">
        <v>10</v>
      </c>
      <c r="AS165" s="7">
        <v>10</v>
      </c>
      <c r="AT165" s="7">
        <v>89.648665234734594</v>
      </c>
      <c r="AU165" s="7">
        <v>100</v>
      </c>
      <c r="AV165" s="7">
        <v>100</v>
      </c>
      <c r="AW165" s="7">
        <v>100</v>
      </c>
      <c r="AX165" s="7">
        <v>8.1169363203791995</v>
      </c>
      <c r="AY165" s="7">
        <v>7.1699140840748701</v>
      </c>
      <c r="AZ165" s="7">
        <v>9.8560831543418193</v>
      </c>
      <c r="BA165" s="7">
        <v>10</v>
      </c>
      <c r="BB165" s="7">
        <v>10</v>
      </c>
      <c r="BC165" s="7">
        <v>100</v>
      </c>
      <c r="BD165" s="7">
        <v>100</v>
      </c>
      <c r="BE165" s="7">
        <v>100</v>
      </c>
      <c r="BF165" s="7">
        <v>100</v>
      </c>
      <c r="BG165" s="7">
        <v>6.9986728303232804</v>
      </c>
      <c r="BH165" s="7">
        <v>9.6910095121202797</v>
      </c>
      <c r="BI165" s="7">
        <v>10</v>
      </c>
      <c r="BJ165" s="7">
        <v>10</v>
      </c>
      <c r="BK165" s="7">
        <v>10</v>
      </c>
      <c r="BL165" s="7">
        <v>100</v>
      </c>
      <c r="BM165" s="7">
        <v>100</v>
      </c>
      <c r="BN165" s="7">
        <v>100</v>
      </c>
      <c r="BO165" s="7">
        <v>100</v>
      </c>
      <c r="BP165" s="6">
        <v>9.2593792428100503</v>
      </c>
      <c r="BQ165" s="6">
        <v>2.2683031604786699</v>
      </c>
      <c r="BR165" s="6">
        <v>6.8179349493709704</v>
      </c>
      <c r="BS165" s="6">
        <v>8.8850030684259007</v>
      </c>
      <c r="BT165" s="6">
        <v>9.4020558453513292</v>
      </c>
      <c r="BU165" s="6">
        <v>85.516262657256803</v>
      </c>
      <c r="BV165" s="6">
        <v>100</v>
      </c>
      <c r="BW165" s="6">
        <v>100</v>
      </c>
      <c r="BX165" s="6">
        <v>100</v>
      </c>
      <c r="BY165" s="6" t="str">
        <f>TRIM(Table1[[#This Row],[LA_Name]])</f>
        <v>Southend-on-Sea</v>
      </c>
      <c r="BZ165" s="7">
        <v>17.991375663940499</v>
      </c>
      <c r="CA165" s="7">
        <v>0.36936943847806097</v>
      </c>
      <c r="CB165" s="7">
        <v>2.33177355016876</v>
      </c>
      <c r="CC165" s="7">
        <v>4.0849953973611504</v>
      </c>
      <c r="CD165" s="7">
        <v>6.3307916538815601</v>
      </c>
      <c r="CE165" s="7">
        <v>28.476526541883999</v>
      </c>
      <c r="CF165" s="7">
        <v>98.061521939245196</v>
      </c>
      <c r="CG165" s="7">
        <v>100</v>
      </c>
      <c r="CH165" s="7">
        <v>100</v>
      </c>
      <c r="CI165" s="7">
        <v>14.332289438117501</v>
      </c>
      <c r="CJ165" s="7">
        <v>1.16584841976066</v>
      </c>
      <c r="CK165" s="7">
        <v>2.7011123043878502</v>
      </c>
      <c r="CL165" s="7">
        <v>2.9975529303467301</v>
      </c>
      <c r="CM165" s="7">
        <v>3.1601718318502598</v>
      </c>
      <c r="CN165" s="7">
        <v>66.462872046640101</v>
      </c>
      <c r="CO165" s="7">
        <v>98.728137465480202</v>
      </c>
      <c r="CP165" s="7">
        <v>100</v>
      </c>
      <c r="CQ165" s="7">
        <v>100</v>
      </c>
      <c r="CR165" s="7">
        <v>10.272355631536101</v>
      </c>
      <c r="CS165" s="7">
        <v>2.1504295796256501</v>
      </c>
      <c r="CT165" s="7">
        <v>3.85040656643142</v>
      </c>
      <c r="CU165" s="7">
        <v>8.3777462411782793</v>
      </c>
      <c r="CV165" s="7">
        <v>10</v>
      </c>
      <c r="CW165" s="7">
        <v>92.874347959496802</v>
      </c>
      <c r="CX165" s="7">
        <v>100</v>
      </c>
      <c r="CY165" s="7">
        <v>100</v>
      </c>
      <c r="CZ165" s="7">
        <v>100</v>
      </c>
      <c r="DA165" s="9">
        <v>30.033690813679399</v>
      </c>
      <c r="DB165" s="9">
        <v>0.285670451058607</v>
      </c>
      <c r="DC165" s="9">
        <v>1.0366370052163201</v>
      </c>
      <c r="DD165" s="9">
        <v>1.6355400429579601</v>
      </c>
      <c r="DE165" s="9">
        <v>2.1278076096962302</v>
      </c>
      <c r="DF165" s="9">
        <v>20.9657870512427</v>
      </c>
      <c r="DG165" s="9">
        <v>62.292881251917798</v>
      </c>
      <c r="DH165" s="9">
        <v>79.311905492482396</v>
      </c>
      <c r="DI165" s="9">
        <v>89.9792881251918</v>
      </c>
    </row>
    <row r="166" spans="1:113">
      <c r="A166" s="5" t="s">
        <v>435</v>
      </c>
      <c r="B166" s="5" t="s">
        <v>446</v>
      </c>
      <c r="C166" s="5" t="s">
        <v>447</v>
      </c>
      <c r="D166" s="6">
        <v>123482</v>
      </c>
      <c r="E166" s="7">
        <v>6.9443940818335701</v>
      </c>
      <c r="F166" s="7">
        <v>3.36168834324031</v>
      </c>
      <c r="G166" s="7">
        <v>9.5981357606776694</v>
      </c>
      <c r="H166" s="7">
        <v>9.9321925462820495</v>
      </c>
      <c r="I166" s="7">
        <v>9.9903305744966904</v>
      </c>
      <c r="J166" s="7">
        <v>94.859979592167306</v>
      </c>
      <c r="K166" s="7">
        <v>99.223368588134306</v>
      </c>
      <c r="L166" s="7">
        <v>100</v>
      </c>
      <c r="M166" s="7">
        <v>100</v>
      </c>
      <c r="N166" s="7">
        <v>7.5887573196304103</v>
      </c>
      <c r="O166" s="7">
        <v>6.7763074780129902</v>
      </c>
      <c r="P166" s="7">
        <v>9.9534021152880605</v>
      </c>
      <c r="Q166" s="7">
        <v>10</v>
      </c>
      <c r="R166" s="7">
        <v>10</v>
      </c>
      <c r="S166" s="7">
        <v>98.313924296658598</v>
      </c>
      <c r="T166" s="7">
        <v>100</v>
      </c>
      <c r="U166" s="7">
        <v>100</v>
      </c>
      <c r="V166" s="7">
        <v>100</v>
      </c>
      <c r="W166" s="7">
        <v>6.5242393074970799</v>
      </c>
      <c r="X166" s="7">
        <v>9.7863170340616392</v>
      </c>
      <c r="Y166" s="7">
        <v>10</v>
      </c>
      <c r="Z166" s="7">
        <v>10</v>
      </c>
      <c r="AA166" s="7">
        <v>10</v>
      </c>
      <c r="AB166" s="7">
        <v>100</v>
      </c>
      <c r="AC166" s="7">
        <v>100</v>
      </c>
      <c r="AD166" s="7">
        <v>100</v>
      </c>
      <c r="AE166" s="7">
        <v>100</v>
      </c>
      <c r="AF166" s="6">
        <v>7.4824791246257698</v>
      </c>
      <c r="AG166" s="6">
        <v>2.6957532271910098</v>
      </c>
      <c r="AH166" s="6">
        <v>6.7376378743460599</v>
      </c>
      <c r="AI166" s="6">
        <v>8.66230705689898</v>
      </c>
      <c r="AJ166" s="6">
        <v>9.4861275327578092</v>
      </c>
      <c r="AK166" s="6">
        <v>92.072528789621202</v>
      </c>
      <c r="AL166" s="6">
        <v>98.689687565799105</v>
      </c>
      <c r="AM166" s="6">
        <v>99.384525679856196</v>
      </c>
      <c r="AN166" s="6">
        <v>99.824265884906296</v>
      </c>
      <c r="AO166" s="6">
        <v>11.6750964760719</v>
      </c>
      <c r="AP166" s="7">
        <v>1.2276688100289901</v>
      </c>
      <c r="AQ166" s="7">
        <v>7.6820508252214896</v>
      </c>
      <c r="AR166" s="7">
        <v>9.9534588037122802</v>
      </c>
      <c r="AS166" s="7">
        <v>9.9919421454139101</v>
      </c>
      <c r="AT166" s="7">
        <v>69.601237427317301</v>
      </c>
      <c r="AU166" s="7">
        <v>99.838842908278096</v>
      </c>
      <c r="AV166" s="7">
        <v>100</v>
      </c>
      <c r="AW166" s="7">
        <v>100</v>
      </c>
      <c r="AX166" s="7">
        <v>9.5824682155829208</v>
      </c>
      <c r="AY166" s="7">
        <v>3.0179378370936698</v>
      </c>
      <c r="AZ166" s="7">
        <v>9.3099318119240095</v>
      </c>
      <c r="BA166" s="7">
        <v>10</v>
      </c>
      <c r="BB166" s="7">
        <v>10</v>
      </c>
      <c r="BC166" s="7">
        <v>94.791143648466999</v>
      </c>
      <c r="BD166" s="7">
        <v>100</v>
      </c>
      <c r="BE166" s="7">
        <v>100</v>
      </c>
      <c r="BF166" s="7">
        <v>100</v>
      </c>
      <c r="BG166" s="7">
        <v>7.6291645794749199</v>
      </c>
      <c r="BH166" s="7">
        <v>8.2276040232584506</v>
      </c>
      <c r="BI166" s="7">
        <v>10</v>
      </c>
      <c r="BJ166" s="7">
        <v>10</v>
      </c>
      <c r="BK166" s="7">
        <v>10</v>
      </c>
      <c r="BL166" s="7">
        <v>100</v>
      </c>
      <c r="BM166" s="7">
        <v>100</v>
      </c>
      <c r="BN166" s="7">
        <v>100</v>
      </c>
      <c r="BO166" s="7">
        <v>100</v>
      </c>
      <c r="BP166" s="6">
        <v>13.295829599027901</v>
      </c>
      <c r="BQ166" s="6">
        <v>1.0260604784503</v>
      </c>
      <c r="BR166" s="6">
        <v>2.9494744173239802</v>
      </c>
      <c r="BS166" s="6">
        <v>5.0342641032701101</v>
      </c>
      <c r="BT166" s="6">
        <v>7.0396737986103197</v>
      </c>
      <c r="BU166" s="6">
        <v>61.8495003320322</v>
      </c>
      <c r="BV166" s="6">
        <v>97.440922563612503</v>
      </c>
      <c r="BW166" s="6">
        <v>100</v>
      </c>
      <c r="BX166" s="6">
        <v>100</v>
      </c>
      <c r="BY166" s="6" t="str">
        <f>TRIM(Table1[[#This Row],[LA_Name]])</f>
        <v>Thurrock</v>
      </c>
      <c r="BZ166" s="7">
        <v>27.925817393755899</v>
      </c>
      <c r="CA166" s="7">
        <v>8.3647819115336697E-2</v>
      </c>
      <c r="CB166" s="7">
        <v>0.86768111951539495</v>
      </c>
      <c r="CC166" s="7">
        <v>2.48788487390875</v>
      </c>
      <c r="CD166" s="7">
        <v>6.6324727490646396</v>
      </c>
      <c r="CE166" s="7">
        <v>5.8518650491569604</v>
      </c>
      <c r="CF166" s="7">
        <v>59.481543868742001</v>
      </c>
      <c r="CG166" s="7">
        <v>99.023339434087603</v>
      </c>
      <c r="CH166" s="7">
        <v>99.838842908278096</v>
      </c>
      <c r="CI166" s="7">
        <v>23.9894693021329</v>
      </c>
      <c r="CJ166" s="7">
        <v>0.20760920620009399</v>
      </c>
      <c r="CK166" s="7">
        <v>1.3955313325019001</v>
      </c>
      <c r="CL166" s="7">
        <v>2.83334413112842</v>
      </c>
      <c r="CM166" s="7">
        <v>4.7017298067734599</v>
      </c>
      <c r="CN166" s="7">
        <v>15.304254871155299</v>
      </c>
      <c r="CO166" s="7">
        <v>75.977875317860097</v>
      </c>
      <c r="CP166" s="7">
        <v>99.156962148329299</v>
      </c>
      <c r="CQ166" s="7">
        <v>100</v>
      </c>
      <c r="CR166" s="7">
        <v>13.4011882892401</v>
      </c>
      <c r="CS166" s="7">
        <v>1.1936233621094601</v>
      </c>
      <c r="CT166" s="7">
        <v>6.9206281077404004</v>
      </c>
      <c r="CU166" s="7">
        <v>10</v>
      </c>
      <c r="CV166" s="7">
        <v>10</v>
      </c>
      <c r="CW166" s="7">
        <v>72.547415817689995</v>
      </c>
      <c r="CX166" s="7">
        <v>100</v>
      </c>
      <c r="CY166" s="7">
        <v>100</v>
      </c>
      <c r="CZ166" s="7">
        <v>100</v>
      </c>
      <c r="DA166" s="9">
        <v>59.627088248328803</v>
      </c>
      <c r="DB166" s="9">
        <v>5.57652127435578E-2</v>
      </c>
      <c r="DC166" s="9">
        <v>0.18476377123791299</v>
      </c>
      <c r="DD166" s="9">
        <v>0.44221829902333898</v>
      </c>
      <c r="DE166" s="9">
        <v>0.804400641389028</v>
      </c>
      <c r="DF166" s="9">
        <v>4.2483924782559397</v>
      </c>
      <c r="DG166" s="9">
        <v>13.6295168526587</v>
      </c>
      <c r="DH166" s="9">
        <v>29.057676422474501</v>
      </c>
      <c r="DI166" s="9">
        <v>49.443643607975297</v>
      </c>
    </row>
    <row r="167" spans="1:113">
      <c r="A167" s="5" t="s">
        <v>435</v>
      </c>
      <c r="B167" s="5" t="s">
        <v>448</v>
      </c>
      <c r="C167" s="5" t="s">
        <v>449</v>
      </c>
      <c r="D167" s="6">
        <v>473524</v>
      </c>
      <c r="E167" s="7">
        <v>13.484748609713201</v>
      </c>
      <c r="F167" s="7">
        <v>1.53927150471782</v>
      </c>
      <c r="G167" s="7">
        <v>5.2438186871203998</v>
      </c>
      <c r="H167" s="7">
        <v>8.2042008430406899</v>
      </c>
      <c r="I167" s="7">
        <v>9.2347146079184999</v>
      </c>
      <c r="J167" s="7">
        <v>67.906167374832094</v>
      </c>
      <c r="K167" s="7">
        <v>93.640871423623693</v>
      </c>
      <c r="L167" s="7">
        <v>97.510157880065194</v>
      </c>
      <c r="M167" s="7">
        <v>98.405571840075694</v>
      </c>
      <c r="N167" s="7">
        <v>10.8157718472753</v>
      </c>
      <c r="O167" s="7">
        <v>3.5408532619254798</v>
      </c>
      <c r="P167" s="7">
        <v>6.8518258842212898</v>
      </c>
      <c r="Q167" s="7">
        <v>9.1091159054240105</v>
      </c>
      <c r="R167" s="7">
        <v>9.9338618528311091</v>
      </c>
      <c r="S167" s="7">
        <v>82.239548576207298</v>
      </c>
      <c r="T167" s="7">
        <v>98.081617827185099</v>
      </c>
      <c r="U167" s="7">
        <v>99.747214502327196</v>
      </c>
      <c r="V167" s="7">
        <v>100</v>
      </c>
      <c r="W167" s="7">
        <v>7.8822942395637297</v>
      </c>
      <c r="X167" s="7">
        <v>6.6493736325930701</v>
      </c>
      <c r="Y167" s="7">
        <v>10</v>
      </c>
      <c r="Z167" s="7">
        <v>10</v>
      </c>
      <c r="AA167" s="7">
        <v>10</v>
      </c>
      <c r="AB167" s="7">
        <v>98.055431192505594</v>
      </c>
      <c r="AC167" s="7">
        <v>100</v>
      </c>
      <c r="AD167" s="7">
        <v>100</v>
      </c>
      <c r="AE167" s="7">
        <v>100</v>
      </c>
      <c r="AF167" s="6">
        <v>18.171983701414401</v>
      </c>
      <c r="AG167" s="6">
        <v>1.39027800069268</v>
      </c>
      <c r="AH167" s="6">
        <v>3.4350993825022602</v>
      </c>
      <c r="AI167" s="6">
        <v>4.7579277924666998</v>
      </c>
      <c r="AJ167" s="6">
        <v>5.7894784636047998</v>
      </c>
      <c r="AK167" s="6">
        <v>64.696403983747402</v>
      </c>
      <c r="AL167" s="6">
        <v>81.682871406729106</v>
      </c>
      <c r="AM167" s="6">
        <v>89.504650239480995</v>
      </c>
      <c r="AN167" s="6">
        <v>93.979608214156002</v>
      </c>
      <c r="AO167" s="6">
        <v>13.6109938219216</v>
      </c>
      <c r="AP167" s="7">
        <v>1.3259201223169299</v>
      </c>
      <c r="AQ167" s="7">
        <v>5.1030739730193204</v>
      </c>
      <c r="AR167" s="7">
        <v>7.9973496591513804</v>
      </c>
      <c r="AS167" s="7">
        <v>9.1067168717952995</v>
      </c>
      <c r="AT167" s="7">
        <v>70.0046882523378</v>
      </c>
      <c r="AU167" s="7">
        <v>92.792551169528906</v>
      </c>
      <c r="AV167" s="7">
        <v>97.621451077453301</v>
      </c>
      <c r="AW167" s="7">
        <v>98.361645872226106</v>
      </c>
      <c r="AX167" s="7">
        <v>10.8050984739517</v>
      </c>
      <c r="AY167" s="7">
        <v>3.0792187935564002</v>
      </c>
      <c r="AZ167" s="7">
        <v>6.26551980469839</v>
      </c>
      <c r="BA167" s="7">
        <v>8.7614460935454197</v>
      </c>
      <c r="BB167" s="7">
        <v>9.7559975840717694</v>
      </c>
      <c r="BC167" s="7">
        <v>83.954350782642507</v>
      </c>
      <c r="BD167" s="7">
        <v>98.287520801479999</v>
      </c>
      <c r="BE167" s="7">
        <v>100</v>
      </c>
      <c r="BF167" s="7">
        <v>100</v>
      </c>
      <c r="BG167" s="7">
        <v>7.8785080800631002</v>
      </c>
      <c r="BH167" s="7">
        <v>6.0351872344379602</v>
      </c>
      <c r="BI167" s="7">
        <v>10</v>
      </c>
      <c r="BJ167" s="7">
        <v>10</v>
      </c>
      <c r="BK167" s="7">
        <v>10</v>
      </c>
      <c r="BL167" s="7">
        <v>98.042971422779004</v>
      </c>
      <c r="BM167" s="7">
        <v>100</v>
      </c>
      <c r="BN167" s="7">
        <v>100</v>
      </c>
      <c r="BO167" s="7">
        <v>100</v>
      </c>
      <c r="BP167" s="6">
        <v>18.110479328031001</v>
      </c>
      <c r="BQ167" s="6">
        <v>1.15587594293003</v>
      </c>
      <c r="BR167" s="6">
        <v>3.0174584603948298</v>
      </c>
      <c r="BS167" s="6">
        <v>4.2476643211326097</v>
      </c>
      <c r="BT167" s="6">
        <v>5.1166867994019301</v>
      </c>
      <c r="BU167" s="6">
        <v>65.102296821280405</v>
      </c>
      <c r="BV167" s="6">
        <v>82.9848117518859</v>
      </c>
      <c r="BW167" s="6">
        <v>89.009849553560102</v>
      </c>
      <c r="BX167" s="6">
        <v>93.572448281396504</v>
      </c>
      <c r="BY167" s="6" t="str">
        <f>TRIM(Table1[[#This Row],[LA_Name]])</f>
        <v>Cambridgeshire</v>
      </c>
      <c r="BZ167" s="7">
        <v>43.534705281432302</v>
      </c>
      <c r="CA167" s="7">
        <v>0.14817411577871401</v>
      </c>
      <c r="CB167" s="7">
        <v>0.84407548508628905</v>
      </c>
      <c r="CC167" s="7">
        <v>1.7556449092337501</v>
      </c>
      <c r="CD167" s="7">
        <v>2.9672392529206499</v>
      </c>
      <c r="CE167" s="7">
        <v>11.4680565293417</v>
      </c>
      <c r="CF167" s="7">
        <v>37.6014732093833</v>
      </c>
      <c r="CG167" s="7">
        <v>60.071084042202699</v>
      </c>
      <c r="CH167" s="7">
        <v>77.517295849840806</v>
      </c>
      <c r="CI167" s="7">
        <v>43.006154655105099</v>
      </c>
      <c r="CJ167" s="7">
        <v>0.45833579712960698</v>
      </c>
      <c r="CK167" s="7">
        <v>1.49590517059325</v>
      </c>
      <c r="CL167" s="7">
        <v>2.1381788462675599</v>
      </c>
      <c r="CM167" s="7">
        <v>2.82494657081795</v>
      </c>
      <c r="CN167" s="7">
        <v>25.6436843750264</v>
      </c>
      <c r="CO167" s="7">
        <v>42.386235966920403</v>
      </c>
      <c r="CP167" s="7">
        <v>56.742424882371303</v>
      </c>
      <c r="CQ167" s="7">
        <v>67.988739747087806</v>
      </c>
      <c r="CR167" s="7">
        <v>19.440278069056301</v>
      </c>
      <c r="CS167" s="7">
        <v>1.0008679602301001</v>
      </c>
      <c r="CT167" s="7">
        <v>3.4998099357160402</v>
      </c>
      <c r="CU167" s="7">
        <v>8.2095522085469792</v>
      </c>
      <c r="CV167" s="7">
        <v>9.7449928620302195</v>
      </c>
      <c r="CW167" s="7">
        <v>41.553965585693597</v>
      </c>
      <c r="CX167" s="7">
        <v>87.412676020645193</v>
      </c>
      <c r="CY167" s="7">
        <v>99.955229301999495</v>
      </c>
      <c r="CZ167" s="7">
        <v>100</v>
      </c>
      <c r="DA167" s="9">
        <v>79.433757491079703</v>
      </c>
      <c r="DB167" s="9">
        <v>0.128760105084431</v>
      </c>
      <c r="DC167" s="9">
        <v>0.440564786578927</v>
      </c>
      <c r="DD167" s="9">
        <v>0.80003759049171697</v>
      </c>
      <c r="DE167" s="9">
        <v>1.12999341110482</v>
      </c>
      <c r="DF167" s="9">
        <v>10.1553458747603</v>
      </c>
      <c r="DG167" s="9">
        <v>25.118473403671199</v>
      </c>
      <c r="DH167" s="9">
        <v>34.178415455182801</v>
      </c>
      <c r="DI167" s="9">
        <v>38.968457776163397</v>
      </c>
    </row>
    <row r="168" spans="1:113">
      <c r="A168" s="5" t="s">
        <v>435</v>
      </c>
      <c r="B168" s="5" t="s">
        <v>450</v>
      </c>
      <c r="C168" s="5" t="s">
        <v>451</v>
      </c>
      <c r="D168" s="6">
        <v>95128</v>
      </c>
      <c r="E168" s="7">
        <v>9.3575857348048395</v>
      </c>
      <c r="F168" s="7">
        <v>2.9368535026490599</v>
      </c>
      <c r="G168" s="7">
        <v>9.2082667563703602</v>
      </c>
      <c r="H168" s="7">
        <v>10</v>
      </c>
      <c r="I168" s="7">
        <v>10</v>
      </c>
      <c r="J168" s="7">
        <v>81.201118492977898</v>
      </c>
      <c r="K168" s="7">
        <v>100</v>
      </c>
      <c r="L168" s="7">
        <v>100</v>
      </c>
      <c r="M168" s="7">
        <v>100</v>
      </c>
      <c r="N168" s="7">
        <v>8.4272545209976393</v>
      </c>
      <c r="O168" s="7">
        <v>7.8794151038600599</v>
      </c>
      <c r="P168" s="7">
        <v>10</v>
      </c>
      <c r="Q168" s="7">
        <v>10</v>
      </c>
      <c r="R168" s="7">
        <v>10</v>
      </c>
      <c r="S168" s="7">
        <v>98.389538306282105</v>
      </c>
      <c r="T168" s="7">
        <v>100</v>
      </c>
      <c r="U168" s="7">
        <v>100</v>
      </c>
      <c r="V168" s="7">
        <v>100</v>
      </c>
      <c r="W168" s="7">
        <v>7.1607051571236999</v>
      </c>
      <c r="X168" s="7">
        <v>9.9213060297704203</v>
      </c>
      <c r="Y168" s="7">
        <v>10</v>
      </c>
      <c r="Z168" s="7">
        <v>10</v>
      </c>
      <c r="AA168" s="7">
        <v>10</v>
      </c>
      <c r="AB168" s="7">
        <v>100</v>
      </c>
      <c r="AC168" s="7">
        <v>100</v>
      </c>
      <c r="AD168" s="7">
        <v>100</v>
      </c>
      <c r="AE168" s="7">
        <v>100</v>
      </c>
      <c r="AF168" s="6">
        <v>9.9569280117123</v>
      </c>
      <c r="AG168" s="6">
        <v>2.6921095786729499</v>
      </c>
      <c r="AH168" s="6">
        <v>7.8248570347321502</v>
      </c>
      <c r="AI168" s="6">
        <v>9.5320095029854492</v>
      </c>
      <c r="AJ168" s="6">
        <v>9.9943339500462507</v>
      </c>
      <c r="AK168" s="6">
        <v>78.625641241274906</v>
      </c>
      <c r="AL168" s="6">
        <v>97.679968043057798</v>
      </c>
      <c r="AM168" s="6">
        <v>100</v>
      </c>
      <c r="AN168" s="6">
        <v>100</v>
      </c>
      <c r="AO168" s="6">
        <v>8.6211721058676503</v>
      </c>
      <c r="AP168" s="7">
        <v>2.5973635522664198</v>
      </c>
      <c r="AQ168" s="7">
        <v>9.5561033554789301</v>
      </c>
      <c r="AR168" s="7">
        <v>10</v>
      </c>
      <c r="AS168" s="7">
        <v>10</v>
      </c>
      <c r="AT168" s="7">
        <v>90.544319233033406</v>
      </c>
      <c r="AU168" s="7">
        <v>100</v>
      </c>
      <c r="AV168" s="7">
        <v>100</v>
      </c>
      <c r="AW168" s="7">
        <v>100</v>
      </c>
      <c r="AX168" s="7">
        <v>8.0776057699291908</v>
      </c>
      <c r="AY168" s="7">
        <v>7.4364014801110097</v>
      </c>
      <c r="AZ168" s="7">
        <v>10</v>
      </c>
      <c r="BA168" s="7">
        <v>10</v>
      </c>
      <c r="BB168" s="7">
        <v>10</v>
      </c>
      <c r="BC168" s="7">
        <v>99.649945336809395</v>
      </c>
      <c r="BD168" s="7">
        <v>100</v>
      </c>
      <c r="BE168" s="7">
        <v>100</v>
      </c>
      <c r="BF168" s="7">
        <v>100</v>
      </c>
      <c r="BG168" s="7">
        <v>7.0727313618094199</v>
      </c>
      <c r="BH168" s="7">
        <v>9.9813093936590693</v>
      </c>
      <c r="BI168" s="7">
        <v>10</v>
      </c>
      <c r="BJ168" s="7">
        <v>10</v>
      </c>
      <c r="BK168" s="7">
        <v>10</v>
      </c>
      <c r="BL168" s="7">
        <v>100</v>
      </c>
      <c r="BM168" s="7">
        <v>100</v>
      </c>
      <c r="BN168" s="7">
        <v>100</v>
      </c>
      <c r="BO168" s="7">
        <v>100</v>
      </c>
      <c r="BP168" s="6">
        <v>8.8141271648526693</v>
      </c>
      <c r="BQ168" s="6">
        <v>2.3642881170633299</v>
      </c>
      <c r="BR168" s="6">
        <v>7.4090173240265704</v>
      </c>
      <c r="BS168" s="6">
        <v>9.9355920444033305</v>
      </c>
      <c r="BT168" s="6">
        <v>10</v>
      </c>
      <c r="BU168" s="6">
        <v>88.230594567319798</v>
      </c>
      <c r="BV168" s="6">
        <v>100</v>
      </c>
      <c r="BW168" s="6">
        <v>100</v>
      </c>
      <c r="BX168" s="6">
        <v>100</v>
      </c>
      <c r="BY168" s="6" t="str">
        <f>TRIM(Table1[[#This Row],[LA_Name]])</f>
        <v>Cambridge</v>
      </c>
      <c r="BZ168" s="7">
        <v>16.658379907021398</v>
      </c>
      <c r="CA168" s="7">
        <v>0.56765621057943005</v>
      </c>
      <c r="CB168" s="7">
        <v>3.03164157766378</v>
      </c>
      <c r="CC168" s="7">
        <v>5.0965225801026</v>
      </c>
      <c r="CD168" s="7">
        <v>6.1563472374064396</v>
      </c>
      <c r="CE168" s="7">
        <v>41.115129089227104</v>
      </c>
      <c r="CF168" s="7">
        <v>98.312799596333406</v>
      </c>
      <c r="CG168" s="7">
        <v>100</v>
      </c>
      <c r="CH168" s="7">
        <v>100</v>
      </c>
      <c r="CI168" s="7">
        <v>11.539901207127199</v>
      </c>
      <c r="CJ168" s="7">
        <v>1.8574026574720399</v>
      </c>
      <c r="CK168" s="7">
        <v>5.3370195946514203</v>
      </c>
      <c r="CL168" s="7">
        <v>6.0631570095029899</v>
      </c>
      <c r="CM168" s="7">
        <v>6.6536771507863097</v>
      </c>
      <c r="CN168" s="7">
        <v>85.505844756538593</v>
      </c>
      <c r="CO168" s="7">
        <v>100</v>
      </c>
      <c r="CP168" s="7">
        <v>100</v>
      </c>
      <c r="CQ168" s="7">
        <v>100</v>
      </c>
      <c r="CR168" s="7">
        <v>9.3455256381575005</v>
      </c>
      <c r="CS168" s="7">
        <v>3.6034395761500302</v>
      </c>
      <c r="CT168" s="7">
        <v>6.9862501051215196</v>
      </c>
      <c r="CU168" s="7">
        <v>9.8817067530064797</v>
      </c>
      <c r="CV168" s="7">
        <v>10</v>
      </c>
      <c r="CW168" s="7">
        <v>98.826843831469205</v>
      </c>
      <c r="CX168" s="7">
        <v>100</v>
      </c>
      <c r="CY168" s="7">
        <v>100</v>
      </c>
      <c r="CZ168" s="7">
        <v>100</v>
      </c>
      <c r="DA168" s="9">
        <v>19.666728840583701</v>
      </c>
      <c r="DB168" s="9">
        <v>0.49413421915734601</v>
      </c>
      <c r="DC168" s="9">
        <v>1.76797578000168</v>
      </c>
      <c r="DD168" s="9">
        <v>3.1830165671516299</v>
      </c>
      <c r="DE168" s="9">
        <v>4.3414031620553404</v>
      </c>
      <c r="DF168" s="9">
        <v>35.870616432596101</v>
      </c>
      <c r="DG168" s="9">
        <v>82.794760743419403</v>
      </c>
      <c r="DH168" s="9">
        <v>99.126440164830498</v>
      </c>
      <c r="DI168" s="9">
        <v>100</v>
      </c>
    </row>
    <row r="169" spans="1:113">
      <c r="A169" s="5" t="s">
        <v>435</v>
      </c>
      <c r="B169" s="5" t="s">
        <v>452</v>
      </c>
      <c r="C169" s="5" t="s">
        <v>453</v>
      </c>
      <c r="D169" s="6">
        <v>63852</v>
      </c>
      <c r="E169" s="7">
        <v>15.7556706239692</v>
      </c>
      <c r="F169" s="7">
        <v>0.83369354131428897</v>
      </c>
      <c r="G169" s="7">
        <v>2.8390340161623802</v>
      </c>
      <c r="H169" s="7">
        <v>6.1730877654576197</v>
      </c>
      <c r="I169" s="7">
        <v>8.3673025120591404</v>
      </c>
      <c r="J169" s="7">
        <v>58.052997556850201</v>
      </c>
      <c r="K169" s="7">
        <v>90.344859988723897</v>
      </c>
      <c r="L169" s="7">
        <v>96.726805738269704</v>
      </c>
      <c r="M169" s="7">
        <v>98.036083442961896</v>
      </c>
      <c r="N169" s="7">
        <v>11.6189405001443</v>
      </c>
      <c r="O169" s="7">
        <v>1.5768339284595601</v>
      </c>
      <c r="P169" s="7">
        <v>4.1963603332706896</v>
      </c>
      <c r="Q169" s="7">
        <v>8.9556161122595999</v>
      </c>
      <c r="R169" s="7">
        <v>9.8019639165570407</v>
      </c>
      <c r="S169" s="7">
        <v>82.612917371421403</v>
      </c>
      <c r="T169" s="7">
        <v>95.300068909352902</v>
      </c>
      <c r="U169" s="7">
        <v>100</v>
      </c>
      <c r="V169" s="7">
        <v>100</v>
      </c>
      <c r="W169" s="7">
        <v>8.2145896651934098</v>
      </c>
      <c r="X169" s="7">
        <v>4.33491511620623</v>
      </c>
      <c r="Y169" s="7">
        <v>10</v>
      </c>
      <c r="Z169" s="7">
        <v>10</v>
      </c>
      <c r="AA169" s="7">
        <v>10</v>
      </c>
      <c r="AB169" s="7">
        <v>93.721418279771996</v>
      </c>
      <c r="AC169" s="7">
        <v>100</v>
      </c>
      <c r="AD169" s="7">
        <v>100</v>
      </c>
      <c r="AE169" s="7">
        <v>100</v>
      </c>
      <c r="AF169" s="6">
        <v>21.012544547957798</v>
      </c>
      <c r="AG169" s="6">
        <v>0.763546952327257</v>
      </c>
      <c r="AH169" s="6">
        <v>1.49993735513375</v>
      </c>
      <c r="AI169" s="6">
        <v>1.99274885673119</v>
      </c>
      <c r="AJ169" s="6">
        <v>2.6752176909102299</v>
      </c>
      <c r="AK169" s="6">
        <v>56.743719852158101</v>
      </c>
      <c r="AL169" s="6">
        <v>81.511933847021197</v>
      </c>
      <c r="AM169" s="6">
        <v>88.655014721543594</v>
      </c>
      <c r="AN169" s="6">
        <v>90.748919376057103</v>
      </c>
      <c r="AO169" s="6">
        <v>15.426952410889999</v>
      </c>
      <c r="AP169" s="7">
        <v>1.1791329950510601</v>
      </c>
      <c r="AQ169" s="7">
        <v>4.3780147841884398</v>
      </c>
      <c r="AR169" s="7">
        <v>7.8059105431309899</v>
      </c>
      <c r="AS169" s="7">
        <v>9.0260915867944593</v>
      </c>
      <c r="AT169" s="7">
        <v>65.647121468395696</v>
      </c>
      <c r="AU169" s="7">
        <v>88.368414458435097</v>
      </c>
      <c r="AV169" s="7">
        <v>95.813756812629194</v>
      </c>
      <c r="AW169" s="7">
        <v>96.311783499342198</v>
      </c>
      <c r="AX169" s="7">
        <v>12.5798440100383</v>
      </c>
      <c r="AY169" s="7">
        <v>2.2933345862306602</v>
      </c>
      <c r="AZ169" s="7">
        <v>4.4725615485810897</v>
      </c>
      <c r="BA169" s="7">
        <v>9.0664818643112195</v>
      </c>
      <c r="BB169" s="7">
        <v>9.9966798220885806</v>
      </c>
      <c r="BC169" s="7">
        <v>67.952452546513797</v>
      </c>
      <c r="BD169" s="7">
        <v>96.526342166259496</v>
      </c>
      <c r="BE169" s="7">
        <v>100</v>
      </c>
      <c r="BF169" s="7">
        <v>100</v>
      </c>
      <c r="BG169" s="7">
        <v>8.3859412272920597</v>
      </c>
      <c r="BH169" s="7">
        <v>4.8775449476915398</v>
      </c>
      <c r="BI169" s="7">
        <v>10</v>
      </c>
      <c r="BJ169" s="7">
        <v>10</v>
      </c>
      <c r="BK169" s="7">
        <v>10</v>
      </c>
      <c r="BL169" s="7">
        <v>97.285911169579606</v>
      </c>
      <c r="BM169" s="7">
        <v>100</v>
      </c>
      <c r="BN169" s="7">
        <v>100</v>
      </c>
      <c r="BO169" s="7">
        <v>100</v>
      </c>
      <c r="BP169" s="6">
        <v>24.446014477292302</v>
      </c>
      <c r="BQ169" s="6">
        <v>0.93260978512810899</v>
      </c>
      <c r="BR169" s="6">
        <v>2.21906909728748</v>
      </c>
      <c r="BS169" s="6">
        <v>2.80404685835996</v>
      </c>
      <c r="BT169" s="6">
        <v>3.3150410323874002</v>
      </c>
      <c r="BU169" s="6">
        <v>59.041220321994601</v>
      </c>
      <c r="BV169" s="6">
        <v>66.965795903025807</v>
      </c>
      <c r="BW169" s="6">
        <v>77.491699555221402</v>
      </c>
      <c r="BX169" s="6">
        <v>87.622940550021895</v>
      </c>
      <c r="BY169" s="6" t="str">
        <f>TRIM(Table1[[#This Row],[LA_Name]])</f>
        <v>East Cambridgeshire</v>
      </c>
      <c r="BZ169" s="7">
        <v>70.923572462378601</v>
      </c>
      <c r="CA169" s="7">
        <v>0</v>
      </c>
      <c r="CB169" s="7">
        <v>0</v>
      </c>
      <c r="CC169" s="7">
        <v>0.11034893190503001</v>
      </c>
      <c r="CD169" s="7">
        <v>0.86554845580404705</v>
      </c>
      <c r="CE169" s="7">
        <v>0</v>
      </c>
      <c r="CF169" s="7">
        <v>0</v>
      </c>
      <c r="CG169" s="7">
        <v>7.1916306458685701</v>
      </c>
      <c r="CH169" s="7">
        <v>31.594938294806699</v>
      </c>
      <c r="CI169" s="7">
        <v>88.529860174686505</v>
      </c>
      <c r="CJ169" s="7">
        <v>0</v>
      </c>
      <c r="CK169" s="7">
        <v>0</v>
      </c>
      <c r="CL169" s="7">
        <v>4.9129236359080397E-2</v>
      </c>
      <c r="CM169" s="7">
        <v>0.28411012967487298</v>
      </c>
      <c r="CN169" s="7">
        <v>0</v>
      </c>
      <c r="CO169" s="7">
        <v>0</v>
      </c>
      <c r="CP169" s="7">
        <v>2.8894944559293401</v>
      </c>
      <c r="CQ169" s="7">
        <v>7.6458059262043498</v>
      </c>
      <c r="CR169" s="7">
        <v>31.884846492794299</v>
      </c>
      <c r="CS169" s="7">
        <v>0</v>
      </c>
      <c r="CT169" s="7">
        <v>0.71523209922946795</v>
      </c>
      <c r="CU169" s="7">
        <v>7.2980016287665199</v>
      </c>
      <c r="CV169" s="7">
        <v>9.9939234479734402</v>
      </c>
      <c r="CW169" s="7">
        <v>0</v>
      </c>
      <c r="CX169" s="7">
        <v>32.121155171333697</v>
      </c>
      <c r="CY169" s="7">
        <v>99.667982208858007</v>
      </c>
      <c r="CZ169" s="7">
        <v>100</v>
      </c>
      <c r="DA169" s="9">
        <v>119.99327208871399</v>
      </c>
      <c r="DB169" s="9">
        <v>0</v>
      </c>
      <c r="DC169" s="9">
        <v>0</v>
      </c>
      <c r="DD169" s="9">
        <v>0</v>
      </c>
      <c r="DE169" s="9">
        <v>0</v>
      </c>
      <c r="DF169" s="9">
        <v>0</v>
      </c>
      <c r="DG169" s="9">
        <v>0</v>
      </c>
      <c r="DH169" s="9">
        <v>0</v>
      </c>
      <c r="DI169" s="9">
        <v>0</v>
      </c>
    </row>
    <row r="170" spans="1:113">
      <c r="A170" s="5" t="s">
        <v>435</v>
      </c>
      <c r="B170" s="5" t="s">
        <v>454</v>
      </c>
      <c r="C170" s="5" t="s">
        <v>455</v>
      </c>
      <c r="D170" s="6">
        <v>72787</v>
      </c>
      <c r="E170" s="7">
        <v>12.3744557443014</v>
      </c>
      <c r="F170" s="7">
        <v>1.3946721255169201</v>
      </c>
      <c r="G170" s="7">
        <v>5.1037547913775798</v>
      </c>
      <c r="H170" s="7">
        <v>8.4508085235000792</v>
      </c>
      <c r="I170" s="7">
        <v>9.3832277741904502</v>
      </c>
      <c r="J170" s="7">
        <v>72.551417148666701</v>
      </c>
      <c r="K170" s="7">
        <v>94.661134543256395</v>
      </c>
      <c r="L170" s="7">
        <v>97.7495981425255</v>
      </c>
      <c r="M170" s="7">
        <v>98.3279981315345</v>
      </c>
      <c r="N170" s="7">
        <v>10.217737390597099</v>
      </c>
      <c r="O170" s="7">
        <v>3.63284652479151</v>
      </c>
      <c r="P170" s="7">
        <v>6.0562463077197899</v>
      </c>
      <c r="Q170" s="7">
        <v>7.6466401967384297</v>
      </c>
      <c r="R170" s="7">
        <v>9.8341324687100702</v>
      </c>
      <c r="S170" s="7">
        <v>87.514253918969004</v>
      </c>
      <c r="T170" s="7">
        <v>98.700317364364494</v>
      </c>
      <c r="U170" s="7">
        <v>99.168807616744701</v>
      </c>
      <c r="V170" s="7">
        <v>100</v>
      </c>
      <c r="W170" s="7">
        <v>7.4692699043707602</v>
      </c>
      <c r="X170" s="7">
        <v>5.9894349265665596</v>
      </c>
      <c r="Y170" s="7">
        <v>10</v>
      </c>
      <c r="Z170" s="7">
        <v>10</v>
      </c>
      <c r="AA170" s="7">
        <v>10</v>
      </c>
      <c r="AB170" s="7">
        <v>98.700317364364494</v>
      </c>
      <c r="AC170" s="7">
        <v>100</v>
      </c>
      <c r="AD170" s="7">
        <v>100</v>
      </c>
      <c r="AE170" s="7">
        <v>100</v>
      </c>
      <c r="AF170" s="6">
        <v>16.305851026046</v>
      </c>
      <c r="AG170" s="6">
        <v>1.2464038908046799</v>
      </c>
      <c r="AH170" s="6">
        <v>3.5164933298528598</v>
      </c>
      <c r="AI170" s="6">
        <v>4.8099111105004999</v>
      </c>
      <c r="AJ170" s="6">
        <v>5.4209542912882798</v>
      </c>
      <c r="AK170" s="6">
        <v>70.880789151908999</v>
      </c>
      <c r="AL170" s="6">
        <v>87.617294297058606</v>
      </c>
      <c r="AM170" s="6">
        <v>91.5026034868864</v>
      </c>
      <c r="AN170" s="6">
        <v>93.644469479440005</v>
      </c>
      <c r="AO170" s="6">
        <v>16.664585007321101</v>
      </c>
      <c r="AP170" s="7">
        <v>0.98955857502026501</v>
      </c>
      <c r="AQ170" s="7">
        <v>3.8130160605602699</v>
      </c>
      <c r="AR170" s="7">
        <v>7.2664074628711202</v>
      </c>
      <c r="AS170" s="7">
        <v>9.0557242364707999</v>
      </c>
      <c r="AT170" s="7">
        <v>56.159753802189897</v>
      </c>
      <c r="AU170" s="7">
        <v>89.992718479948294</v>
      </c>
      <c r="AV170" s="7">
        <v>96.397708381991293</v>
      </c>
      <c r="AW170" s="7">
        <v>96.999464190033905</v>
      </c>
      <c r="AX170" s="7">
        <v>11.884177395427001</v>
      </c>
      <c r="AY170" s="7">
        <v>2.3999477928750999</v>
      </c>
      <c r="AZ170" s="7">
        <v>3.8807341970406801</v>
      </c>
      <c r="BA170" s="7">
        <v>5.9791446274746898</v>
      </c>
      <c r="BB170" s="7">
        <v>8.5646063170621094</v>
      </c>
      <c r="BC170" s="7">
        <v>81.437619355104601</v>
      </c>
      <c r="BD170" s="7">
        <v>96.515861348867205</v>
      </c>
      <c r="BE170" s="7">
        <v>100</v>
      </c>
      <c r="BF170" s="7">
        <v>100</v>
      </c>
      <c r="BG170" s="7">
        <v>8.2339307837063291</v>
      </c>
      <c r="BH170" s="7">
        <v>4.0495555525025102</v>
      </c>
      <c r="BI170" s="7">
        <v>10</v>
      </c>
      <c r="BJ170" s="7">
        <v>10</v>
      </c>
      <c r="BK170" s="7">
        <v>10</v>
      </c>
      <c r="BL170" s="7">
        <v>95.247777762512499</v>
      </c>
      <c r="BM170" s="7">
        <v>100</v>
      </c>
      <c r="BN170" s="7">
        <v>100</v>
      </c>
      <c r="BO170" s="7">
        <v>100</v>
      </c>
      <c r="BP170" s="6">
        <v>21.8995024901904</v>
      </c>
      <c r="BQ170" s="6">
        <v>0.88881256268289699</v>
      </c>
      <c r="BR170" s="6">
        <v>2.2990781320840301</v>
      </c>
      <c r="BS170" s="6">
        <v>2.8280736944784102</v>
      </c>
      <c r="BT170" s="6">
        <v>3.1248849382444699</v>
      </c>
      <c r="BU170" s="6">
        <v>53.793946721255203</v>
      </c>
      <c r="BV170" s="6">
        <v>80.240977097558599</v>
      </c>
      <c r="BW170" s="6">
        <v>86.481102394658393</v>
      </c>
      <c r="BX170" s="6">
        <v>88.283622075370602</v>
      </c>
      <c r="BY170" s="6" t="str">
        <f>TRIM(Table1[[#This Row],[LA_Name]])</f>
        <v>Fenland</v>
      </c>
      <c r="BZ170" s="7">
        <v>47.985771281862</v>
      </c>
      <c r="CA170" s="7">
        <v>6.4091115171665297E-2</v>
      </c>
      <c r="CB170" s="7">
        <v>0.23884759641144701</v>
      </c>
      <c r="CC170" s="7">
        <v>0.54710319150397702</v>
      </c>
      <c r="CD170" s="7">
        <v>1.28834819404564</v>
      </c>
      <c r="CE170" s="7">
        <v>6.4091115171665303</v>
      </c>
      <c r="CF170" s="7">
        <v>23.884759641144701</v>
      </c>
      <c r="CG170" s="7">
        <v>53.7802080041766</v>
      </c>
      <c r="CH170" s="7">
        <v>75.029881709645906</v>
      </c>
      <c r="CI170" s="7">
        <v>50.061507912708798</v>
      </c>
      <c r="CJ170" s="7">
        <v>0.21146633327379899</v>
      </c>
      <c r="CK170" s="7">
        <v>0.34398999821396697</v>
      </c>
      <c r="CL170" s="7">
        <v>0.44498330745874898</v>
      </c>
      <c r="CM170" s="7">
        <v>0.88378419223212901</v>
      </c>
      <c r="CN170" s="7">
        <v>21.146633327379899</v>
      </c>
      <c r="CO170" s="7">
        <v>34.3989998213967</v>
      </c>
      <c r="CP170" s="7">
        <v>42.651847170511203</v>
      </c>
      <c r="CQ170" s="7">
        <v>56.494978498907798</v>
      </c>
      <c r="CR170" s="7">
        <v>21.289981562759799</v>
      </c>
      <c r="CS170" s="7">
        <v>0.32797065410032</v>
      </c>
      <c r="CT170" s="7">
        <v>1.31894431697968</v>
      </c>
      <c r="CU170" s="7">
        <v>4.3403492381881401</v>
      </c>
      <c r="CV170" s="7">
        <v>8.5470757140698197</v>
      </c>
      <c r="CW170" s="7">
        <v>32.797065410031998</v>
      </c>
      <c r="CX170" s="7">
        <v>89.088710896176494</v>
      </c>
      <c r="CY170" s="7">
        <v>100</v>
      </c>
      <c r="CZ170" s="7">
        <v>100</v>
      </c>
      <c r="DA170" s="9">
        <v>87.768051236025698</v>
      </c>
      <c r="DB170" s="9">
        <v>6.4091115171665297E-2</v>
      </c>
      <c r="DC170" s="9">
        <v>0.20535260417382201</v>
      </c>
      <c r="DD170" s="9">
        <v>0.28373198510723102</v>
      </c>
      <c r="DE170" s="9">
        <v>0.31098959979117202</v>
      </c>
      <c r="DF170" s="9">
        <v>6.4091115171665303</v>
      </c>
      <c r="DG170" s="9">
        <v>20.535260417382201</v>
      </c>
      <c r="DH170" s="9">
        <v>28.3731985107231</v>
      </c>
      <c r="DI170" s="9">
        <v>31.0989599791172</v>
      </c>
    </row>
    <row r="171" spans="1:113">
      <c r="A171" s="5" t="s">
        <v>435</v>
      </c>
      <c r="B171" s="5" t="s">
        <v>456</v>
      </c>
      <c r="C171" s="5" t="s">
        <v>457</v>
      </c>
      <c r="D171" s="6">
        <v>129128</v>
      </c>
      <c r="E171" s="7">
        <v>13.3243769919632</v>
      </c>
      <c r="F171" s="7">
        <v>1.61795272907503</v>
      </c>
      <c r="G171" s="7">
        <v>5.2625999008735498</v>
      </c>
      <c r="H171" s="7">
        <v>8.2687565826156995</v>
      </c>
      <c r="I171" s="7">
        <v>9.0094247568304304</v>
      </c>
      <c r="J171" s="7">
        <v>76.924447060281295</v>
      </c>
      <c r="K171" s="7">
        <v>91.584319434979307</v>
      </c>
      <c r="L171" s="7">
        <v>96.150331454061103</v>
      </c>
      <c r="M171" s="7">
        <v>96.733473762468293</v>
      </c>
      <c r="N171" s="7">
        <v>10.498779344437599</v>
      </c>
      <c r="O171" s="7">
        <v>3.1633805216529298</v>
      </c>
      <c r="P171" s="7">
        <v>7.7322656588811096</v>
      </c>
      <c r="Q171" s="7">
        <v>9.2169707576977906</v>
      </c>
      <c r="R171" s="7">
        <v>9.9488879251595304</v>
      </c>
      <c r="S171" s="7">
        <v>84.077814261817693</v>
      </c>
      <c r="T171" s="7">
        <v>97.089709435598806</v>
      </c>
      <c r="U171" s="7">
        <v>99.541540177188494</v>
      </c>
      <c r="V171" s="7">
        <v>100</v>
      </c>
      <c r="W171" s="7">
        <v>7.6373238213428198</v>
      </c>
      <c r="X171" s="7">
        <v>7.3902871569295598</v>
      </c>
      <c r="Y171" s="7">
        <v>10</v>
      </c>
      <c r="Z171" s="7">
        <v>10</v>
      </c>
      <c r="AA171" s="7">
        <v>10</v>
      </c>
      <c r="AB171" s="7">
        <v>97.548943683786604</v>
      </c>
      <c r="AC171" s="7">
        <v>100</v>
      </c>
      <c r="AD171" s="7">
        <v>100</v>
      </c>
      <c r="AE171" s="7">
        <v>100</v>
      </c>
      <c r="AF171" s="6">
        <v>17.217377277530002</v>
      </c>
      <c r="AG171" s="6">
        <v>1.4515132271854301</v>
      </c>
      <c r="AH171" s="6">
        <v>2.9643686884331801</v>
      </c>
      <c r="AI171" s="6">
        <v>4.6587804349172899</v>
      </c>
      <c r="AJ171" s="6">
        <v>6.29137754785949</v>
      </c>
      <c r="AK171" s="6">
        <v>73.245152097143901</v>
      </c>
      <c r="AL171" s="6">
        <v>84.177715135369596</v>
      </c>
      <c r="AM171" s="6">
        <v>90.475342296016393</v>
      </c>
      <c r="AN171" s="6">
        <v>91.8422030853107</v>
      </c>
      <c r="AO171" s="6">
        <v>14.5487819537096</v>
      </c>
      <c r="AP171" s="7">
        <v>0.95764667616628496</v>
      </c>
      <c r="AQ171" s="7">
        <v>3.83139985131033</v>
      </c>
      <c r="AR171" s="7">
        <v>6.8901942258843896</v>
      </c>
      <c r="AS171" s="7">
        <v>8.3218899076884991</v>
      </c>
      <c r="AT171" s="7">
        <v>65.952388327860703</v>
      </c>
      <c r="AU171" s="7">
        <v>90.915215909794895</v>
      </c>
      <c r="AV171" s="7">
        <v>97.0780930549532</v>
      </c>
      <c r="AW171" s="7">
        <v>97.990366148317904</v>
      </c>
      <c r="AX171" s="7">
        <v>10.821405983899499</v>
      </c>
      <c r="AY171" s="7">
        <v>2.0103230902670202</v>
      </c>
      <c r="AZ171" s="7">
        <v>5.9262359829006899</v>
      </c>
      <c r="BA171" s="7">
        <v>8.7507821696301296</v>
      </c>
      <c r="BB171" s="7">
        <v>9.9159671024100096</v>
      </c>
      <c r="BC171" s="7">
        <v>84.816616070875398</v>
      </c>
      <c r="BD171" s="7">
        <v>99.534570348801196</v>
      </c>
      <c r="BE171" s="7">
        <v>100</v>
      </c>
      <c r="BF171" s="7">
        <v>100</v>
      </c>
      <c r="BG171" s="7">
        <v>7.8831094895867997</v>
      </c>
      <c r="BH171" s="7">
        <v>5.4302707391115801</v>
      </c>
      <c r="BI171" s="7">
        <v>10</v>
      </c>
      <c r="BJ171" s="7">
        <v>10</v>
      </c>
      <c r="BK171" s="7">
        <v>10</v>
      </c>
      <c r="BL171" s="7">
        <v>99.166718295025106</v>
      </c>
      <c r="BM171" s="7">
        <v>100</v>
      </c>
      <c r="BN171" s="7">
        <v>100</v>
      </c>
      <c r="BO171" s="7">
        <v>100</v>
      </c>
      <c r="BP171" s="6">
        <v>18.121999337686201</v>
      </c>
      <c r="BQ171" s="6">
        <v>0.83051700638126502</v>
      </c>
      <c r="BR171" s="6">
        <v>1.9581965181835099</v>
      </c>
      <c r="BS171" s="6">
        <v>3.1158075707824802</v>
      </c>
      <c r="BT171" s="6">
        <v>4.4896149557028702</v>
      </c>
      <c r="BU171" s="6">
        <v>60.3641348119695</v>
      </c>
      <c r="BV171" s="6">
        <v>82.216870082398898</v>
      </c>
      <c r="BW171" s="6">
        <v>89.995198562666502</v>
      </c>
      <c r="BX171" s="6">
        <v>95.344929062635501</v>
      </c>
      <c r="BY171" s="6" t="str">
        <f>TRIM(Table1[[#This Row],[LA_Name]])</f>
        <v>Huntingdonshire</v>
      </c>
      <c r="BZ171" s="7">
        <v>48.501292361300003</v>
      </c>
      <c r="CA171" s="7">
        <v>6.22715445139706E-2</v>
      </c>
      <c r="CB171" s="7">
        <v>0.37960008673564199</v>
      </c>
      <c r="CC171" s="7">
        <v>0.88515271668422002</v>
      </c>
      <c r="CD171" s="7">
        <v>2.0832739607211499</v>
      </c>
      <c r="CE171" s="7">
        <v>5.4744129855647099</v>
      </c>
      <c r="CF171" s="7">
        <v>29.006876897342199</v>
      </c>
      <c r="CG171" s="7">
        <v>54.154792144228999</v>
      </c>
      <c r="CH171" s="7">
        <v>76.847004522644198</v>
      </c>
      <c r="CI171" s="7">
        <v>42.156513318394502</v>
      </c>
      <c r="CJ171" s="7">
        <v>0.14340809119633199</v>
      </c>
      <c r="CK171" s="7">
        <v>0.437201846230097</v>
      </c>
      <c r="CL171" s="7">
        <v>1.01699863701134</v>
      </c>
      <c r="CM171" s="7">
        <v>1.4695495942011001</v>
      </c>
      <c r="CN171" s="7">
        <v>14.340809119633199</v>
      </c>
      <c r="CO171" s="7">
        <v>28.028777646985901</v>
      </c>
      <c r="CP171" s="7">
        <v>55.932098382999797</v>
      </c>
      <c r="CQ171" s="7">
        <v>71.454680626974806</v>
      </c>
      <c r="CR171" s="7">
        <v>19.796347060874702</v>
      </c>
      <c r="CS171" s="7">
        <v>0.38162133696797002</v>
      </c>
      <c r="CT171" s="7">
        <v>2.5064741961464598</v>
      </c>
      <c r="CU171" s="7">
        <v>8.2545226441979995</v>
      </c>
      <c r="CV171" s="7">
        <v>9.8868564525122409</v>
      </c>
      <c r="CW171" s="7">
        <v>30.5828325382566</v>
      </c>
      <c r="CX171" s="7">
        <v>97.194256861408803</v>
      </c>
      <c r="CY171" s="7">
        <v>100</v>
      </c>
      <c r="CZ171" s="7">
        <v>100</v>
      </c>
      <c r="DA171" s="9">
        <v>91.230186134901999</v>
      </c>
      <c r="DB171" s="9">
        <v>4.52419304875782E-2</v>
      </c>
      <c r="DC171" s="9">
        <v>0.151771885261136</v>
      </c>
      <c r="DD171" s="9">
        <v>0.22481568676042399</v>
      </c>
      <c r="DE171" s="9">
        <v>0.29263211696920899</v>
      </c>
      <c r="DF171" s="9">
        <v>4.5241930487578204</v>
      </c>
      <c r="DG171" s="9">
        <v>15.1771885261136</v>
      </c>
      <c r="DH171" s="9">
        <v>22.027755405489099</v>
      </c>
      <c r="DI171" s="9">
        <v>24.586456849017999</v>
      </c>
    </row>
    <row r="172" spans="1:113">
      <c r="A172" s="5" t="s">
        <v>435</v>
      </c>
      <c r="B172" s="5" t="s">
        <v>458</v>
      </c>
      <c r="C172" s="5" t="s">
        <v>459</v>
      </c>
      <c r="D172" s="6">
        <v>112629</v>
      </c>
      <c r="E172" s="7">
        <v>16.584564736657299</v>
      </c>
      <c r="F172" s="7">
        <v>0.76210389864066996</v>
      </c>
      <c r="G172" s="7">
        <v>3.3277042324800901</v>
      </c>
      <c r="H172" s="7">
        <v>7.6055456409983204</v>
      </c>
      <c r="I172" s="7">
        <v>9.2424153637162707</v>
      </c>
      <c r="J172" s="7">
        <v>48.921680916992997</v>
      </c>
      <c r="K172" s="7">
        <v>91.836915891999396</v>
      </c>
      <c r="L172" s="7">
        <v>97.255591366344404</v>
      </c>
      <c r="M172" s="7">
        <v>99.235543243747202</v>
      </c>
      <c r="N172" s="7">
        <v>13.127722528679</v>
      </c>
      <c r="O172" s="7">
        <v>1.3632101856537799</v>
      </c>
      <c r="P172" s="7">
        <v>5.2030116577435699</v>
      </c>
      <c r="Q172" s="7">
        <v>9.2651626135364804</v>
      </c>
      <c r="R172" s="7">
        <v>10</v>
      </c>
      <c r="S172" s="7">
        <v>62.871019009313798</v>
      </c>
      <c r="T172" s="7">
        <v>98.775626170879605</v>
      </c>
      <c r="U172" s="7">
        <v>100</v>
      </c>
      <c r="V172" s="7">
        <v>100</v>
      </c>
      <c r="W172" s="7">
        <v>8.8511472096404393</v>
      </c>
      <c r="X172" s="7">
        <v>4.7750135400296596</v>
      </c>
      <c r="Y172" s="7">
        <v>10</v>
      </c>
      <c r="Z172" s="7">
        <v>10</v>
      </c>
      <c r="AA172" s="7">
        <v>10</v>
      </c>
      <c r="AB172" s="7">
        <v>99.033996572818694</v>
      </c>
      <c r="AC172" s="7">
        <v>100</v>
      </c>
      <c r="AD172" s="7">
        <v>100</v>
      </c>
      <c r="AE172" s="7">
        <v>100</v>
      </c>
      <c r="AF172" s="6">
        <v>25.800595726930599</v>
      </c>
      <c r="AG172" s="6">
        <v>0.66881531399550698</v>
      </c>
      <c r="AH172" s="6">
        <v>1.3116248923456699</v>
      </c>
      <c r="AI172" s="6">
        <v>2.3733940636958502</v>
      </c>
      <c r="AJ172" s="6">
        <v>3.6662848822239398</v>
      </c>
      <c r="AK172" s="6">
        <v>43.642401157783503</v>
      </c>
      <c r="AL172" s="6">
        <v>61.572951904038902</v>
      </c>
      <c r="AM172" s="6">
        <v>78.717736994912499</v>
      </c>
      <c r="AN172" s="6">
        <v>93.393353399213296</v>
      </c>
      <c r="AO172" s="6">
        <v>13.747394969838901</v>
      </c>
      <c r="AP172" s="7">
        <v>0.97485549902778101</v>
      </c>
      <c r="AQ172" s="7">
        <v>4.0447042946310496</v>
      </c>
      <c r="AR172" s="7">
        <v>8.1561320796597698</v>
      </c>
      <c r="AS172" s="7">
        <v>9.3306963570661203</v>
      </c>
      <c r="AT172" s="7">
        <v>68.720311820223898</v>
      </c>
      <c r="AU172" s="7">
        <v>93.174937183141097</v>
      </c>
      <c r="AV172" s="7">
        <v>98.051123600493696</v>
      </c>
      <c r="AW172" s="7">
        <v>99.445968622646006</v>
      </c>
      <c r="AX172" s="7">
        <v>11.386575716723</v>
      </c>
      <c r="AY172" s="7">
        <v>1.50907847889975</v>
      </c>
      <c r="AZ172" s="7">
        <v>6.0579602056308799</v>
      </c>
      <c r="BA172" s="7">
        <v>9.3527155528327501</v>
      </c>
      <c r="BB172" s="7">
        <v>10</v>
      </c>
      <c r="BC172" s="7">
        <v>80.407355121682698</v>
      </c>
      <c r="BD172" s="7">
        <v>97.554803824947399</v>
      </c>
      <c r="BE172" s="7">
        <v>100</v>
      </c>
      <c r="BF172" s="7">
        <v>100</v>
      </c>
      <c r="BG172" s="7">
        <v>8.0364335095538806</v>
      </c>
      <c r="BH172" s="7">
        <v>5.3352866490868296</v>
      </c>
      <c r="BI172" s="7">
        <v>10</v>
      </c>
      <c r="BJ172" s="7">
        <v>10</v>
      </c>
      <c r="BK172" s="7">
        <v>10</v>
      </c>
      <c r="BL172" s="7">
        <v>97.337275479672201</v>
      </c>
      <c r="BM172" s="7">
        <v>100</v>
      </c>
      <c r="BN172" s="7">
        <v>100</v>
      </c>
      <c r="BO172" s="7">
        <v>100</v>
      </c>
      <c r="BP172" s="6">
        <v>19.908662864396799</v>
      </c>
      <c r="BQ172" s="6">
        <v>0.80742082412167404</v>
      </c>
      <c r="BR172" s="6">
        <v>1.4396025890312401</v>
      </c>
      <c r="BS172" s="6">
        <v>2.47706185795843</v>
      </c>
      <c r="BT172" s="6">
        <v>4.0197107316943201</v>
      </c>
      <c r="BU172" s="6">
        <v>61.744310967868003</v>
      </c>
      <c r="BV172" s="6">
        <v>80.348755649077901</v>
      </c>
      <c r="BW172" s="6">
        <v>86.761846416109506</v>
      </c>
      <c r="BX172" s="6">
        <v>92.902360848449305</v>
      </c>
      <c r="BY172" s="6" t="str">
        <f>TRIM(Table1[[#This Row],[LA_Name]])</f>
        <v>South Cambridgeshire</v>
      </c>
      <c r="BZ172" s="7">
        <v>42.136769896733597</v>
      </c>
      <c r="CA172" s="7">
        <v>3.0702572161698999E-2</v>
      </c>
      <c r="CB172" s="7">
        <v>0.39860071562386201</v>
      </c>
      <c r="CC172" s="7">
        <v>1.64568627973257</v>
      </c>
      <c r="CD172" s="7">
        <v>3.56362038196202</v>
      </c>
      <c r="CE172" s="7">
        <v>3.0702572161699</v>
      </c>
      <c r="CF172" s="7">
        <v>26.3591082225715</v>
      </c>
      <c r="CG172" s="7">
        <v>67.173640891777396</v>
      </c>
      <c r="CH172" s="7">
        <v>86.938532704720799</v>
      </c>
      <c r="CI172" s="7">
        <v>40.189088021542801</v>
      </c>
      <c r="CJ172" s="7">
        <v>5.7107849665716602E-2</v>
      </c>
      <c r="CK172" s="7">
        <v>1.05793356950697</v>
      </c>
      <c r="CL172" s="7">
        <v>2.3870761526782598</v>
      </c>
      <c r="CM172" s="7">
        <v>3.8400411972049802</v>
      </c>
      <c r="CN172" s="7">
        <v>5.4861536549201402</v>
      </c>
      <c r="CO172" s="7">
        <v>39.3770698487956</v>
      </c>
      <c r="CP172" s="7">
        <v>60.772092445107397</v>
      </c>
      <c r="CQ172" s="7">
        <v>78.615631853252694</v>
      </c>
      <c r="CR172" s="7">
        <v>19.307720568610499</v>
      </c>
      <c r="CS172" s="7">
        <v>0.514938426160225</v>
      </c>
      <c r="CT172" s="7">
        <v>4.6820001953315797</v>
      </c>
      <c r="CU172" s="7">
        <v>9.7629384971898894</v>
      </c>
      <c r="CV172" s="7">
        <v>10</v>
      </c>
      <c r="CW172" s="7">
        <v>34.975894307860301</v>
      </c>
      <c r="CX172" s="7">
        <v>95.829670866295501</v>
      </c>
      <c r="CY172" s="7">
        <v>100</v>
      </c>
      <c r="CZ172" s="7">
        <v>100</v>
      </c>
      <c r="DA172" s="9">
        <v>88.009118176545797</v>
      </c>
      <c r="DB172" s="9">
        <v>3.0702572161698999E-2</v>
      </c>
      <c r="DC172" s="9">
        <v>5.2286711237780698E-2</v>
      </c>
      <c r="DD172" s="9">
        <v>0.23405162080813999</v>
      </c>
      <c r="DE172" s="9">
        <v>0.54752328441165199</v>
      </c>
      <c r="DF172" s="9">
        <v>3.0702572161699</v>
      </c>
      <c r="DG172" s="9">
        <v>5.0040398121265399</v>
      </c>
      <c r="DH172" s="9">
        <v>16.3812162054178</v>
      </c>
      <c r="DI172" s="9">
        <v>31.0870202168181</v>
      </c>
    </row>
    <row r="173" spans="1:113">
      <c r="A173" s="5" t="s">
        <v>435</v>
      </c>
      <c r="B173" s="5" t="s">
        <v>460</v>
      </c>
      <c r="C173" s="5" t="s">
        <v>461</v>
      </c>
      <c r="D173" s="6">
        <v>1064249</v>
      </c>
      <c r="E173" s="7">
        <v>9.7056487418928796</v>
      </c>
      <c r="F173" s="7">
        <v>2.4439186694091299</v>
      </c>
      <c r="G173" s="7">
        <v>8.3865824633145092</v>
      </c>
      <c r="H173" s="7">
        <v>9.5961480818868505</v>
      </c>
      <c r="I173" s="7">
        <v>9.8587013001656594</v>
      </c>
      <c r="J173" s="7">
        <v>82.922229666177699</v>
      </c>
      <c r="K173" s="7">
        <v>97.987125193446303</v>
      </c>
      <c r="L173" s="7">
        <v>99.105754386426497</v>
      </c>
      <c r="M173" s="7">
        <v>99.668686557375196</v>
      </c>
      <c r="N173" s="7">
        <v>9.2496251283178506</v>
      </c>
      <c r="O173" s="7">
        <v>5.6009289179505899</v>
      </c>
      <c r="P173" s="7">
        <v>8.7215078426195394</v>
      </c>
      <c r="Q173" s="7">
        <v>9.72869601005028</v>
      </c>
      <c r="R173" s="7">
        <v>9.9747164432383801</v>
      </c>
      <c r="S173" s="7">
        <v>90.049697016393694</v>
      </c>
      <c r="T173" s="7">
        <v>99.196992433161796</v>
      </c>
      <c r="U173" s="7">
        <v>99.973596404600798</v>
      </c>
      <c r="V173" s="7">
        <v>100</v>
      </c>
      <c r="W173" s="7">
        <v>7.2998162313417003</v>
      </c>
      <c r="X173" s="7">
        <v>8.5621945616110509</v>
      </c>
      <c r="Y173" s="7">
        <v>9.9988188854300102</v>
      </c>
      <c r="Z173" s="7">
        <v>10</v>
      </c>
      <c r="AA173" s="7">
        <v>10</v>
      </c>
      <c r="AB173" s="7">
        <v>99.003240782937098</v>
      </c>
      <c r="AC173" s="7">
        <v>100</v>
      </c>
      <c r="AD173" s="7">
        <v>100</v>
      </c>
      <c r="AE173" s="7">
        <v>100</v>
      </c>
      <c r="AF173" s="6">
        <v>12.823204331080801</v>
      </c>
      <c r="AG173" s="6">
        <v>1.9522207678842101</v>
      </c>
      <c r="AH173" s="6">
        <v>5.6363914835719804</v>
      </c>
      <c r="AI173" s="6">
        <v>7.3209596626353397</v>
      </c>
      <c r="AJ173" s="6">
        <v>8.0270566380612092</v>
      </c>
      <c r="AK173" s="6">
        <v>77.874162907364706</v>
      </c>
      <c r="AL173" s="6">
        <v>89.904618186157606</v>
      </c>
      <c r="AM173" s="6">
        <v>94.464077485626007</v>
      </c>
      <c r="AN173" s="6">
        <v>97.528961737337795</v>
      </c>
      <c r="AO173" s="6">
        <v>12.5475517500986</v>
      </c>
      <c r="AP173" s="7">
        <v>1.3395718483174499</v>
      </c>
      <c r="AQ173" s="7">
        <v>6.9819356184501897</v>
      </c>
      <c r="AR173" s="7">
        <v>9.4527305170124691</v>
      </c>
      <c r="AS173" s="7">
        <v>9.8201313790287799</v>
      </c>
      <c r="AT173" s="7">
        <v>68.997762741613997</v>
      </c>
      <c r="AU173" s="7">
        <v>97.258442338212205</v>
      </c>
      <c r="AV173" s="7">
        <v>99.113177461289595</v>
      </c>
      <c r="AW173" s="7">
        <v>99.594831660635805</v>
      </c>
      <c r="AX173" s="7">
        <v>10.651540545609199</v>
      </c>
      <c r="AY173" s="7">
        <v>3.1278563569239899</v>
      </c>
      <c r="AZ173" s="7">
        <v>7.9632745720221498</v>
      </c>
      <c r="BA173" s="7">
        <v>9.4622151395021294</v>
      </c>
      <c r="BB173" s="7">
        <v>9.8866534053590804</v>
      </c>
      <c r="BC173" s="7">
        <v>85.731910483354895</v>
      </c>
      <c r="BD173" s="7">
        <v>98.987642929427196</v>
      </c>
      <c r="BE173" s="7">
        <v>99.973314515681906</v>
      </c>
      <c r="BF173" s="7">
        <v>100</v>
      </c>
      <c r="BG173" s="7">
        <v>8.0331570251511994</v>
      </c>
      <c r="BH173" s="7">
        <v>7.4152383511753399</v>
      </c>
      <c r="BI173" s="7">
        <v>9.9743509272735995</v>
      </c>
      <c r="BJ173" s="7">
        <v>9.9995912610676605</v>
      </c>
      <c r="BK173" s="7">
        <v>10</v>
      </c>
      <c r="BL173" s="7">
        <v>98.633402521402402</v>
      </c>
      <c r="BM173" s="7">
        <v>100</v>
      </c>
      <c r="BN173" s="7">
        <v>100</v>
      </c>
      <c r="BO173" s="7">
        <v>100</v>
      </c>
      <c r="BP173" s="6">
        <v>17.2053953763387</v>
      </c>
      <c r="BQ173" s="6">
        <v>1.00164435202664</v>
      </c>
      <c r="BR173" s="6">
        <v>3.06630685112225</v>
      </c>
      <c r="BS173" s="6">
        <v>5.2565856298667004</v>
      </c>
      <c r="BT173" s="6">
        <v>6.7836455566319502</v>
      </c>
      <c r="BU173" s="6">
        <v>59.543584255188399</v>
      </c>
      <c r="BV173" s="6">
        <v>85.251101950765303</v>
      </c>
      <c r="BW173" s="6">
        <v>93.571523205565597</v>
      </c>
      <c r="BX173" s="6">
        <v>97.2292198536245</v>
      </c>
      <c r="BY173" s="6" t="str">
        <f>TRIM(Table1[[#This Row],[LA_Name]])</f>
        <v>Essex</v>
      </c>
      <c r="BZ173" s="7">
        <v>33.9116030530516</v>
      </c>
      <c r="CA173" s="7">
        <v>0.15168348760487399</v>
      </c>
      <c r="CB173" s="7">
        <v>0.97928680224270803</v>
      </c>
      <c r="CC173" s="7">
        <v>2.8119594192712398</v>
      </c>
      <c r="CD173" s="7">
        <v>5.7481322510051696</v>
      </c>
      <c r="CE173" s="7">
        <v>12.476497511390701</v>
      </c>
      <c r="CF173" s="7">
        <v>45.628795516838601</v>
      </c>
      <c r="CG173" s="7">
        <v>79.239632830286894</v>
      </c>
      <c r="CH173" s="7">
        <v>92.671639813615002</v>
      </c>
      <c r="CI173" s="7">
        <v>36.3066715484428</v>
      </c>
      <c r="CJ173" s="7">
        <v>0.39205956500781303</v>
      </c>
      <c r="CK173" s="7">
        <v>1.4160389157048801</v>
      </c>
      <c r="CL173" s="7">
        <v>2.3306697962600902</v>
      </c>
      <c r="CM173" s="7">
        <v>3.6355523942235299</v>
      </c>
      <c r="CN173" s="7">
        <v>24.101220672981601</v>
      </c>
      <c r="CO173" s="7">
        <v>47.145076011347001</v>
      </c>
      <c r="CP173" s="7">
        <v>69.432341491511806</v>
      </c>
      <c r="CQ173" s="7">
        <v>84.506727279048405</v>
      </c>
      <c r="CR173" s="7">
        <v>17.619802623595199</v>
      </c>
      <c r="CS173" s="7">
        <v>1.0404801883769701</v>
      </c>
      <c r="CT173" s="7">
        <v>4.8917086133038401</v>
      </c>
      <c r="CU173" s="7">
        <v>8.9254554150391492</v>
      </c>
      <c r="CV173" s="7">
        <v>9.9410673629949393</v>
      </c>
      <c r="CW173" s="7">
        <v>41.280564980563803</v>
      </c>
      <c r="CX173" s="7">
        <v>92.139151645902402</v>
      </c>
      <c r="CY173" s="7">
        <v>99.5366685803792</v>
      </c>
      <c r="CZ173" s="7">
        <v>100</v>
      </c>
      <c r="DA173" s="9">
        <v>75.069888749234593</v>
      </c>
      <c r="DB173" s="9">
        <v>0.116793156488754</v>
      </c>
      <c r="DC173" s="9">
        <v>0.390271449632558</v>
      </c>
      <c r="DD173" s="9">
        <v>0.76552103877945898</v>
      </c>
      <c r="DE173" s="9">
        <v>1.08951664507084</v>
      </c>
      <c r="DF173" s="9">
        <v>10.190002527603999</v>
      </c>
      <c r="DG173" s="9">
        <v>24.301737657258801</v>
      </c>
      <c r="DH173" s="9">
        <v>33.917908309051697</v>
      </c>
      <c r="DI173" s="9">
        <v>39.673234365265998</v>
      </c>
    </row>
    <row r="174" spans="1:113">
      <c r="A174" s="5" t="s">
        <v>435</v>
      </c>
      <c r="B174" s="5" t="s">
        <v>462</v>
      </c>
      <c r="C174" s="5" t="s">
        <v>463</v>
      </c>
      <c r="D174" s="6">
        <v>132762</v>
      </c>
      <c r="E174" s="7">
        <v>6.7982897333586596</v>
      </c>
      <c r="F174" s="7">
        <v>3.3425453066389501</v>
      </c>
      <c r="G174" s="7">
        <v>9.9255735828023095</v>
      </c>
      <c r="H174" s="7">
        <v>10</v>
      </c>
      <c r="I174" s="7">
        <v>10</v>
      </c>
      <c r="J174" s="7">
        <v>94.631747036049504</v>
      </c>
      <c r="K174" s="7">
        <v>100</v>
      </c>
      <c r="L174" s="7">
        <v>100</v>
      </c>
      <c r="M174" s="7">
        <v>100</v>
      </c>
      <c r="N174" s="7">
        <v>7.6641068361007401</v>
      </c>
      <c r="O174" s="7">
        <v>8.10460824633555</v>
      </c>
      <c r="P174" s="7">
        <v>10</v>
      </c>
      <c r="Q174" s="7">
        <v>10</v>
      </c>
      <c r="R174" s="7">
        <v>10</v>
      </c>
      <c r="S174" s="7">
        <v>99.456169687109295</v>
      </c>
      <c r="T174" s="7">
        <v>100</v>
      </c>
      <c r="U174" s="7">
        <v>100</v>
      </c>
      <c r="V174" s="7">
        <v>100</v>
      </c>
      <c r="W174" s="7">
        <v>6.6915280773360903</v>
      </c>
      <c r="X174" s="7">
        <v>10</v>
      </c>
      <c r="Y174" s="7">
        <v>10</v>
      </c>
      <c r="Z174" s="7">
        <v>10</v>
      </c>
      <c r="AA174" s="7">
        <v>10</v>
      </c>
      <c r="AB174" s="7">
        <v>100</v>
      </c>
      <c r="AC174" s="7">
        <v>100</v>
      </c>
      <c r="AD174" s="7">
        <v>100</v>
      </c>
      <c r="AE174" s="7">
        <v>100</v>
      </c>
      <c r="AF174" s="6">
        <v>7.1212426006510103</v>
      </c>
      <c r="AG174" s="6">
        <v>2.7444750756993699</v>
      </c>
      <c r="AH174" s="6">
        <v>8.3628221930974203</v>
      </c>
      <c r="AI174" s="6">
        <v>9.8823232551483091</v>
      </c>
      <c r="AJ174" s="6">
        <v>9.9869992919660806</v>
      </c>
      <c r="AK174" s="6">
        <v>92.261339841219595</v>
      </c>
      <c r="AL174" s="6">
        <v>99.658034678597801</v>
      </c>
      <c r="AM174" s="6">
        <v>100</v>
      </c>
      <c r="AN174" s="6">
        <v>100</v>
      </c>
      <c r="AO174" s="6">
        <v>10.4911975543703</v>
      </c>
      <c r="AP174" s="7">
        <v>1.51328693451439</v>
      </c>
      <c r="AQ174" s="7">
        <v>8.6648513881984304</v>
      </c>
      <c r="AR174" s="7">
        <v>9.9951642789352402</v>
      </c>
      <c r="AS174" s="7">
        <v>10</v>
      </c>
      <c r="AT174" s="7">
        <v>80.930537352555703</v>
      </c>
      <c r="AU174" s="7">
        <v>100</v>
      </c>
      <c r="AV174" s="7">
        <v>100</v>
      </c>
      <c r="AW174" s="7">
        <v>100</v>
      </c>
      <c r="AX174" s="7">
        <v>9.1244001587276795</v>
      </c>
      <c r="AY174" s="7">
        <v>3.9232837709585602</v>
      </c>
      <c r="AZ174" s="7">
        <v>9.9332263750169503</v>
      </c>
      <c r="BA174" s="7">
        <v>10</v>
      </c>
      <c r="BB174" s="7">
        <v>10</v>
      </c>
      <c r="BC174" s="7">
        <v>99.766499450143897</v>
      </c>
      <c r="BD174" s="7">
        <v>100</v>
      </c>
      <c r="BE174" s="7">
        <v>100</v>
      </c>
      <c r="BF174" s="7">
        <v>100</v>
      </c>
      <c r="BG174" s="7">
        <v>7.49022845612346</v>
      </c>
      <c r="BH174" s="7">
        <v>9.5776050375860606</v>
      </c>
      <c r="BI174" s="7">
        <v>10</v>
      </c>
      <c r="BJ174" s="7">
        <v>10</v>
      </c>
      <c r="BK174" s="7">
        <v>10</v>
      </c>
      <c r="BL174" s="7">
        <v>100</v>
      </c>
      <c r="BM174" s="7">
        <v>100</v>
      </c>
      <c r="BN174" s="7">
        <v>100</v>
      </c>
      <c r="BO174" s="7">
        <v>100</v>
      </c>
      <c r="BP174" s="6">
        <v>11.5005380954684</v>
      </c>
      <c r="BQ174" s="6">
        <v>1.1546225576595699</v>
      </c>
      <c r="BR174" s="6">
        <v>4.00184540757144</v>
      </c>
      <c r="BS174" s="6">
        <v>6.6860095509257196</v>
      </c>
      <c r="BT174" s="6">
        <v>8.7061207273165504</v>
      </c>
      <c r="BU174" s="6">
        <v>73.890119160603206</v>
      </c>
      <c r="BV174" s="6">
        <v>99.455416459529104</v>
      </c>
      <c r="BW174" s="6">
        <v>100</v>
      </c>
      <c r="BX174" s="6">
        <v>100</v>
      </c>
      <c r="BY174" s="6" t="str">
        <f>TRIM(Table1[[#This Row],[LA_Name]])</f>
        <v>Basildon</v>
      </c>
      <c r="BZ174" s="7">
        <v>23.652646906126499</v>
      </c>
      <c r="CA174" s="7">
        <v>0.30633012458384201</v>
      </c>
      <c r="CB174" s="7">
        <v>1.83080248866392</v>
      </c>
      <c r="CC174" s="7">
        <v>4.3228935990720201</v>
      </c>
      <c r="CD174" s="7">
        <v>8.6617028969132708</v>
      </c>
      <c r="CE174" s="7">
        <v>21.3208598846055</v>
      </c>
      <c r="CF174" s="7">
        <v>69.464153899459205</v>
      </c>
      <c r="CG174" s="7">
        <v>97.224356367032698</v>
      </c>
      <c r="CH174" s="7">
        <v>100</v>
      </c>
      <c r="CI174" s="7">
        <v>20.526826921342401</v>
      </c>
      <c r="CJ174" s="7">
        <v>0.75987857971407502</v>
      </c>
      <c r="CK174" s="7">
        <v>2.4775236890074002</v>
      </c>
      <c r="CL174" s="7">
        <v>3.8828731112818402</v>
      </c>
      <c r="CM174" s="7">
        <v>4.7057064521474503</v>
      </c>
      <c r="CN174" s="7">
        <v>39.908256880733902</v>
      </c>
      <c r="CO174" s="7">
        <v>71.723083412422199</v>
      </c>
      <c r="CP174" s="7">
        <v>100</v>
      </c>
      <c r="CQ174" s="7">
        <v>100</v>
      </c>
      <c r="CR174" s="7">
        <v>12.2889770447128</v>
      </c>
      <c r="CS174" s="7">
        <v>2.1447552763591999</v>
      </c>
      <c r="CT174" s="7">
        <v>6.2019478465223496</v>
      </c>
      <c r="CU174" s="7">
        <v>10</v>
      </c>
      <c r="CV174" s="7">
        <v>10</v>
      </c>
      <c r="CW174" s="7">
        <v>66.8527138789714</v>
      </c>
      <c r="CX174" s="7">
        <v>100</v>
      </c>
      <c r="CY174" s="7">
        <v>100</v>
      </c>
      <c r="CZ174" s="7">
        <v>100</v>
      </c>
      <c r="DA174" s="9">
        <v>47.654622008908198</v>
      </c>
      <c r="DB174" s="9">
        <v>0.23170033593950101</v>
      </c>
      <c r="DC174" s="9">
        <v>0.790324038504994</v>
      </c>
      <c r="DD174" s="9">
        <v>1.52194151941067</v>
      </c>
      <c r="DE174" s="9">
        <v>2.0787198144047201</v>
      </c>
      <c r="DF174" s="9">
        <v>18.050345731459299</v>
      </c>
      <c r="DG174" s="9">
        <v>41.948750395444499</v>
      </c>
      <c r="DH174" s="9">
        <v>57.426070713005203</v>
      </c>
      <c r="DI174" s="9">
        <v>63.114445398532702</v>
      </c>
    </row>
    <row r="175" spans="1:113">
      <c r="A175" s="5" t="s">
        <v>435</v>
      </c>
      <c r="B175" s="5" t="s">
        <v>464</v>
      </c>
      <c r="C175" s="5" t="s">
        <v>465</v>
      </c>
      <c r="D175" s="6">
        <v>109476</v>
      </c>
      <c r="E175" s="7">
        <v>12.3750662077528</v>
      </c>
      <c r="F175" s="7">
        <v>1.5551171032920501</v>
      </c>
      <c r="G175" s="7">
        <v>6.80800358069349</v>
      </c>
      <c r="H175" s="7">
        <v>8.9089298111001494</v>
      </c>
      <c r="I175" s="7">
        <v>9.5300522488947408</v>
      </c>
      <c r="J175" s="7">
        <v>69.315649092038399</v>
      </c>
      <c r="K175" s="7">
        <v>95.447403997223105</v>
      </c>
      <c r="L175" s="7">
        <v>97.827834411195099</v>
      </c>
      <c r="M175" s="7">
        <v>99.529577258942595</v>
      </c>
      <c r="N175" s="7">
        <v>10.568236520451601</v>
      </c>
      <c r="O175" s="7">
        <v>3.6077861814461598</v>
      </c>
      <c r="P175" s="7">
        <v>7.5423289122730104</v>
      </c>
      <c r="Q175" s="7">
        <v>9.5660418721911693</v>
      </c>
      <c r="R175" s="7">
        <v>10</v>
      </c>
      <c r="S175" s="7">
        <v>81.631590485585903</v>
      </c>
      <c r="T175" s="7">
        <v>99.655632284701696</v>
      </c>
      <c r="U175" s="7">
        <v>100</v>
      </c>
      <c r="V175" s="7">
        <v>100</v>
      </c>
      <c r="W175" s="7">
        <v>7.8802075439055397</v>
      </c>
      <c r="X175" s="7">
        <v>7.3417004640286496</v>
      </c>
      <c r="Y175" s="7">
        <v>10</v>
      </c>
      <c r="Z175" s="7">
        <v>10</v>
      </c>
      <c r="AA175" s="7">
        <v>10</v>
      </c>
      <c r="AB175" s="7">
        <v>99.655632284701696</v>
      </c>
      <c r="AC175" s="7">
        <v>100</v>
      </c>
      <c r="AD175" s="7">
        <v>100</v>
      </c>
      <c r="AE175" s="7">
        <v>100</v>
      </c>
      <c r="AF175" s="6">
        <v>16.928537128444301</v>
      </c>
      <c r="AG175" s="6">
        <v>1.3403394351273299</v>
      </c>
      <c r="AH175" s="6">
        <v>3.6530107055427701</v>
      </c>
      <c r="AI175" s="6">
        <v>5.47172896342577</v>
      </c>
      <c r="AJ175" s="6">
        <v>6.3835726551938299</v>
      </c>
      <c r="AK175" s="6">
        <v>64.996894296466806</v>
      </c>
      <c r="AL175" s="6">
        <v>81.051554678651001</v>
      </c>
      <c r="AM175" s="6">
        <v>90.114728342285105</v>
      </c>
      <c r="AN175" s="6">
        <v>96.448536665570501</v>
      </c>
      <c r="AO175" s="6">
        <v>14.599410823434599</v>
      </c>
      <c r="AP175" s="7">
        <v>1.2653732324893101</v>
      </c>
      <c r="AQ175" s="7">
        <v>5.9933501406701</v>
      </c>
      <c r="AR175" s="7">
        <v>9.0719792465928606</v>
      </c>
      <c r="AS175" s="7">
        <v>9.4435949431838893</v>
      </c>
      <c r="AT175" s="7">
        <v>67.625780993094395</v>
      </c>
      <c r="AU175" s="7">
        <v>92.551792173627106</v>
      </c>
      <c r="AV175" s="7">
        <v>95.863020205341797</v>
      </c>
      <c r="AW175" s="7">
        <v>96.984727246154407</v>
      </c>
      <c r="AX175" s="7">
        <v>11.013369683022599</v>
      </c>
      <c r="AY175" s="7">
        <v>2.4348441667580101</v>
      </c>
      <c r="AZ175" s="7">
        <v>6.5161587927947702</v>
      </c>
      <c r="BA175" s="7">
        <v>9.4679655814973103</v>
      </c>
      <c r="BB175" s="7">
        <v>10</v>
      </c>
      <c r="BC175" s="7">
        <v>86.831817019255396</v>
      </c>
      <c r="BD175" s="7">
        <v>98.269940443567506</v>
      </c>
      <c r="BE175" s="7">
        <v>100</v>
      </c>
      <c r="BF175" s="7">
        <v>100</v>
      </c>
      <c r="BG175" s="7">
        <v>8.1094244395625097</v>
      </c>
      <c r="BH175" s="7">
        <v>6.4108389053308503</v>
      </c>
      <c r="BI175" s="7">
        <v>10</v>
      </c>
      <c r="BJ175" s="7">
        <v>10</v>
      </c>
      <c r="BK175" s="7">
        <v>10</v>
      </c>
      <c r="BL175" s="7">
        <v>97.292557272826897</v>
      </c>
      <c r="BM175" s="7">
        <v>100</v>
      </c>
      <c r="BN175" s="7">
        <v>100</v>
      </c>
      <c r="BO175" s="7">
        <v>100</v>
      </c>
      <c r="BP175" s="6">
        <v>18.658902290416599</v>
      </c>
      <c r="BQ175" s="6">
        <v>0.88179144287332401</v>
      </c>
      <c r="BR175" s="6">
        <v>2.4092495158756302</v>
      </c>
      <c r="BS175" s="6">
        <v>3.9202016880412098</v>
      </c>
      <c r="BT175" s="6">
        <v>4.9243761189667099</v>
      </c>
      <c r="BU175" s="6">
        <v>57.693923782381503</v>
      </c>
      <c r="BV175" s="6">
        <v>86.0115459096058</v>
      </c>
      <c r="BW175" s="6">
        <v>90.047133618327294</v>
      </c>
      <c r="BX175" s="6">
        <v>93.646095947970295</v>
      </c>
      <c r="BY175" s="6" t="str">
        <f>TRIM(Table1[[#This Row],[LA_Name]])</f>
        <v>Braintree</v>
      </c>
      <c r="BZ175" s="7">
        <v>45.672400051359503</v>
      </c>
      <c r="CA175" s="7">
        <v>6.9083634769264504E-2</v>
      </c>
      <c r="CB175" s="7">
        <v>0.318773064415945</v>
      </c>
      <c r="CC175" s="7">
        <v>1.65779714275275</v>
      </c>
      <c r="CD175" s="7">
        <v>4.3131371259454099</v>
      </c>
      <c r="CE175" s="7">
        <v>6.9083634769264499</v>
      </c>
      <c r="CF175" s="7">
        <v>27.771383682268301</v>
      </c>
      <c r="CG175" s="7">
        <v>61.345865760532</v>
      </c>
      <c r="CH175" s="7">
        <v>75.322445102122799</v>
      </c>
      <c r="CI175" s="7">
        <v>49.905703141664098</v>
      </c>
      <c r="CJ175" s="7">
        <v>0.17506120062844799</v>
      </c>
      <c r="CK175" s="7">
        <v>0.24326793087069301</v>
      </c>
      <c r="CL175" s="7">
        <v>0.42812123205086</v>
      </c>
      <c r="CM175" s="7">
        <v>1.5515455442288699</v>
      </c>
      <c r="CN175" s="7">
        <v>17.506120062844801</v>
      </c>
      <c r="CO175" s="7">
        <v>24.326793087069301</v>
      </c>
      <c r="CP175" s="7">
        <v>36.254521538967403</v>
      </c>
      <c r="CQ175" s="7">
        <v>71.212868573934003</v>
      </c>
      <c r="CR175" s="7">
        <v>22.227114120178399</v>
      </c>
      <c r="CS175" s="7">
        <v>0.26498045233658502</v>
      </c>
      <c r="CT175" s="7">
        <v>3.78844678285652</v>
      </c>
      <c r="CU175" s="7">
        <v>8.5933263911724893</v>
      </c>
      <c r="CV175" s="7">
        <v>9.9938982059994892</v>
      </c>
      <c r="CW175" s="7">
        <v>24.598998867331701</v>
      </c>
      <c r="CX175" s="7">
        <v>74.021703387043701</v>
      </c>
      <c r="CY175" s="7">
        <v>97.999561547736505</v>
      </c>
      <c r="CZ175" s="7">
        <v>100</v>
      </c>
      <c r="DA175" s="9">
        <v>97.045955363714299</v>
      </c>
      <c r="DB175" s="9">
        <v>4.15616208118674E-2</v>
      </c>
      <c r="DC175" s="9">
        <v>0.179098615221601</v>
      </c>
      <c r="DD175" s="9">
        <v>0.182798056194965</v>
      </c>
      <c r="DE175" s="9">
        <v>0.186086448171289</v>
      </c>
      <c r="DF175" s="9">
        <v>4.1561620811867401</v>
      </c>
      <c r="DG175" s="9">
        <v>17.909861522160099</v>
      </c>
      <c r="DH175" s="9">
        <v>18.2798056194965</v>
      </c>
      <c r="DI175" s="9">
        <v>18.608644817128901</v>
      </c>
    </row>
    <row r="176" spans="1:113">
      <c r="A176" s="5" t="s">
        <v>435</v>
      </c>
      <c r="B176" s="5" t="s">
        <v>466</v>
      </c>
      <c r="C176" s="5" t="s">
        <v>467</v>
      </c>
      <c r="D176" s="6">
        <v>54770</v>
      </c>
      <c r="E176" s="7">
        <v>10.269399163117001</v>
      </c>
      <c r="F176" s="7">
        <v>1.8712068650721201</v>
      </c>
      <c r="G176" s="7">
        <v>8.7516888807741502</v>
      </c>
      <c r="H176" s="7">
        <v>9.7895563264560899</v>
      </c>
      <c r="I176" s="7">
        <v>9.9699835676465192</v>
      </c>
      <c r="J176" s="7">
        <v>80.533138579514301</v>
      </c>
      <c r="K176" s="7">
        <v>97.962388168705502</v>
      </c>
      <c r="L176" s="7">
        <v>100</v>
      </c>
      <c r="M176" s="7">
        <v>100</v>
      </c>
      <c r="N176" s="7">
        <v>9.0811749016213508</v>
      </c>
      <c r="O176" s="7">
        <v>4.4656016067190096</v>
      </c>
      <c r="P176" s="7">
        <v>9.4556691619499702</v>
      </c>
      <c r="Q176" s="7">
        <v>10</v>
      </c>
      <c r="R176" s="7">
        <v>10</v>
      </c>
      <c r="S176" s="7">
        <v>94.690524009494297</v>
      </c>
      <c r="T176" s="7">
        <v>99.025013693627898</v>
      </c>
      <c r="U176" s="7">
        <v>100</v>
      </c>
      <c r="V176" s="7">
        <v>100</v>
      </c>
      <c r="W176" s="7">
        <v>7.2276437849595396</v>
      </c>
      <c r="X176" s="7">
        <v>9.5236625890085804</v>
      </c>
      <c r="Y176" s="7">
        <v>10</v>
      </c>
      <c r="Z176" s="7">
        <v>10</v>
      </c>
      <c r="AA176" s="7">
        <v>10</v>
      </c>
      <c r="AB176" s="7">
        <v>100</v>
      </c>
      <c r="AC176" s="7">
        <v>100</v>
      </c>
      <c r="AD176" s="7">
        <v>100</v>
      </c>
      <c r="AE176" s="7">
        <v>100</v>
      </c>
      <c r="AF176" s="6">
        <v>12.4550279165333</v>
      </c>
      <c r="AG176" s="6">
        <v>1.5673543910900101</v>
      </c>
      <c r="AH176" s="6">
        <v>4.3965309475990502</v>
      </c>
      <c r="AI176" s="6">
        <v>7.0542632828190603</v>
      </c>
      <c r="AJ176" s="6">
        <v>8.4759905057513194</v>
      </c>
      <c r="AK176" s="6">
        <v>76.709877670257399</v>
      </c>
      <c r="AL176" s="6">
        <v>94.265108636114704</v>
      </c>
      <c r="AM176" s="6">
        <v>96.766477998904506</v>
      </c>
      <c r="AN176" s="6">
        <v>97.832755157933207</v>
      </c>
      <c r="AO176" s="6">
        <v>10.3403005611117</v>
      </c>
      <c r="AP176" s="7">
        <v>1.76514515245572</v>
      </c>
      <c r="AQ176" s="7">
        <v>8.3442943217089596</v>
      </c>
      <c r="AR176" s="7">
        <v>9.8018805915647196</v>
      </c>
      <c r="AS176" s="7">
        <v>9.9227679386525498</v>
      </c>
      <c r="AT176" s="7">
        <v>83.626072667518699</v>
      </c>
      <c r="AU176" s="7">
        <v>97.905787840058395</v>
      </c>
      <c r="AV176" s="7">
        <v>100</v>
      </c>
      <c r="AW176" s="7">
        <v>100</v>
      </c>
      <c r="AX176" s="7">
        <v>9.3543202712933304</v>
      </c>
      <c r="AY176" s="7">
        <v>4.1503195179843004</v>
      </c>
      <c r="AZ176" s="7">
        <v>8.7291582983385094</v>
      </c>
      <c r="BA176" s="7">
        <v>10</v>
      </c>
      <c r="BB176" s="7">
        <v>10</v>
      </c>
      <c r="BC176" s="7">
        <v>89.939748037246702</v>
      </c>
      <c r="BD176" s="7">
        <v>100</v>
      </c>
      <c r="BE176" s="7">
        <v>100</v>
      </c>
      <c r="BF176" s="7">
        <v>100</v>
      </c>
      <c r="BG176" s="7">
        <v>7.3651858641018704</v>
      </c>
      <c r="BH176" s="7">
        <v>8.6742194632097895</v>
      </c>
      <c r="BI176" s="7">
        <v>10</v>
      </c>
      <c r="BJ176" s="7">
        <v>10</v>
      </c>
      <c r="BK176" s="7">
        <v>10</v>
      </c>
      <c r="BL176" s="7">
        <v>100</v>
      </c>
      <c r="BM176" s="7">
        <v>100</v>
      </c>
      <c r="BN176" s="7">
        <v>100</v>
      </c>
      <c r="BO176" s="7">
        <v>100</v>
      </c>
      <c r="BP176" s="6">
        <v>13.7015341920312</v>
      </c>
      <c r="BQ176" s="6">
        <v>1.2808106627715901</v>
      </c>
      <c r="BR176" s="6">
        <v>3.7483111192258498</v>
      </c>
      <c r="BS176" s="6">
        <v>6.3500273872557997</v>
      </c>
      <c r="BT176" s="6">
        <v>7.8540259266021497</v>
      </c>
      <c r="BU176" s="6">
        <v>72.819061530034702</v>
      </c>
      <c r="BV176" s="6">
        <v>89.740733978455395</v>
      </c>
      <c r="BW176" s="6">
        <v>97.297790761365704</v>
      </c>
      <c r="BX176" s="6">
        <v>98.455358773050904</v>
      </c>
      <c r="BY176" s="6" t="str">
        <f>TRIM(Table1[[#This Row],[LA_Name]])</f>
        <v>Brentwood</v>
      </c>
      <c r="BZ176" s="7">
        <v>41.000200667493601</v>
      </c>
      <c r="CA176" s="7">
        <v>0</v>
      </c>
      <c r="CB176" s="7">
        <v>0.331385795143327</v>
      </c>
      <c r="CC176" s="7">
        <v>3.7055504838415199</v>
      </c>
      <c r="CD176" s="7">
        <v>8.0813584078875298</v>
      </c>
      <c r="CE176" s="7">
        <v>0</v>
      </c>
      <c r="CF176" s="7">
        <v>16.501734526200501</v>
      </c>
      <c r="CG176" s="7">
        <v>70.534964396567503</v>
      </c>
      <c r="CH176" s="7">
        <v>96.960014606536404</v>
      </c>
      <c r="CI176" s="7">
        <v>44.8337092832991</v>
      </c>
      <c r="CJ176" s="7">
        <v>0</v>
      </c>
      <c r="CK176" s="7">
        <v>1.40222749680482E-2</v>
      </c>
      <c r="CL176" s="7">
        <v>0.94783640679203895</v>
      </c>
      <c r="CM176" s="7">
        <v>4.6854299799160097</v>
      </c>
      <c r="CN176" s="7">
        <v>0</v>
      </c>
      <c r="CO176" s="7">
        <v>1.4022274968048201</v>
      </c>
      <c r="CP176" s="7">
        <v>56.635019171079101</v>
      </c>
      <c r="CQ176" s="7">
        <v>94.889538068285603</v>
      </c>
      <c r="CR176" s="7">
        <v>21.563615851692202</v>
      </c>
      <c r="CS176" s="7">
        <v>1.00602519627533E-2</v>
      </c>
      <c r="CT176" s="7">
        <v>8.9286835859046896</v>
      </c>
      <c r="CU176" s="7">
        <v>10</v>
      </c>
      <c r="CV176" s="7">
        <v>10</v>
      </c>
      <c r="CW176" s="7">
        <v>1.0060251962753299</v>
      </c>
      <c r="CX176" s="7">
        <v>100</v>
      </c>
      <c r="CY176" s="7">
        <v>100</v>
      </c>
      <c r="CZ176" s="7">
        <v>100</v>
      </c>
      <c r="DA176" s="9">
        <v>116.367969140455</v>
      </c>
      <c r="DB176" s="9">
        <v>0</v>
      </c>
      <c r="DC176" s="9">
        <v>0</v>
      </c>
      <c r="DD176" s="9">
        <v>0</v>
      </c>
      <c r="DE176" s="9">
        <v>0</v>
      </c>
      <c r="DF176" s="9">
        <v>0</v>
      </c>
      <c r="DG176" s="9">
        <v>0</v>
      </c>
      <c r="DH176" s="9">
        <v>0</v>
      </c>
      <c r="DI176" s="9">
        <v>0</v>
      </c>
    </row>
    <row r="177" spans="1:113">
      <c r="A177" s="5" t="s">
        <v>435</v>
      </c>
      <c r="B177" s="5" t="s">
        <v>468</v>
      </c>
      <c r="C177" s="5" t="s">
        <v>469</v>
      </c>
      <c r="D177" s="6">
        <v>64361</v>
      </c>
      <c r="E177" s="7">
        <v>7.21563819788045</v>
      </c>
      <c r="F177" s="7">
        <v>3.2983017665977798</v>
      </c>
      <c r="G177" s="7">
        <v>9.9887198769441099</v>
      </c>
      <c r="H177" s="7">
        <v>10</v>
      </c>
      <c r="I177" s="7">
        <v>10</v>
      </c>
      <c r="J177" s="7">
        <v>97.456534236571798</v>
      </c>
      <c r="K177" s="7">
        <v>100</v>
      </c>
      <c r="L177" s="7">
        <v>100</v>
      </c>
      <c r="M177" s="7">
        <v>100</v>
      </c>
      <c r="N177" s="7">
        <v>7.5518752080435796</v>
      </c>
      <c r="O177" s="7">
        <v>8.7383974767327999</v>
      </c>
      <c r="P177" s="7">
        <v>10</v>
      </c>
      <c r="Q177" s="7">
        <v>10</v>
      </c>
      <c r="R177" s="7">
        <v>10</v>
      </c>
      <c r="S177" s="7">
        <v>100</v>
      </c>
      <c r="T177" s="7">
        <v>100</v>
      </c>
      <c r="U177" s="7">
        <v>100</v>
      </c>
      <c r="V177" s="7">
        <v>100</v>
      </c>
      <c r="W177" s="7">
        <v>6.6605580898104799</v>
      </c>
      <c r="X177" s="7">
        <v>10</v>
      </c>
      <c r="Y177" s="7">
        <v>10</v>
      </c>
      <c r="Z177" s="7">
        <v>10</v>
      </c>
      <c r="AA177" s="7">
        <v>10</v>
      </c>
      <c r="AB177" s="7">
        <v>100</v>
      </c>
      <c r="AC177" s="7">
        <v>100</v>
      </c>
      <c r="AD177" s="7">
        <v>100</v>
      </c>
      <c r="AE177" s="7">
        <v>100</v>
      </c>
      <c r="AF177" s="6">
        <v>7.4852711977923798</v>
      </c>
      <c r="AG177" s="6">
        <v>2.7694411211758698</v>
      </c>
      <c r="AH177" s="6">
        <v>8.4523702242041008</v>
      </c>
      <c r="AI177" s="6">
        <v>9.9965040940942504</v>
      </c>
      <c r="AJ177" s="6">
        <v>10</v>
      </c>
      <c r="AK177" s="6">
        <v>94.042976336601399</v>
      </c>
      <c r="AL177" s="6">
        <v>100</v>
      </c>
      <c r="AM177" s="6">
        <v>100</v>
      </c>
      <c r="AN177" s="6">
        <v>100</v>
      </c>
      <c r="AO177" s="6">
        <v>10.813852189811</v>
      </c>
      <c r="AP177" s="7">
        <v>1.36539208526903</v>
      </c>
      <c r="AQ177" s="7">
        <v>7.5733751806218104</v>
      </c>
      <c r="AR177" s="7">
        <v>9.5997576171905408</v>
      </c>
      <c r="AS177" s="7">
        <v>10</v>
      </c>
      <c r="AT177" s="7">
        <v>79.750159257935707</v>
      </c>
      <c r="AU177" s="7">
        <v>100</v>
      </c>
      <c r="AV177" s="7">
        <v>100</v>
      </c>
      <c r="AW177" s="7">
        <v>100</v>
      </c>
      <c r="AX177" s="7">
        <v>8.8172189542907606</v>
      </c>
      <c r="AY177" s="7">
        <v>3.4108699367629498</v>
      </c>
      <c r="AZ177" s="7">
        <v>8.1578751107036904</v>
      </c>
      <c r="BA177" s="7">
        <v>10</v>
      </c>
      <c r="BB177" s="7">
        <v>10</v>
      </c>
      <c r="BC177" s="7">
        <v>99.091064464504896</v>
      </c>
      <c r="BD177" s="7">
        <v>100</v>
      </c>
      <c r="BE177" s="7">
        <v>100</v>
      </c>
      <c r="BF177" s="7">
        <v>100</v>
      </c>
      <c r="BG177" s="7">
        <v>7.33835740401401</v>
      </c>
      <c r="BH177" s="7">
        <v>7.1981013346591904</v>
      </c>
      <c r="BI177" s="7">
        <v>10</v>
      </c>
      <c r="BJ177" s="7">
        <v>10</v>
      </c>
      <c r="BK177" s="7">
        <v>10</v>
      </c>
      <c r="BL177" s="7">
        <v>100</v>
      </c>
      <c r="BM177" s="7">
        <v>100</v>
      </c>
      <c r="BN177" s="7">
        <v>100</v>
      </c>
      <c r="BO177" s="7">
        <v>100</v>
      </c>
      <c r="BP177" s="6">
        <v>11.603153935477801</v>
      </c>
      <c r="BQ177" s="6">
        <v>1.04397072761455</v>
      </c>
      <c r="BR177" s="6">
        <v>3.1462687030966001</v>
      </c>
      <c r="BS177" s="6">
        <v>6.0381908298503797</v>
      </c>
      <c r="BT177" s="6">
        <v>7.60137350258697</v>
      </c>
      <c r="BU177" s="6">
        <v>70.994857133978698</v>
      </c>
      <c r="BV177" s="6">
        <v>99.255760476064694</v>
      </c>
      <c r="BW177" s="6">
        <v>100</v>
      </c>
      <c r="BX177" s="6">
        <v>100</v>
      </c>
      <c r="BY177" s="6" t="str">
        <f>TRIM(Table1[[#This Row],[LA_Name]])</f>
        <v>Castle Point</v>
      </c>
      <c r="BZ177" s="7">
        <v>38.797455552192503</v>
      </c>
      <c r="CA177" s="7">
        <v>0</v>
      </c>
      <c r="CB177" s="7">
        <v>0.113018753593014</v>
      </c>
      <c r="CC177" s="7">
        <v>2.7213374559127401</v>
      </c>
      <c r="CD177" s="7">
        <v>6.4115691179440999</v>
      </c>
      <c r="CE177" s="7">
        <v>0</v>
      </c>
      <c r="CF177" s="7">
        <v>6.6515436366743801</v>
      </c>
      <c r="CG177" s="7">
        <v>89.459455260173101</v>
      </c>
      <c r="CH177" s="7">
        <v>100</v>
      </c>
      <c r="CI177" s="7">
        <v>43.562158467298801</v>
      </c>
      <c r="CJ177" s="7">
        <v>0</v>
      </c>
      <c r="CK177" s="7">
        <v>9.5119715355572496E-2</v>
      </c>
      <c r="CL177" s="7">
        <v>1.9826603067074799</v>
      </c>
      <c r="CM177" s="7">
        <v>5.1561970758689304</v>
      </c>
      <c r="CN177" s="7">
        <v>0</v>
      </c>
      <c r="CO177" s="7">
        <v>9.5119715355572492</v>
      </c>
      <c r="CP177" s="7">
        <v>56.740883454265798</v>
      </c>
      <c r="CQ177" s="7">
        <v>93.508491167011101</v>
      </c>
      <c r="CR177" s="7">
        <v>19.550289573894101</v>
      </c>
      <c r="CS177" s="7">
        <v>3.95891922126754E-2</v>
      </c>
      <c r="CT177" s="7">
        <v>5.0403039107534102</v>
      </c>
      <c r="CU177" s="7">
        <v>9.4038625875918704</v>
      </c>
      <c r="CV177" s="7">
        <v>10</v>
      </c>
      <c r="CW177" s="7">
        <v>2.5590031230092798</v>
      </c>
      <c r="CX177" s="7">
        <v>100</v>
      </c>
      <c r="CY177" s="7">
        <v>100</v>
      </c>
      <c r="CZ177" s="7">
        <v>100</v>
      </c>
      <c r="DA177" s="9">
        <v>105.251008674568</v>
      </c>
      <c r="DB177" s="9">
        <v>0</v>
      </c>
      <c r="DC177" s="9">
        <v>0</v>
      </c>
      <c r="DD177" s="9">
        <v>0</v>
      </c>
      <c r="DE177" s="9">
        <v>2.9831730395736499E-3</v>
      </c>
      <c r="DF177" s="9">
        <v>0</v>
      </c>
      <c r="DG177" s="9">
        <v>0</v>
      </c>
      <c r="DH177" s="9">
        <v>0</v>
      </c>
      <c r="DI177" s="9">
        <v>0.298317303957365</v>
      </c>
    </row>
    <row r="178" spans="1:113">
      <c r="A178" s="5" t="s">
        <v>435</v>
      </c>
      <c r="B178" s="5" t="s">
        <v>470</v>
      </c>
      <c r="C178" s="5" t="s">
        <v>471</v>
      </c>
      <c r="D178" s="6">
        <v>128312</v>
      </c>
      <c r="E178" s="7">
        <v>8.9151217995019998</v>
      </c>
      <c r="F178" s="7">
        <v>2.6773333748986801</v>
      </c>
      <c r="G178" s="7">
        <v>8.7160748799800505</v>
      </c>
      <c r="H178" s="7">
        <v>9.8550096639441396</v>
      </c>
      <c r="I178" s="7">
        <v>9.9894320094769</v>
      </c>
      <c r="J178" s="7">
        <v>86.722987717438698</v>
      </c>
      <c r="K178" s="7">
        <v>98.820842945320805</v>
      </c>
      <c r="L178" s="7">
        <v>99.725668682586203</v>
      </c>
      <c r="M178" s="7">
        <v>100</v>
      </c>
      <c r="N178" s="7">
        <v>8.8740360920614592</v>
      </c>
      <c r="O178" s="7">
        <v>6.2094581956481099</v>
      </c>
      <c r="P178" s="7">
        <v>9.0508915767815896</v>
      </c>
      <c r="Q178" s="7">
        <v>9.9831738262983993</v>
      </c>
      <c r="R178" s="7">
        <v>10</v>
      </c>
      <c r="S178" s="7">
        <v>90.089001808092803</v>
      </c>
      <c r="T178" s="7">
        <v>99.793472161606104</v>
      </c>
      <c r="U178" s="7">
        <v>100</v>
      </c>
      <c r="V178" s="7">
        <v>100</v>
      </c>
      <c r="W178" s="7">
        <v>7.1259926594703202</v>
      </c>
      <c r="X178" s="7">
        <v>9.04990959536131</v>
      </c>
      <c r="Y178" s="7">
        <v>10</v>
      </c>
      <c r="Z178" s="7">
        <v>10</v>
      </c>
      <c r="AA178" s="7">
        <v>10</v>
      </c>
      <c r="AB178" s="7">
        <v>99.793472161606104</v>
      </c>
      <c r="AC178" s="7">
        <v>100</v>
      </c>
      <c r="AD178" s="7">
        <v>100</v>
      </c>
      <c r="AE178" s="7">
        <v>100</v>
      </c>
      <c r="AF178" s="6">
        <v>11.7273611473461</v>
      </c>
      <c r="AG178" s="6">
        <v>2.1083141093584401</v>
      </c>
      <c r="AH178" s="6">
        <v>6.31277666936841</v>
      </c>
      <c r="AI178" s="6">
        <v>7.7979378390173997</v>
      </c>
      <c r="AJ178" s="6">
        <v>8.4694027059043595</v>
      </c>
      <c r="AK178" s="6">
        <v>82.267441860465098</v>
      </c>
      <c r="AL178" s="6">
        <v>89.344722239541099</v>
      </c>
      <c r="AM178" s="6">
        <v>95.711235114408595</v>
      </c>
      <c r="AN178" s="6">
        <v>98.843444104994106</v>
      </c>
      <c r="AO178" s="6">
        <v>13.971842019526701</v>
      </c>
      <c r="AP178" s="7">
        <v>0.96679967579026105</v>
      </c>
      <c r="AQ178" s="7">
        <v>5.9899385871937199</v>
      </c>
      <c r="AR178" s="7">
        <v>9.7665534010848596</v>
      </c>
      <c r="AS178" s="7">
        <v>9.9652487686264699</v>
      </c>
      <c r="AT178" s="7">
        <v>59.785522788203799</v>
      </c>
      <c r="AU178" s="7">
        <v>97.192000748176298</v>
      </c>
      <c r="AV178" s="7">
        <v>99.725668682586203</v>
      </c>
      <c r="AW178" s="7">
        <v>100</v>
      </c>
      <c r="AX178" s="7">
        <v>10.8745836151479</v>
      </c>
      <c r="AY178" s="7">
        <v>2.3664817008541701</v>
      </c>
      <c r="AZ178" s="7">
        <v>8.6558544797057202</v>
      </c>
      <c r="BA178" s="7">
        <v>9.9662853045701105</v>
      </c>
      <c r="BB178" s="7">
        <v>10</v>
      </c>
      <c r="BC178" s="7">
        <v>83.3203441611073</v>
      </c>
      <c r="BD178" s="7">
        <v>100</v>
      </c>
      <c r="BE178" s="7">
        <v>100</v>
      </c>
      <c r="BF178" s="7">
        <v>100</v>
      </c>
      <c r="BG178" s="7">
        <v>8.2710342762126707</v>
      </c>
      <c r="BH178" s="7">
        <v>7.5632520730718902</v>
      </c>
      <c r="BI178" s="7">
        <v>10</v>
      </c>
      <c r="BJ178" s="7">
        <v>10</v>
      </c>
      <c r="BK178" s="7">
        <v>10</v>
      </c>
      <c r="BL178" s="7">
        <v>100</v>
      </c>
      <c r="BM178" s="7">
        <v>100</v>
      </c>
      <c r="BN178" s="7">
        <v>100</v>
      </c>
      <c r="BO178" s="7">
        <v>100</v>
      </c>
      <c r="BP178" s="6">
        <v>17.718313119445899</v>
      </c>
      <c r="BQ178" s="6">
        <v>0.76584419228131395</v>
      </c>
      <c r="BR178" s="6">
        <v>2.39905854479706</v>
      </c>
      <c r="BS178" s="6">
        <v>4.89538001122264</v>
      </c>
      <c r="BT178" s="6">
        <v>7.1441096701789402</v>
      </c>
      <c r="BU178" s="6">
        <v>52.206340794313903</v>
      </c>
      <c r="BV178" s="6">
        <v>83.103684768377093</v>
      </c>
      <c r="BW178" s="6">
        <v>96.276264106241001</v>
      </c>
      <c r="BX178" s="6">
        <v>98.966581457696904</v>
      </c>
      <c r="BY178" s="6" t="str">
        <f>TRIM(Table1[[#This Row],[LA_Name]])</f>
        <v>Chelmsford</v>
      </c>
      <c r="BZ178" s="7">
        <v>22.466988453530199</v>
      </c>
      <c r="CA178" s="7">
        <v>0.41398310368476798</v>
      </c>
      <c r="CB178" s="7">
        <v>2.7990912775110699</v>
      </c>
      <c r="CC178" s="7">
        <v>5.3308108360870401</v>
      </c>
      <c r="CD178" s="7">
        <v>7.9115125631273804</v>
      </c>
      <c r="CE178" s="7">
        <v>30.147608953176601</v>
      </c>
      <c r="CF178" s="7">
        <v>75.981202069954506</v>
      </c>
      <c r="CG178" s="7">
        <v>90.103030114096896</v>
      </c>
      <c r="CH178" s="7">
        <v>99.735800236922501</v>
      </c>
      <c r="CI178" s="7">
        <v>21.858124050823399</v>
      </c>
      <c r="CJ178" s="7">
        <v>1.2286847683770801</v>
      </c>
      <c r="CK178" s="7">
        <v>4.0857129496851403</v>
      </c>
      <c r="CL178" s="7">
        <v>4.9009133985909301</v>
      </c>
      <c r="CM178" s="7">
        <v>5.7895208554149296</v>
      </c>
      <c r="CN178" s="7">
        <v>51.9351268782343</v>
      </c>
      <c r="CO178" s="7">
        <v>74.760739447596507</v>
      </c>
      <c r="CP178" s="7">
        <v>87.746274705405597</v>
      </c>
      <c r="CQ178" s="7">
        <v>91.109171394725394</v>
      </c>
      <c r="CR178" s="7">
        <v>12.4490147557919</v>
      </c>
      <c r="CS178" s="7">
        <v>3.19961500093522</v>
      </c>
      <c r="CT178" s="7">
        <v>7.5899292349897101</v>
      </c>
      <c r="CU178" s="7">
        <v>9.9977242970260001</v>
      </c>
      <c r="CV178" s="7">
        <v>10</v>
      </c>
      <c r="CW178" s="7">
        <v>75.117681900367899</v>
      </c>
      <c r="CX178" s="7">
        <v>100</v>
      </c>
      <c r="CY178" s="7">
        <v>100</v>
      </c>
      <c r="CZ178" s="7">
        <v>100</v>
      </c>
      <c r="DA178" s="9">
        <v>46.046666932727803</v>
      </c>
      <c r="DB178" s="9">
        <v>0.309448843444105</v>
      </c>
      <c r="DC178" s="9">
        <v>1.1838721241972701</v>
      </c>
      <c r="DD178" s="9">
        <v>2.50413835027121</v>
      </c>
      <c r="DE178" s="9">
        <v>3.48808373339984</v>
      </c>
      <c r="DF178" s="9">
        <v>25.3304445414303</v>
      </c>
      <c r="DG178" s="9">
        <v>50.487093958476201</v>
      </c>
      <c r="DH178" s="9">
        <v>66.968794812644205</v>
      </c>
      <c r="DI178" s="9">
        <v>72.831847372030694</v>
      </c>
    </row>
    <row r="179" spans="1:113">
      <c r="A179" s="5" t="s">
        <v>435</v>
      </c>
      <c r="B179" s="5" t="s">
        <v>472</v>
      </c>
      <c r="C179" s="5" t="s">
        <v>473</v>
      </c>
      <c r="D179" s="6">
        <v>142945</v>
      </c>
      <c r="E179" s="7">
        <v>9.6937862614974897</v>
      </c>
      <c r="F179" s="7">
        <v>2.3136311168631298</v>
      </c>
      <c r="G179" s="7">
        <v>8.3917730595683704</v>
      </c>
      <c r="H179" s="7">
        <v>9.8375249221728591</v>
      </c>
      <c r="I179" s="7">
        <v>9.9620553359683797</v>
      </c>
      <c r="J179" s="7">
        <v>79.494910629962604</v>
      </c>
      <c r="K179" s="7">
        <v>99.268949595998507</v>
      </c>
      <c r="L179" s="7">
        <v>99.832103256497206</v>
      </c>
      <c r="M179" s="7">
        <v>100</v>
      </c>
      <c r="N179" s="7">
        <v>9.1091948506514306</v>
      </c>
      <c r="O179" s="7">
        <v>5.5887299310923799</v>
      </c>
      <c r="P179" s="7">
        <v>9.0547763125677694</v>
      </c>
      <c r="Q179" s="7">
        <v>9.8668718737976207</v>
      </c>
      <c r="R179" s="7">
        <v>10</v>
      </c>
      <c r="S179" s="7">
        <v>93.8500821994473</v>
      </c>
      <c r="T179" s="7">
        <v>100</v>
      </c>
      <c r="U179" s="7">
        <v>100</v>
      </c>
      <c r="V179" s="7">
        <v>100</v>
      </c>
      <c r="W179" s="7">
        <v>7.3533946992501296</v>
      </c>
      <c r="X179" s="7">
        <v>8.7269928993668895</v>
      </c>
      <c r="Y179" s="7">
        <v>10</v>
      </c>
      <c r="Z179" s="7">
        <v>10</v>
      </c>
      <c r="AA179" s="7">
        <v>10</v>
      </c>
      <c r="AB179" s="7">
        <v>99.713176396516104</v>
      </c>
      <c r="AC179" s="7">
        <v>100</v>
      </c>
      <c r="AD179" s="7">
        <v>100</v>
      </c>
      <c r="AE179" s="7">
        <v>100</v>
      </c>
      <c r="AF179" s="6">
        <v>12.3041427757652</v>
      </c>
      <c r="AG179" s="6">
        <v>1.7550036727412599</v>
      </c>
      <c r="AH179" s="6">
        <v>5.6216446885165601</v>
      </c>
      <c r="AI179" s="6">
        <v>7.68089125188009</v>
      </c>
      <c r="AJ179" s="6">
        <v>8.47308405330722</v>
      </c>
      <c r="AK179" s="6">
        <v>71.440064360418305</v>
      </c>
      <c r="AL179" s="6">
        <v>93.957116373430296</v>
      </c>
      <c r="AM179" s="6">
        <v>95.725628738325895</v>
      </c>
      <c r="AN179" s="6">
        <v>99.012907062156799</v>
      </c>
      <c r="AO179" s="6">
        <v>11.3117561350067</v>
      </c>
      <c r="AP179" s="7">
        <v>1.7672391479240299</v>
      </c>
      <c r="AQ179" s="7">
        <v>8.2951344922872394</v>
      </c>
      <c r="AR179" s="7">
        <v>9.6786806114239692</v>
      </c>
      <c r="AS179" s="7">
        <v>9.9785232082269406</v>
      </c>
      <c r="AT179" s="7">
        <v>73.1568085627339</v>
      </c>
      <c r="AU179" s="7">
        <v>99.287138409877898</v>
      </c>
      <c r="AV179" s="7">
        <v>99.832103256497206</v>
      </c>
      <c r="AW179" s="7">
        <v>99.832103256497206</v>
      </c>
      <c r="AX179" s="7">
        <v>10.274661071153099</v>
      </c>
      <c r="AY179" s="7">
        <v>4.4489488964286998</v>
      </c>
      <c r="AZ179" s="7">
        <v>9.1445241176676308</v>
      </c>
      <c r="BA179" s="7">
        <v>9.6921543250900708</v>
      </c>
      <c r="BB179" s="7">
        <v>9.9796844940361709</v>
      </c>
      <c r="BC179" s="7">
        <v>85.461541152191401</v>
      </c>
      <c r="BD179" s="7">
        <v>99.780335093917202</v>
      </c>
      <c r="BE179" s="7">
        <v>100</v>
      </c>
      <c r="BF179" s="7">
        <v>100</v>
      </c>
      <c r="BG179" s="7">
        <v>8.0368672042833893</v>
      </c>
      <c r="BH179" s="7">
        <v>8.5383958865297807</v>
      </c>
      <c r="BI179" s="7">
        <v>10</v>
      </c>
      <c r="BJ179" s="7">
        <v>10</v>
      </c>
      <c r="BK179" s="7">
        <v>10</v>
      </c>
      <c r="BL179" s="7">
        <v>99.124838224491896</v>
      </c>
      <c r="BM179" s="7">
        <v>100</v>
      </c>
      <c r="BN179" s="7">
        <v>100</v>
      </c>
      <c r="BO179" s="7">
        <v>100</v>
      </c>
      <c r="BP179" s="6">
        <v>15.848500459877201</v>
      </c>
      <c r="BQ179" s="6">
        <v>1.3401448109412699</v>
      </c>
      <c r="BR179" s="6">
        <v>4.4188604008534798</v>
      </c>
      <c r="BS179" s="6">
        <v>6.9227954807793202</v>
      </c>
      <c r="BT179" s="6">
        <v>8.2287733044177802</v>
      </c>
      <c r="BU179" s="6">
        <v>62.486970513134402</v>
      </c>
      <c r="BV179" s="6">
        <v>85.700794011682802</v>
      </c>
      <c r="BW179" s="6">
        <v>94.869355346461901</v>
      </c>
      <c r="BX179" s="6">
        <v>99.157718003427902</v>
      </c>
      <c r="BY179" s="6" t="str">
        <f>TRIM(Table1[[#This Row],[LA_Name]])</f>
        <v>Colchester</v>
      </c>
      <c r="BZ179" s="7">
        <v>22.055240523458401</v>
      </c>
      <c r="CA179" s="7">
        <v>0.24924971142747199</v>
      </c>
      <c r="CB179" s="7">
        <v>1.58287453216272</v>
      </c>
      <c r="CC179" s="7">
        <v>3.4684529014656</v>
      </c>
      <c r="CD179" s="7">
        <v>5.8647521774108897</v>
      </c>
      <c r="CE179" s="7">
        <v>23.6314666480115</v>
      </c>
      <c r="CF179" s="7">
        <v>82.343558711392504</v>
      </c>
      <c r="CG179" s="7">
        <v>96.126482213438706</v>
      </c>
      <c r="CH179" s="7">
        <v>99.832103256497206</v>
      </c>
      <c r="CI179" s="7">
        <v>20.145844658274498</v>
      </c>
      <c r="CJ179" s="7">
        <v>0.60790513833992099</v>
      </c>
      <c r="CK179" s="7">
        <v>2.59626429745706</v>
      </c>
      <c r="CL179" s="7">
        <v>3.4816118087376302</v>
      </c>
      <c r="CM179" s="7">
        <v>3.7208716639266899</v>
      </c>
      <c r="CN179" s="7">
        <v>47.053761936409103</v>
      </c>
      <c r="CO179" s="7">
        <v>83.124978138444902</v>
      </c>
      <c r="CP179" s="7">
        <v>93.162405120850707</v>
      </c>
      <c r="CQ179" s="7">
        <v>99.151421875546504</v>
      </c>
      <c r="CR179" s="7">
        <v>12.778558122734401</v>
      </c>
      <c r="CS179" s="7">
        <v>1.4995207947112501</v>
      </c>
      <c r="CT179" s="7">
        <v>4.0401063346042196</v>
      </c>
      <c r="CU179" s="7">
        <v>8.4255972576865208</v>
      </c>
      <c r="CV179" s="7">
        <v>9.9908776102696795</v>
      </c>
      <c r="CW179" s="7">
        <v>73.771730385812702</v>
      </c>
      <c r="CX179" s="7">
        <v>99.832103256497206</v>
      </c>
      <c r="CY179" s="7">
        <v>100</v>
      </c>
      <c r="CZ179" s="7">
        <v>100</v>
      </c>
      <c r="DA179" s="9">
        <v>44.653899829457302</v>
      </c>
      <c r="DB179" s="9">
        <v>0.21461401238238501</v>
      </c>
      <c r="DC179" s="9">
        <v>0.60750638357410203</v>
      </c>
      <c r="DD179" s="9">
        <v>1.16889712826612</v>
      </c>
      <c r="DE179" s="9">
        <v>1.77205918360208</v>
      </c>
      <c r="DF179" s="9">
        <v>20.167896743502698</v>
      </c>
      <c r="DG179" s="9">
        <v>47.619014306201699</v>
      </c>
      <c r="DH179" s="9">
        <v>63.402707334989003</v>
      </c>
      <c r="DI179" s="9">
        <v>74.444016929588301</v>
      </c>
    </row>
    <row r="180" spans="1:113">
      <c r="A180" s="5" t="s">
        <v>435</v>
      </c>
      <c r="B180" s="5" t="s">
        <v>474</v>
      </c>
      <c r="C180" s="5" t="s">
        <v>475</v>
      </c>
      <c r="D180" s="6">
        <v>94109</v>
      </c>
      <c r="E180" s="7">
        <v>10.7372005021322</v>
      </c>
      <c r="F180" s="7">
        <v>2.6151377657822299</v>
      </c>
      <c r="G180" s="7">
        <v>8.6197494394797491</v>
      </c>
      <c r="H180" s="7">
        <v>9.5862244843744993</v>
      </c>
      <c r="I180" s="7">
        <v>9.7386328618941906</v>
      </c>
      <c r="J180" s="7">
        <v>81.033694970725406</v>
      </c>
      <c r="K180" s="7">
        <v>95.571093094177996</v>
      </c>
      <c r="L180" s="7">
        <v>97.371133472887806</v>
      </c>
      <c r="M180" s="7">
        <v>98.990532255150896</v>
      </c>
      <c r="N180" s="7">
        <v>9.2908874838186701</v>
      </c>
      <c r="O180" s="7">
        <v>5.7198567618399903</v>
      </c>
      <c r="P180" s="7">
        <v>9.1661583908021491</v>
      </c>
      <c r="Q180" s="7">
        <v>9.9302829697478394</v>
      </c>
      <c r="R180" s="7">
        <v>10</v>
      </c>
      <c r="S180" s="7">
        <v>88.686523074307502</v>
      </c>
      <c r="T180" s="7">
        <v>98.825829623096595</v>
      </c>
      <c r="U180" s="7">
        <v>100</v>
      </c>
      <c r="V180" s="7">
        <v>100</v>
      </c>
      <c r="W180" s="7">
        <v>7.3573923820829004</v>
      </c>
      <c r="X180" s="7">
        <v>8.6455386838665795</v>
      </c>
      <c r="Y180" s="7">
        <v>10</v>
      </c>
      <c r="Z180" s="7">
        <v>10</v>
      </c>
      <c r="AA180" s="7">
        <v>10</v>
      </c>
      <c r="AB180" s="7">
        <v>98.705756091340902</v>
      </c>
      <c r="AC180" s="7">
        <v>100</v>
      </c>
      <c r="AD180" s="7">
        <v>100</v>
      </c>
      <c r="AE180" s="7">
        <v>100</v>
      </c>
      <c r="AF180" s="6">
        <v>13.0384009886649</v>
      </c>
      <c r="AG180" s="6">
        <v>2.1615360911283701</v>
      </c>
      <c r="AH180" s="6">
        <v>5.6888182851799503</v>
      </c>
      <c r="AI180" s="6">
        <v>7.14605404371527</v>
      </c>
      <c r="AJ180" s="6">
        <v>8.2555334771382096</v>
      </c>
      <c r="AK180" s="6">
        <v>78.059484215112306</v>
      </c>
      <c r="AL180" s="6">
        <v>88.6854604766813</v>
      </c>
      <c r="AM180" s="6">
        <v>93.554282799732206</v>
      </c>
      <c r="AN180" s="6">
        <v>98.296656005270506</v>
      </c>
      <c r="AO180" s="6">
        <v>12.208111366904401</v>
      </c>
      <c r="AP180" s="7">
        <v>1.4780732979842499</v>
      </c>
      <c r="AQ180" s="7">
        <v>7.4469498135141201</v>
      </c>
      <c r="AR180" s="7">
        <v>9.5289504723246505</v>
      </c>
      <c r="AS180" s="7">
        <v>9.7538280079482291</v>
      </c>
      <c r="AT180" s="7">
        <v>72.0462442486904</v>
      </c>
      <c r="AU180" s="7">
        <v>96.303222858600094</v>
      </c>
      <c r="AV180" s="7">
        <v>98.439044087175503</v>
      </c>
      <c r="AW180" s="7">
        <v>100</v>
      </c>
      <c r="AX180" s="7">
        <v>10.2922223297681</v>
      </c>
      <c r="AY180" s="7">
        <v>3.4720164915151601</v>
      </c>
      <c r="AZ180" s="7">
        <v>8.5875739833597198</v>
      </c>
      <c r="BA180" s="7">
        <v>9.8459871000648196</v>
      </c>
      <c r="BB180" s="7">
        <v>10</v>
      </c>
      <c r="BC180" s="7">
        <v>86.277614255809794</v>
      </c>
      <c r="BD180" s="7">
        <v>99.591962511555707</v>
      </c>
      <c r="BE180" s="7">
        <v>100</v>
      </c>
      <c r="BF180" s="7">
        <v>100</v>
      </c>
      <c r="BG180" s="7">
        <v>7.8932036110209403</v>
      </c>
      <c r="BH180" s="7">
        <v>7.50858047583122</v>
      </c>
      <c r="BI180" s="7">
        <v>10</v>
      </c>
      <c r="BJ180" s="7">
        <v>10</v>
      </c>
      <c r="BK180" s="7">
        <v>10</v>
      </c>
      <c r="BL180" s="7">
        <v>99.591962511555707</v>
      </c>
      <c r="BM180" s="7">
        <v>100</v>
      </c>
      <c r="BN180" s="7">
        <v>100</v>
      </c>
      <c r="BO180" s="7">
        <v>100</v>
      </c>
      <c r="BP180" s="6">
        <v>16.006279342620498</v>
      </c>
      <c r="BQ180" s="6">
        <v>1.10330574121497</v>
      </c>
      <c r="BR180" s="6">
        <v>3.2936701059409801</v>
      </c>
      <c r="BS180" s="6">
        <v>5.62249094135524</v>
      </c>
      <c r="BT180" s="6">
        <v>7.3296602875389203</v>
      </c>
      <c r="BU180" s="6">
        <v>62.6985729313881</v>
      </c>
      <c r="BV180" s="6">
        <v>85.020561264066103</v>
      </c>
      <c r="BW180" s="6">
        <v>94.197154363557203</v>
      </c>
      <c r="BX180" s="6">
        <v>99.591962511555707</v>
      </c>
      <c r="BY180" s="6" t="str">
        <f>TRIM(Table1[[#This Row],[LA_Name]])</f>
        <v>Epping Forest</v>
      </c>
      <c r="BZ180" s="7">
        <v>32.325174511855302</v>
      </c>
      <c r="CA180" s="7">
        <v>7.0290832970279105E-2</v>
      </c>
      <c r="CB180" s="7">
        <v>0.53541106589167897</v>
      </c>
      <c r="CC180" s="7">
        <v>2.6349127076050101</v>
      </c>
      <c r="CD180" s="7">
        <v>6.6051174701675697</v>
      </c>
      <c r="CE180" s="7">
        <v>7.0290832970279098</v>
      </c>
      <c r="CF180" s="7">
        <v>51.317089757621503</v>
      </c>
      <c r="CG180" s="7">
        <v>89.540851565737597</v>
      </c>
      <c r="CH180" s="7">
        <v>96.117268274022706</v>
      </c>
      <c r="CI180" s="7">
        <v>26.974968717929901</v>
      </c>
      <c r="CJ180" s="7">
        <v>0.19499729037605301</v>
      </c>
      <c r="CK180" s="7">
        <v>0.78285817509483702</v>
      </c>
      <c r="CL180" s="7">
        <v>2.6993167497263801</v>
      </c>
      <c r="CM180" s="7">
        <v>6.3756495127989901</v>
      </c>
      <c r="CN180" s="7">
        <v>19.499729037605299</v>
      </c>
      <c r="CO180" s="7">
        <v>61.250252366936202</v>
      </c>
      <c r="CP180" s="7">
        <v>91.890254917170495</v>
      </c>
      <c r="CQ180" s="7">
        <v>97.728166275276493</v>
      </c>
      <c r="CR180" s="7">
        <v>16.136665279716901</v>
      </c>
      <c r="CS180" s="7">
        <v>0.41024769150665702</v>
      </c>
      <c r="CT180" s="7">
        <v>5.5997832300842596</v>
      </c>
      <c r="CU180" s="7">
        <v>10</v>
      </c>
      <c r="CV180" s="7">
        <v>10</v>
      </c>
      <c r="CW180" s="7">
        <v>39.135470571358702</v>
      </c>
      <c r="CX180" s="7">
        <v>100</v>
      </c>
      <c r="CY180" s="7">
        <v>100</v>
      </c>
      <c r="CZ180" s="7">
        <v>100</v>
      </c>
      <c r="DA180" s="9">
        <v>63.9620908496167</v>
      </c>
      <c r="DB180" s="9">
        <v>6.7549331094794302E-2</v>
      </c>
      <c r="DC180" s="9">
        <v>0.18671965486829101</v>
      </c>
      <c r="DD180" s="9">
        <v>0.28550935617209799</v>
      </c>
      <c r="DE180" s="9">
        <v>0.51069504510726904</v>
      </c>
      <c r="DF180" s="9">
        <v>6.7549331094794303</v>
      </c>
      <c r="DG180" s="9">
        <v>18.671965486829102</v>
      </c>
      <c r="DH180" s="9">
        <v>28.550935617209799</v>
      </c>
      <c r="DI180" s="9">
        <v>47.558681953904497</v>
      </c>
    </row>
    <row r="181" spans="1:113">
      <c r="A181" s="5" t="s">
        <v>435</v>
      </c>
      <c r="B181" s="5" t="s">
        <v>476</v>
      </c>
      <c r="C181" s="5" t="s">
        <v>477</v>
      </c>
      <c r="D181" s="6">
        <v>60889</v>
      </c>
      <c r="E181" s="7">
        <v>7.1938019951468597</v>
      </c>
      <c r="F181" s="7">
        <v>2.6914877892558602</v>
      </c>
      <c r="G181" s="7">
        <v>9.70697498727192</v>
      </c>
      <c r="H181" s="7">
        <v>10</v>
      </c>
      <c r="I181" s="7">
        <v>10</v>
      </c>
      <c r="J181" s="7">
        <v>93.647456847706493</v>
      </c>
      <c r="K181" s="7">
        <v>100</v>
      </c>
      <c r="L181" s="7">
        <v>100</v>
      </c>
      <c r="M181" s="7">
        <v>100</v>
      </c>
      <c r="N181" s="7">
        <v>7.7222385464053804</v>
      </c>
      <c r="O181" s="7">
        <v>6.9127264366305896</v>
      </c>
      <c r="P181" s="7">
        <v>10</v>
      </c>
      <c r="Q181" s="7">
        <v>10</v>
      </c>
      <c r="R181" s="7">
        <v>10</v>
      </c>
      <c r="S181" s="7">
        <v>100</v>
      </c>
      <c r="T181" s="7">
        <v>100</v>
      </c>
      <c r="U181" s="7">
        <v>100</v>
      </c>
      <c r="V181" s="7">
        <v>100</v>
      </c>
      <c r="W181" s="7">
        <v>6.7255550289465704</v>
      </c>
      <c r="X181" s="7">
        <v>10</v>
      </c>
      <c r="Y181" s="7">
        <v>10</v>
      </c>
      <c r="Z181" s="7">
        <v>10</v>
      </c>
      <c r="AA181" s="7">
        <v>10</v>
      </c>
      <c r="AB181" s="7">
        <v>100</v>
      </c>
      <c r="AC181" s="7">
        <v>100</v>
      </c>
      <c r="AD181" s="7">
        <v>100</v>
      </c>
      <c r="AE181" s="7">
        <v>100</v>
      </c>
      <c r="AF181" s="6">
        <v>7.2597879659393101</v>
      </c>
      <c r="AG181" s="6">
        <v>2.32127313636289</v>
      </c>
      <c r="AH181" s="6">
        <v>7.2916782998571197</v>
      </c>
      <c r="AI181" s="6">
        <v>9.7329566916848709</v>
      </c>
      <c r="AJ181" s="6">
        <v>10</v>
      </c>
      <c r="AK181" s="6">
        <v>92.985596741611801</v>
      </c>
      <c r="AL181" s="6">
        <v>100</v>
      </c>
      <c r="AM181" s="6">
        <v>100</v>
      </c>
      <c r="AN181" s="6">
        <v>100</v>
      </c>
      <c r="AO181" s="6">
        <v>9.3828604254705095</v>
      </c>
      <c r="AP181" s="7">
        <v>1.6442871454614101</v>
      </c>
      <c r="AQ181" s="7">
        <v>8.8085532690633794</v>
      </c>
      <c r="AR181" s="7">
        <v>10</v>
      </c>
      <c r="AS181" s="7">
        <v>10</v>
      </c>
      <c r="AT181" s="7">
        <v>86.657688580860295</v>
      </c>
      <c r="AU181" s="7">
        <v>100</v>
      </c>
      <c r="AV181" s="7">
        <v>100</v>
      </c>
      <c r="AW181" s="7">
        <v>100</v>
      </c>
      <c r="AX181" s="7">
        <v>8.8508620383217202</v>
      </c>
      <c r="AY181" s="7">
        <v>4.2941253756836204</v>
      </c>
      <c r="AZ181" s="7">
        <v>10</v>
      </c>
      <c r="BA181" s="7">
        <v>10</v>
      </c>
      <c r="BB181" s="7">
        <v>10</v>
      </c>
      <c r="BC181" s="7">
        <v>94.647637504311106</v>
      </c>
      <c r="BD181" s="7">
        <v>100</v>
      </c>
      <c r="BE181" s="7">
        <v>100</v>
      </c>
      <c r="BF181" s="7">
        <v>100</v>
      </c>
      <c r="BG181" s="7">
        <v>7.3053280330310804</v>
      </c>
      <c r="BH181" s="7">
        <v>9.8403652548079297</v>
      </c>
      <c r="BI181" s="7">
        <v>10</v>
      </c>
      <c r="BJ181" s="7">
        <v>10</v>
      </c>
      <c r="BK181" s="7">
        <v>10</v>
      </c>
      <c r="BL181" s="7">
        <v>100</v>
      </c>
      <c r="BM181" s="7">
        <v>100</v>
      </c>
      <c r="BN181" s="7">
        <v>100</v>
      </c>
      <c r="BO181" s="7">
        <v>100</v>
      </c>
      <c r="BP181" s="6">
        <v>10.3865501165496</v>
      </c>
      <c r="BQ181" s="6">
        <v>1.3212402897075</v>
      </c>
      <c r="BR181" s="6">
        <v>4.5186322652695896</v>
      </c>
      <c r="BS181" s="6">
        <v>8.3761763208461293</v>
      </c>
      <c r="BT181" s="6">
        <v>9.95951649723267</v>
      </c>
      <c r="BU181" s="6">
        <v>79.8978469017392</v>
      </c>
      <c r="BV181" s="6">
        <v>100</v>
      </c>
      <c r="BW181" s="6">
        <v>100</v>
      </c>
      <c r="BX181" s="6">
        <v>100</v>
      </c>
      <c r="BY181" s="6" t="str">
        <f>TRIM(Table1[[#This Row],[LA_Name]])</f>
        <v>Harlow</v>
      </c>
      <c r="BZ181" s="7">
        <v>22.371891982169</v>
      </c>
      <c r="CA181" s="7">
        <v>0.24646487871372499</v>
      </c>
      <c r="CB181" s="7">
        <v>0.94414426251047001</v>
      </c>
      <c r="CC181" s="7">
        <v>2.4864096963326698</v>
      </c>
      <c r="CD181" s="7">
        <v>5.4368933633332803</v>
      </c>
      <c r="CE181" s="7">
        <v>24.6464878713725</v>
      </c>
      <c r="CF181" s="7">
        <v>76.508072065561905</v>
      </c>
      <c r="CG181" s="7">
        <v>100</v>
      </c>
      <c r="CH181" s="7">
        <v>100</v>
      </c>
      <c r="CI181" s="7">
        <v>14.897896382469201</v>
      </c>
      <c r="CJ181" s="7">
        <v>0.498152375634351</v>
      </c>
      <c r="CK181" s="7">
        <v>1.9806040499926101</v>
      </c>
      <c r="CL181" s="7">
        <v>2.6391794905483699</v>
      </c>
      <c r="CM181" s="7">
        <v>3.2600141240618199</v>
      </c>
      <c r="CN181" s="7">
        <v>46.202105470610498</v>
      </c>
      <c r="CO181" s="7">
        <v>100</v>
      </c>
      <c r="CP181" s="7">
        <v>100</v>
      </c>
      <c r="CQ181" s="7">
        <v>100</v>
      </c>
      <c r="CR181" s="7">
        <v>10.4893425904566</v>
      </c>
      <c r="CS181" s="7">
        <v>1.6671648409400699</v>
      </c>
      <c r="CT181" s="7">
        <v>5.1120727881883399</v>
      </c>
      <c r="CU181" s="7">
        <v>10</v>
      </c>
      <c r="CV181" s="7">
        <v>10</v>
      </c>
      <c r="CW181" s="7">
        <v>100</v>
      </c>
      <c r="CX181" s="7">
        <v>100</v>
      </c>
      <c r="CY181" s="7">
        <v>100</v>
      </c>
      <c r="CZ181" s="7">
        <v>100</v>
      </c>
      <c r="DA181" s="9">
        <v>29.450959252849898</v>
      </c>
      <c r="DB181" s="9">
        <v>0.16580991640526199</v>
      </c>
      <c r="DC181" s="9">
        <v>0.501420617845588</v>
      </c>
      <c r="DD181" s="9">
        <v>1.1647752467604999</v>
      </c>
      <c r="DE181" s="9">
        <v>1.61584194189427</v>
      </c>
      <c r="DF181" s="9">
        <v>16.5809916405262</v>
      </c>
      <c r="DG181" s="9">
        <v>47.535679679416603</v>
      </c>
      <c r="DH181" s="9">
        <v>90.0704560758101</v>
      </c>
      <c r="DI181" s="9">
        <v>100</v>
      </c>
    </row>
    <row r="182" spans="1:113">
      <c r="A182" s="5" t="s">
        <v>435</v>
      </c>
      <c r="B182" s="5" t="s">
        <v>478</v>
      </c>
      <c r="C182" s="5" t="s">
        <v>479</v>
      </c>
      <c r="D182" s="6">
        <v>47111</v>
      </c>
      <c r="E182" s="7">
        <v>11.5852958026128</v>
      </c>
      <c r="F182" s="7">
        <v>1.2202458024665199</v>
      </c>
      <c r="G182" s="7">
        <v>6.46067797329711</v>
      </c>
      <c r="H182" s="7">
        <v>9.2763261234106693</v>
      </c>
      <c r="I182" s="7">
        <v>9.7494428052896307</v>
      </c>
      <c r="J182" s="7">
        <v>75.676593576871596</v>
      </c>
      <c r="K182" s="7">
        <v>97.036785464116704</v>
      </c>
      <c r="L182" s="7">
        <v>98.199995754707004</v>
      </c>
      <c r="M182" s="7">
        <v>100</v>
      </c>
      <c r="N182" s="7">
        <v>10.6672475721337</v>
      </c>
      <c r="O182" s="7">
        <v>1.87028507142706</v>
      </c>
      <c r="P182" s="7">
        <v>6.0640614718430896</v>
      </c>
      <c r="Q182" s="7">
        <v>9.1818046740676298</v>
      </c>
      <c r="R182" s="7">
        <v>9.9630659506272394</v>
      </c>
      <c r="S182" s="7">
        <v>83.029441107172403</v>
      </c>
      <c r="T182" s="7">
        <v>98.0535331451253</v>
      </c>
      <c r="U182" s="7">
        <v>100</v>
      </c>
      <c r="V182" s="7">
        <v>100</v>
      </c>
      <c r="W182" s="7">
        <v>7.7208834345173596</v>
      </c>
      <c r="X182" s="7">
        <v>6.09766296618624</v>
      </c>
      <c r="Y182" s="7">
        <v>9.9916367727282402</v>
      </c>
      <c r="Z182" s="7">
        <v>10</v>
      </c>
      <c r="AA182" s="7">
        <v>10</v>
      </c>
      <c r="AB182" s="7">
        <v>97.357305087983704</v>
      </c>
      <c r="AC182" s="7">
        <v>100</v>
      </c>
      <c r="AD182" s="7">
        <v>100</v>
      </c>
      <c r="AE182" s="7">
        <v>100</v>
      </c>
      <c r="AF182" s="6">
        <v>18.115688341587401</v>
      </c>
      <c r="AG182" s="6">
        <v>0.85205153785740095</v>
      </c>
      <c r="AH182" s="6">
        <v>1.7614782110335201</v>
      </c>
      <c r="AI182" s="6">
        <v>2.5896924285198799</v>
      </c>
      <c r="AJ182" s="6">
        <v>3.9473159134809301</v>
      </c>
      <c r="AK182" s="6">
        <v>62.849440682643099</v>
      </c>
      <c r="AL182" s="6">
        <v>80.157500371463101</v>
      </c>
      <c r="AM182" s="6">
        <v>90.615779754197504</v>
      </c>
      <c r="AN182" s="6">
        <v>94.767676338859303</v>
      </c>
      <c r="AO182" s="6">
        <v>15.0148555132602</v>
      </c>
      <c r="AP182" s="7">
        <v>0.820211840122264</v>
      </c>
      <c r="AQ182" s="7">
        <v>4.2557152257434598</v>
      </c>
      <c r="AR182" s="7">
        <v>8.0359788584406999</v>
      </c>
      <c r="AS182" s="7">
        <v>9.4873384135339904</v>
      </c>
      <c r="AT182" s="7">
        <v>49.790919318205901</v>
      </c>
      <c r="AU182" s="7">
        <v>96.578293816730707</v>
      </c>
      <c r="AV182" s="7">
        <v>99.726178599477805</v>
      </c>
      <c r="AW182" s="7">
        <v>100</v>
      </c>
      <c r="AX182" s="7">
        <v>14.073712146810299</v>
      </c>
      <c r="AY182" s="7">
        <v>1.4790388656577</v>
      </c>
      <c r="AZ182" s="7">
        <v>3.9860329859268502</v>
      </c>
      <c r="BA182" s="7">
        <v>7.3122837553862201</v>
      </c>
      <c r="BB182" s="7">
        <v>8.5319564432935007</v>
      </c>
      <c r="BC182" s="7">
        <v>62.318779053724199</v>
      </c>
      <c r="BD182" s="7">
        <v>94.653053427012793</v>
      </c>
      <c r="BE182" s="7">
        <v>100</v>
      </c>
      <c r="BF182" s="7">
        <v>100</v>
      </c>
      <c r="BG182" s="7">
        <v>8.9446997409417399</v>
      </c>
      <c r="BH182" s="7">
        <v>4.1665640720850803</v>
      </c>
      <c r="BI182" s="7">
        <v>9.4816497208719799</v>
      </c>
      <c r="BJ182" s="7">
        <v>9.9907664876568099</v>
      </c>
      <c r="BK182" s="7">
        <v>10</v>
      </c>
      <c r="BL182" s="7">
        <v>94.555411687291695</v>
      </c>
      <c r="BM182" s="7">
        <v>100</v>
      </c>
      <c r="BN182" s="7">
        <v>100</v>
      </c>
      <c r="BO182" s="7">
        <v>100</v>
      </c>
      <c r="BP182" s="6">
        <v>29.536965921086001</v>
      </c>
      <c r="BQ182" s="6">
        <v>0.54959563583876403</v>
      </c>
      <c r="BR182" s="6">
        <v>1.33336163528688</v>
      </c>
      <c r="BS182" s="6">
        <v>2.07875018573157</v>
      </c>
      <c r="BT182" s="6">
        <v>2.6872704888454901</v>
      </c>
      <c r="BU182" s="6">
        <v>38.5026851478423</v>
      </c>
      <c r="BV182" s="6">
        <v>61.121606418883097</v>
      </c>
      <c r="BW182" s="6">
        <v>73.326823884018594</v>
      </c>
      <c r="BX182" s="6">
        <v>90.240071320922894</v>
      </c>
      <c r="BY182" s="6" t="str">
        <f>TRIM(Table1[[#This Row],[LA_Name]])</f>
        <v>Maldon</v>
      </c>
      <c r="BZ182" s="7">
        <v>56.489480400826302</v>
      </c>
      <c r="CA182" s="7">
        <v>0</v>
      </c>
      <c r="CB182" s="7">
        <v>6.9070917620088698E-2</v>
      </c>
      <c r="CC182" s="7">
        <v>0.49052238330750803</v>
      </c>
      <c r="CD182" s="7">
        <v>2.47954830082146</v>
      </c>
      <c r="CE182" s="7">
        <v>0</v>
      </c>
      <c r="CF182" s="7">
        <v>6.9070917620088697</v>
      </c>
      <c r="CG182" s="7">
        <v>37.793721211606602</v>
      </c>
      <c r="CH182" s="7">
        <v>60.310755449894899</v>
      </c>
      <c r="CI182" s="7">
        <v>69.315779517773905</v>
      </c>
      <c r="CJ182" s="7">
        <v>0</v>
      </c>
      <c r="CK182" s="7">
        <v>6.6778459383158906E-2</v>
      </c>
      <c r="CL182" s="7">
        <v>0.22833308569124</v>
      </c>
      <c r="CM182" s="7">
        <v>0.66924921992740505</v>
      </c>
      <c r="CN182" s="7">
        <v>0</v>
      </c>
      <c r="CO182" s="7">
        <v>6.6778459383158904</v>
      </c>
      <c r="CP182" s="7">
        <v>22.833308569124</v>
      </c>
      <c r="CQ182" s="7">
        <v>52.543991849037397</v>
      </c>
      <c r="CR182" s="7">
        <v>28.7085087514177</v>
      </c>
      <c r="CS182" s="7">
        <v>6.6778459383158906E-2</v>
      </c>
      <c r="CT182" s="7">
        <v>2.1310309694126599</v>
      </c>
      <c r="CU182" s="7">
        <v>8.1815711829509006</v>
      </c>
      <c r="CV182" s="7">
        <v>9.97316974804186</v>
      </c>
      <c r="CW182" s="7">
        <v>6.6778459383158904</v>
      </c>
      <c r="CX182" s="7">
        <v>56.835983103733703</v>
      </c>
      <c r="CY182" s="7">
        <v>94.428052896351204</v>
      </c>
      <c r="CZ182" s="7">
        <v>100</v>
      </c>
      <c r="DA182" s="9">
        <v>115.65923813226399</v>
      </c>
      <c r="DB182" s="9">
        <v>0</v>
      </c>
      <c r="DC182" s="9">
        <v>0</v>
      </c>
      <c r="DD182" s="9">
        <v>0</v>
      </c>
      <c r="DE182" s="9">
        <v>1.43278639808113E-2</v>
      </c>
      <c r="DF182" s="9">
        <v>0</v>
      </c>
      <c r="DG182" s="9">
        <v>0</v>
      </c>
      <c r="DH182" s="9">
        <v>0</v>
      </c>
      <c r="DI182" s="9">
        <v>1.43278639808113</v>
      </c>
    </row>
    <row r="183" spans="1:113">
      <c r="A183" s="5" t="s">
        <v>435</v>
      </c>
      <c r="B183" s="5" t="s">
        <v>480</v>
      </c>
      <c r="C183" s="5" t="s">
        <v>481</v>
      </c>
      <c r="D183" s="6">
        <v>62852</v>
      </c>
      <c r="E183" s="7">
        <v>7.27555574570082</v>
      </c>
      <c r="F183" s="7">
        <v>3.3463215172150398</v>
      </c>
      <c r="G183" s="7">
        <v>9.81897155221791</v>
      </c>
      <c r="H183" s="7">
        <v>9.9271940431489796</v>
      </c>
      <c r="I183" s="7">
        <v>9.9719977089034604</v>
      </c>
      <c r="J183" s="7">
        <v>97.067714631197106</v>
      </c>
      <c r="K183" s="7">
        <v>99.4972315916757</v>
      </c>
      <c r="L183" s="7">
        <v>99.4972315916757</v>
      </c>
      <c r="M183" s="7">
        <v>99.815439445045499</v>
      </c>
      <c r="N183" s="7">
        <v>7.8004838374041396</v>
      </c>
      <c r="O183" s="7">
        <v>6.8343569019283397</v>
      </c>
      <c r="P183" s="7">
        <v>9.9476707185133293</v>
      </c>
      <c r="Q183" s="7">
        <v>9.9907719722522792</v>
      </c>
      <c r="R183" s="7">
        <v>9.9981543944504594</v>
      </c>
      <c r="S183" s="7">
        <v>96.537898555336298</v>
      </c>
      <c r="T183" s="7">
        <v>100</v>
      </c>
      <c r="U183" s="7">
        <v>100</v>
      </c>
      <c r="V183" s="7">
        <v>100</v>
      </c>
      <c r="W183" s="7">
        <v>6.6424544816529103</v>
      </c>
      <c r="X183" s="7">
        <v>9.8641093362184193</v>
      </c>
      <c r="Y183" s="7">
        <v>9.9981543944504594</v>
      </c>
      <c r="Z183" s="7">
        <v>10</v>
      </c>
      <c r="AA183" s="7">
        <v>10</v>
      </c>
      <c r="AB183" s="7">
        <v>99.815439445045499</v>
      </c>
      <c r="AC183" s="7">
        <v>100</v>
      </c>
      <c r="AD183" s="7">
        <v>100</v>
      </c>
      <c r="AE183" s="7">
        <v>100</v>
      </c>
      <c r="AF183" s="6">
        <v>8.3579187695151997</v>
      </c>
      <c r="AG183" s="6">
        <v>2.59458728441418</v>
      </c>
      <c r="AH183" s="6">
        <v>6.9101858333863699</v>
      </c>
      <c r="AI183" s="6">
        <v>9.0949850442308904</v>
      </c>
      <c r="AJ183" s="6">
        <v>9.6898268949277693</v>
      </c>
      <c r="AK183" s="6">
        <v>90.924712021892702</v>
      </c>
      <c r="AL183" s="6">
        <v>96.973843314453006</v>
      </c>
      <c r="AM183" s="6">
        <v>97.947559345764702</v>
      </c>
      <c r="AN183" s="6">
        <v>99.5338254948132</v>
      </c>
      <c r="AO183" s="6">
        <v>15.6361533410362</v>
      </c>
      <c r="AP183" s="7">
        <v>0.73558518424234698</v>
      </c>
      <c r="AQ183" s="7">
        <v>6.4850601412842899</v>
      </c>
      <c r="AR183" s="7">
        <v>9.8883726850378704</v>
      </c>
      <c r="AS183" s="7">
        <v>9.9497231591675703</v>
      </c>
      <c r="AT183" s="7">
        <v>45.050276840832403</v>
      </c>
      <c r="AU183" s="7">
        <v>97.532298097117007</v>
      </c>
      <c r="AV183" s="7">
        <v>99.4972315916757</v>
      </c>
      <c r="AW183" s="7">
        <v>99.4972315916757</v>
      </c>
      <c r="AX183" s="7">
        <v>12.7756869992392</v>
      </c>
      <c r="AY183" s="7">
        <v>1.8288359956723701</v>
      </c>
      <c r="AZ183" s="7">
        <v>8.5648825813021094</v>
      </c>
      <c r="BA183" s="7">
        <v>9.9174250620505298</v>
      </c>
      <c r="BB183" s="7">
        <v>9.9852351556036396</v>
      </c>
      <c r="BC183" s="7">
        <v>70.6405524088334</v>
      </c>
      <c r="BD183" s="7">
        <v>99.3110799974543</v>
      </c>
      <c r="BE183" s="7">
        <v>100</v>
      </c>
      <c r="BF183" s="7">
        <v>100</v>
      </c>
      <c r="BG183" s="7">
        <v>9.2284258271677793</v>
      </c>
      <c r="BH183" s="7">
        <v>6.5038662254184398</v>
      </c>
      <c r="BI183" s="7">
        <v>9.9907719722522792</v>
      </c>
      <c r="BJ183" s="7">
        <v>10</v>
      </c>
      <c r="BK183" s="7">
        <v>10</v>
      </c>
      <c r="BL183" s="7">
        <v>97.533889136383905</v>
      </c>
      <c r="BM183" s="7">
        <v>100</v>
      </c>
      <c r="BN183" s="7">
        <v>100</v>
      </c>
      <c r="BO183" s="7">
        <v>100</v>
      </c>
      <c r="BP183" s="6">
        <v>23.290878271339</v>
      </c>
      <c r="BQ183" s="6">
        <v>0.54077833640934303</v>
      </c>
      <c r="BR183" s="6">
        <v>1.7596416979571099</v>
      </c>
      <c r="BS183" s="6">
        <v>3.63148348501241</v>
      </c>
      <c r="BT183" s="6">
        <v>6.1644179978361899</v>
      </c>
      <c r="BU183" s="6">
        <v>34.418952459746698</v>
      </c>
      <c r="BV183" s="6">
        <v>68.252402469292903</v>
      </c>
      <c r="BW183" s="6">
        <v>92.453700757334701</v>
      </c>
      <c r="BX183" s="6">
        <v>97.349328581429404</v>
      </c>
      <c r="BY183" s="6" t="str">
        <f>TRIM(Table1[[#This Row],[LA_Name]])</f>
        <v>Rochford</v>
      </c>
      <c r="BZ183" s="7">
        <v>34.901318250102698</v>
      </c>
      <c r="CA183" s="7">
        <v>0</v>
      </c>
      <c r="CB183" s="7">
        <v>0.369916629542417</v>
      </c>
      <c r="CC183" s="7">
        <v>2.27219499777254</v>
      </c>
      <c r="CD183" s="7">
        <v>5.4207980652962497</v>
      </c>
      <c r="CE183" s="7">
        <v>0</v>
      </c>
      <c r="CF183" s="7">
        <v>28.121619041557899</v>
      </c>
      <c r="CG183" s="7">
        <v>89.833259084834197</v>
      </c>
      <c r="CH183" s="7">
        <v>99.4972315916757</v>
      </c>
      <c r="CI183" s="7">
        <v>32.823383630881096</v>
      </c>
      <c r="CJ183" s="7">
        <v>0</v>
      </c>
      <c r="CK183" s="7">
        <v>0.59746706548717599</v>
      </c>
      <c r="CL183" s="7">
        <v>2.12683765035321</v>
      </c>
      <c r="CM183" s="7">
        <v>4.0568001018265099</v>
      </c>
      <c r="CN183" s="7">
        <v>0</v>
      </c>
      <c r="CO183" s="7">
        <v>38.619296124228299</v>
      </c>
      <c r="CP183" s="7">
        <v>90.106917838732301</v>
      </c>
      <c r="CQ183" s="7">
        <v>99.815439445045499</v>
      </c>
      <c r="CR183" s="7">
        <v>18.4662512826152</v>
      </c>
      <c r="CS183" s="7">
        <v>0.17833959142111599</v>
      </c>
      <c r="CT183" s="7">
        <v>5.1417297778909203</v>
      </c>
      <c r="CU183" s="7">
        <v>9.3254152612486507</v>
      </c>
      <c r="CV183" s="7">
        <v>10</v>
      </c>
      <c r="CW183" s="7">
        <v>12.8237764908038</v>
      </c>
      <c r="CX183" s="7">
        <v>99.815439445045499</v>
      </c>
      <c r="CY183" s="7">
        <v>99.815439445045499</v>
      </c>
      <c r="CZ183" s="7">
        <v>100</v>
      </c>
      <c r="DA183" s="9">
        <v>87.901907864696099</v>
      </c>
      <c r="DB183" s="9">
        <v>0</v>
      </c>
      <c r="DC183" s="9">
        <v>0</v>
      </c>
      <c r="DD183" s="9">
        <v>2.0063005154967201E-2</v>
      </c>
      <c r="DE183" s="9">
        <v>0.11746642907146899</v>
      </c>
      <c r="DF183" s="9">
        <v>0</v>
      </c>
      <c r="DG183" s="9">
        <v>0</v>
      </c>
      <c r="DH183" s="9">
        <v>2.0063005154967199</v>
      </c>
      <c r="DI183" s="9">
        <v>7.8390504677655404</v>
      </c>
    </row>
    <row r="184" spans="1:113">
      <c r="A184" s="5" t="s">
        <v>435</v>
      </c>
      <c r="B184" s="5" t="s">
        <v>482</v>
      </c>
      <c r="C184" s="5" t="s">
        <v>483</v>
      </c>
      <c r="D184" s="6">
        <v>101808</v>
      </c>
      <c r="E184" s="7">
        <v>8.5166059692444307</v>
      </c>
      <c r="F184" s="7">
        <v>2.6370815652993902</v>
      </c>
      <c r="G184" s="7">
        <v>8.6999351720886402</v>
      </c>
      <c r="H184" s="7">
        <v>9.8223027659908908</v>
      </c>
      <c r="I184" s="7">
        <v>9.9631954266855196</v>
      </c>
      <c r="J184" s="7">
        <v>87.397846927549907</v>
      </c>
      <c r="K184" s="7">
        <v>99.777031274555995</v>
      </c>
      <c r="L184" s="7">
        <v>100</v>
      </c>
      <c r="M184" s="7">
        <v>100</v>
      </c>
      <c r="N184" s="7">
        <v>8.9604962315084293</v>
      </c>
      <c r="O184" s="7">
        <v>5.0869381581015203</v>
      </c>
      <c r="P184" s="7">
        <v>8.3539702184504208</v>
      </c>
      <c r="Q184" s="7">
        <v>9.5737957724343907</v>
      </c>
      <c r="R184" s="7">
        <v>9.8441969196919707</v>
      </c>
      <c r="S184" s="7">
        <v>90.292511393996506</v>
      </c>
      <c r="T184" s="7">
        <v>99.743635077793499</v>
      </c>
      <c r="U184" s="7">
        <v>100</v>
      </c>
      <c r="V184" s="7">
        <v>100</v>
      </c>
      <c r="W184" s="7">
        <v>7.1048037350767901</v>
      </c>
      <c r="X184" s="7">
        <v>8.08496385352821</v>
      </c>
      <c r="Y184" s="7">
        <v>9.9926626591230594</v>
      </c>
      <c r="Z184" s="7">
        <v>10</v>
      </c>
      <c r="AA184" s="7">
        <v>10</v>
      </c>
      <c r="AB184" s="7">
        <v>98.944090837655196</v>
      </c>
      <c r="AC184" s="7">
        <v>100</v>
      </c>
      <c r="AD184" s="7">
        <v>100</v>
      </c>
      <c r="AE184" s="7">
        <v>100</v>
      </c>
      <c r="AF184" s="6">
        <v>12.145159618989601</v>
      </c>
      <c r="AG184" s="6">
        <v>1.8820328461417599</v>
      </c>
      <c r="AH184" s="6">
        <v>4.9712301587301599</v>
      </c>
      <c r="AI184" s="6">
        <v>6.5844530881659598</v>
      </c>
      <c r="AJ184" s="6">
        <v>7.5600345748860596</v>
      </c>
      <c r="AK184" s="6">
        <v>80.096848970611305</v>
      </c>
      <c r="AL184" s="6">
        <v>90.524320289171797</v>
      </c>
      <c r="AM184" s="6">
        <v>94.351131541725593</v>
      </c>
      <c r="AN184" s="6">
        <v>97.629852270941399</v>
      </c>
      <c r="AO184" s="6">
        <v>12.920343946909099</v>
      </c>
      <c r="AP184" s="7">
        <v>1.3241690240452599</v>
      </c>
      <c r="AQ184" s="7">
        <v>5.6822744774477396</v>
      </c>
      <c r="AR184" s="7">
        <v>9.0580209806694896</v>
      </c>
      <c r="AS184" s="7">
        <v>9.8559052333804793</v>
      </c>
      <c r="AT184" s="7">
        <v>61.333097595473802</v>
      </c>
      <c r="AU184" s="7">
        <v>97.839069621247802</v>
      </c>
      <c r="AV184" s="7">
        <v>99.198491277699205</v>
      </c>
      <c r="AW184" s="7">
        <v>100</v>
      </c>
      <c r="AX184" s="7">
        <v>11.4872092487639</v>
      </c>
      <c r="AY184" s="7">
        <v>2.6880991670595602</v>
      </c>
      <c r="AZ184" s="7">
        <v>5.7391069464089304</v>
      </c>
      <c r="BA184" s="7">
        <v>8.1196566085179906</v>
      </c>
      <c r="BB184" s="7">
        <v>9.5586987270155603</v>
      </c>
      <c r="BC184" s="7">
        <v>80.236327204149006</v>
      </c>
      <c r="BD184" s="7">
        <v>98.415645135942199</v>
      </c>
      <c r="BE184" s="7">
        <v>100</v>
      </c>
      <c r="BF184" s="7">
        <v>100</v>
      </c>
      <c r="BG184" s="7">
        <v>8.1967834568793698</v>
      </c>
      <c r="BH184" s="7">
        <v>5.4895882445387398</v>
      </c>
      <c r="BI184" s="7">
        <v>9.9774379223636593</v>
      </c>
      <c r="BJ184" s="7">
        <v>10</v>
      </c>
      <c r="BK184" s="7">
        <v>10</v>
      </c>
      <c r="BL184" s="7">
        <v>98.191694169416905</v>
      </c>
      <c r="BM184" s="7">
        <v>100</v>
      </c>
      <c r="BN184" s="7">
        <v>100</v>
      </c>
      <c r="BO184" s="7">
        <v>100</v>
      </c>
      <c r="BP184" s="6">
        <v>20.452914392018599</v>
      </c>
      <c r="BQ184" s="6">
        <v>0.907787207292158</v>
      </c>
      <c r="BR184" s="6">
        <v>2.5278760018858999</v>
      </c>
      <c r="BS184" s="6">
        <v>4.0858773377337698</v>
      </c>
      <c r="BT184" s="6">
        <v>4.8723086594373699</v>
      </c>
      <c r="BU184" s="6">
        <v>49.171970768505403</v>
      </c>
      <c r="BV184" s="6">
        <v>77.752239509665301</v>
      </c>
      <c r="BW184" s="6">
        <v>90.477172717271699</v>
      </c>
      <c r="BX184" s="6">
        <v>96.004243281471005</v>
      </c>
      <c r="BY184" s="6" t="str">
        <f>TRIM(Table1[[#This Row],[LA_Name]])</f>
        <v>Tendring</v>
      </c>
      <c r="BZ184" s="7">
        <v>45.789201373820099</v>
      </c>
      <c r="CA184" s="7">
        <v>2.91725601131542E-3</v>
      </c>
      <c r="CB184" s="7">
        <v>7.6997878359264499E-2</v>
      </c>
      <c r="CC184" s="7">
        <v>0.65720768505422</v>
      </c>
      <c r="CD184" s="7">
        <v>2.3430476976269099</v>
      </c>
      <c r="CE184" s="7">
        <v>0.291725601131542</v>
      </c>
      <c r="CF184" s="7">
        <v>7.3373408769448396</v>
      </c>
      <c r="CG184" s="7">
        <v>46.626001885902902</v>
      </c>
      <c r="CH184" s="7">
        <v>91.5625491120541</v>
      </c>
      <c r="CI184" s="7">
        <v>76.620251640066201</v>
      </c>
      <c r="CJ184" s="7">
        <v>0</v>
      </c>
      <c r="CK184" s="7">
        <v>6.2480355178374997E-2</v>
      </c>
      <c r="CL184" s="7">
        <v>0.19564277856357101</v>
      </c>
      <c r="CM184" s="7">
        <v>0.55382681125255395</v>
      </c>
      <c r="CN184" s="7">
        <v>0</v>
      </c>
      <c r="CO184" s="7">
        <v>4.34347006129184</v>
      </c>
      <c r="CP184" s="7">
        <v>7.2872465818010399</v>
      </c>
      <c r="CQ184" s="7">
        <v>20.969864843627199</v>
      </c>
      <c r="CR184" s="7">
        <v>27.858952514390499</v>
      </c>
      <c r="CS184" s="7">
        <v>3.2030881659594501E-2</v>
      </c>
      <c r="CT184" s="7">
        <v>1.89907472890146</v>
      </c>
      <c r="CU184" s="7">
        <v>4.6575809366651004</v>
      </c>
      <c r="CV184" s="7">
        <v>9.4157335376394808</v>
      </c>
      <c r="CW184" s="7">
        <v>2.7856357064277901</v>
      </c>
      <c r="CX184" s="7">
        <v>69.021098538425306</v>
      </c>
      <c r="CY184" s="7">
        <v>100</v>
      </c>
      <c r="CZ184" s="7">
        <v>100</v>
      </c>
      <c r="DA184" s="9">
        <v>117.196567138823</v>
      </c>
      <c r="DB184" s="9">
        <v>0</v>
      </c>
      <c r="DC184" s="9">
        <v>0</v>
      </c>
      <c r="DD184" s="9">
        <v>5.7755775577557804E-3</v>
      </c>
      <c r="DE184" s="9">
        <v>2.5724893917963201E-2</v>
      </c>
      <c r="DF184" s="9">
        <v>0</v>
      </c>
      <c r="DG184" s="9">
        <v>0</v>
      </c>
      <c r="DH184" s="9">
        <v>0.577557755775578</v>
      </c>
      <c r="DI184" s="9">
        <v>1.7375844727329901</v>
      </c>
    </row>
    <row r="185" spans="1:113">
      <c r="A185" s="5" t="s">
        <v>435</v>
      </c>
      <c r="B185" s="5" t="s">
        <v>484</v>
      </c>
      <c r="C185" s="5" t="s">
        <v>485</v>
      </c>
      <c r="D185" s="6">
        <v>64854</v>
      </c>
      <c r="E185" s="7">
        <v>18.4540086644665</v>
      </c>
      <c r="F185" s="7">
        <v>0.796049588306041</v>
      </c>
      <c r="G185" s="7">
        <v>3.2801215036852001</v>
      </c>
      <c r="H185" s="7">
        <v>7.5129059117402202</v>
      </c>
      <c r="I185" s="7">
        <v>9.2506707373485106</v>
      </c>
      <c r="J185" s="7">
        <v>46.748080303450799</v>
      </c>
      <c r="K185" s="7">
        <v>89.735405680451507</v>
      </c>
      <c r="L185" s="7">
        <v>95.5145403521757</v>
      </c>
      <c r="M185" s="7">
        <v>97.000955993462199</v>
      </c>
      <c r="N185" s="7">
        <v>15.351806975338899</v>
      </c>
      <c r="O185" s="7">
        <v>1.42561754093811</v>
      </c>
      <c r="P185" s="7">
        <v>4.2933049619144503</v>
      </c>
      <c r="Q185" s="7">
        <v>7.9806950997625403</v>
      </c>
      <c r="R185" s="7">
        <v>9.8582970980972604</v>
      </c>
      <c r="S185" s="7">
        <v>53.822431924013898</v>
      </c>
      <c r="T185" s="7">
        <v>92.156227834828996</v>
      </c>
      <c r="U185" s="7">
        <v>99.566719092114596</v>
      </c>
      <c r="V185" s="7">
        <v>100</v>
      </c>
      <c r="W185" s="7">
        <v>9.5794116155429307</v>
      </c>
      <c r="X185" s="7">
        <v>3.9189718444506099</v>
      </c>
      <c r="Y185" s="7">
        <v>10</v>
      </c>
      <c r="Z185" s="7">
        <v>10</v>
      </c>
      <c r="AA185" s="7">
        <v>10</v>
      </c>
      <c r="AB185" s="7">
        <v>90.899559009467396</v>
      </c>
      <c r="AC185" s="7">
        <v>100</v>
      </c>
      <c r="AD185" s="7">
        <v>100</v>
      </c>
      <c r="AE185" s="7">
        <v>100</v>
      </c>
      <c r="AF185" s="6">
        <v>32.944437530530799</v>
      </c>
      <c r="AG185" s="6">
        <v>0.63976007647947697</v>
      </c>
      <c r="AH185" s="6">
        <v>1.34429641965029</v>
      </c>
      <c r="AI185" s="6">
        <v>1.89524161963796</v>
      </c>
      <c r="AJ185" s="6">
        <v>2.4952200326888101</v>
      </c>
      <c r="AK185" s="6">
        <v>40.907268634162897</v>
      </c>
      <c r="AL185" s="6">
        <v>54.904863231257899</v>
      </c>
      <c r="AM185" s="6">
        <v>73.506645696487496</v>
      </c>
      <c r="AN185" s="6">
        <v>82.184599253708299</v>
      </c>
      <c r="AO185" s="6">
        <v>14.876961660423</v>
      </c>
      <c r="AP185" s="7">
        <v>1.01881148425695</v>
      </c>
      <c r="AQ185" s="7">
        <v>4.6487649181237902</v>
      </c>
      <c r="AR185" s="7">
        <v>8.0275233601628297</v>
      </c>
      <c r="AS185" s="7">
        <v>9.1734665556480692</v>
      </c>
      <c r="AT185" s="7">
        <v>61.109569186172003</v>
      </c>
      <c r="AU185" s="7">
        <v>90.113177290529507</v>
      </c>
      <c r="AV185" s="7">
        <v>97.552965121657905</v>
      </c>
      <c r="AW185" s="7">
        <v>99.298424152712201</v>
      </c>
      <c r="AX185" s="7">
        <v>12.827907754456801</v>
      </c>
      <c r="AY185" s="7">
        <v>1.6721713386992301</v>
      </c>
      <c r="AZ185" s="7">
        <v>4.5391032164554197</v>
      </c>
      <c r="BA185" s="7">
        <v>8.0259968544731208</v>
      </c>
      <c r="BB185" s="7">
        <v>9.9582446726493394</v>
      </c>
      <c r="BC185" s="7">
        <v>74.7987787954482</v>
      </c>
      <c r="BD185" s="7">
        <v>94.422857495297094</v>
      </c>
      <c r="BE185" s="7">
        <v>99.562093317297297</v>
      </c>
      <c r="BF185" s="7">
        <v>100</v>
      </c>
      <c r="BG185" s="7">
        <v>8.5996788232800796</v>
      </c>
      <c r="BH185" s="7">
        <v>4.9217164708421999</v>
      </c>
      <c r="BI185" s="7">
        <v>10</v>
      </c>
      <c r="BJ185" s="7">
        <v>10</v>
      </c>
      <c r="BK185" s="7">
        <v>10</v>
      </c>
      <c r="BL185" s="7">
        <v>93.849261417954196</v>
      </c>
      <c r="BM185" s="7">
        <v>100</v>
      </c>
      <c r="BN185" s="7">
        <v>100</v>
      </c>
      <c r="BO185" s="7">
        <v>100</v>
      </c>
      <c r="BP185" s="6">
        <v>25.113370108184199</v>
      </c>
      <c r="BQ185" s="6">
        <v>0.80824621457427404</v>
      </c>
      <c r="BR185" s="6">
        <v>1.6209023344743601</v>
      </c>
      <c r="BS185" s="6">
        <v>2.1906590187189701</v>
      </c>
      <c r="BT185" s="6">
        <v>3.1750238998365599</v>
      </c>
      <c r="BU185" s="6">
        <v>50.977580411385603</v>
      </c>
      <c r="BV185" s="6">
        <v>72.718722052610502</v>
      </c>
      <c r="BW185" s="6">
        <v>82.326456348104998</v>
      </c>
      <c r="BX185" s="6">
        <v>86.986153514046904</v>
      </c>
      <c r="BY185" s="6" t="str">
        <f>TRIM(Table1[[#This Row],[LA_Name]])</f>
        <v>Uttlesford</v>
      </c>
      <c r="BZ185" s="7">
        <v>50.131034265916803</v>
      </c>
      <c r="CA185" s="7">
        <v>3.9010700959077299E-2</v>
      </c>
      <c r="CB185" s="7">
        <v>0.17243346593887801</v>
      </c>
      <c r="CC185" s="7">
        <v>0.72655503130107602</v>
      </c>
      <c r="CD185" s="7">
        <v>2.1255897862892001</v>
      </c>
      <c r="CE185" s="7">
        <v>3.90107009590773</v>
      </c>
      <c r="CF185" s="7">
        <v>17.2433465938878</v>
      </c>
      <c r="CG185" s="7">
        <v>47.722576864958199</v>
      </c>
      <c r="CH185" s="7">
        <v>73.056403614272099</v>
      </c>
      <c r="CI185" s="7">
        <v>45.212552806835298</v>
      </c>
      <c r="CJ185" s="7">
        <v>6.11527430844667E-2</v>
      </c>
      <c r="CK185" s="7">
        <v>0.121442008203041</v>
      </c>
      <c r="CL185" s="7">
        <v>0.50766336694729697</v>
      </c>
      <c r="CM185" s="7">
        <v>1.0780676596663299</v>
      </c>
      <c r="CN185" s="7">
        <v>6.1152743084466703</v>
      </c>
      <c r="CO185" s="7">
        <v>12.1442008203041</v>
      </c>
      <c r="CP185" s="7">
        <v>47.810466586486598</v>
      </c>
      <c r="CQ185" s="7">
        <v>86.579085330126105</v>
      </c>
      <c r="CR185" s="7">
        <v>20.307545780962801</v>
      </c>
      <c r="CS185" s="7">
        <v>0.120979430721312</v>
      </c>
      <c r="CT185" s="7">
        <v>2.28036821167546</v>
      </c>
      <c r="CU185" s="7">
        <v>9.1688253615813995</v>
      </c>
      <c r="CV185" s="7">
        <v>10</v>
      </c>
      <c r="CW185" s="7">
        <v>12.0979430721312</v>
      </c>
      <c r="CX185" s="7">
        <v>95.391186357048099</v>
      </c>
      <c r="CY185" s="7">
        <v>100</v>
      </c>
      <c r="CZ185" s="7">
        <v>100</v>
      </c>
      <c r="DA185" s="9">
        <v>104.62536718591601</v>
      </c>
      <c r="DB185" s="9">
        <v>3.3135966941129302E-2</v>
      </c>
      <c r="DC185" s="9">
        <v>6.11527430844667E-2</v>
      </c>
      <c r="DD185" s="9">
        <v>7.0897708699540499E-2</v>
      </c>
      <c r="DE185" s="9">
        <v>7.6834119715052301E-2</v>
      </c>
      <c r="DF185" s="9">
        <v>3.3135966941129298</v>
      </c>
      <c r="DG185" s="9">
        <v>6.1152743084466703</v>
      </c>
      <c r="DH185" s="9">
        <v>7.0897708699540498</v>
      </c>
      <c r="DI185" s="9">
        <v>7.6834119715052296</v>
      </c>
    </row>
    <row r="186" spans="1:113">
      <c r="A186" s="5" t="s">
        <v>435</v>
      </c>
      <c r="B186" s="5" t="s">
        <v>486</v>
      </c>
      <c r="C186" s="5" t="s">
        <v>487</v>
      </c>
      <c r="D186" s="6">
        <v>845703</v>
      </c>
      <c r="E186" s="7">
        <v>8.4101571165335702</v>
      </c>
      <c r="F186" s="7">
        <v>2.8978069133017099</v>
      </c>
      <c r="G186" s="7">
        <v>9.0117736368441399</v>
      </c>
      <c r="H186" s="7">
        <v>9.8189009616851308</v>
      </c>
      <c r="I186" s="7">
        <v>9.9166527729001803</v>
      </c>
      <c r="J186" s="7">
        <v>88.708802026243305</v>
      </c>
      <c r="K186" s="7">
        <v>98.932367509634005</v>
      </c>
      <c r="L186" s="7">
        <v>99.567105709687695</v>
      </c>
      <c r="M186" s="7">
        <v>99.8019399245362</v>
      </c>
      <c r="N186" s="7">
        <v>8.3195907157762203</v>
      </c>
      <c r="O186" s="7">
        <v>6.4860701688417803</v>
      </c>
      <c r="P186" s="7">
        <v>9.6411045012256107</v>
      </c>
      <c r="Q186" s="7">
        <v>9.9099991368128109</v>
      </c>
      <c r="R186" s="7">
        <v>9.9998297274575094</v>
      </c>
      <c r="S186" s="7">
        <v>95.195003446836495</v>
      </c>
      <c r="T186" s="7">
        <v>99.880572730615796</v>
      </c>
      <c r="U186" s="7">
        <v>100</v>
      </c>
      <c r="V186" s="7">
        <v>100</v>
      </c>
      <c r="W186" s="7">
        <v>6.94044519412172</v>
      </c>
      <c r="X186" s="7">
        <v>9.55628749099861</v>
      </c>
      <c r="Y186" s="7">
        <v>10</v>
      </c>
      <c r="Z186" s="7">
        <v>10</v>
      </c>
      <c r="AA186" s="7">
        <v>10</v>
      </c>
      <c r="AB186" s="7">
        <v>99.852193973534398</v>
      </c>
      <c r="AC186" s="7">
        <v>100</v>
      </c>
      <c r="AD186" s="7">
        <v>100</v>
      </c>
      <c r="AE186" s="7">
        <v>100</v>
      </c>
      <c r="AF186" s="6">
        <v>9.7394728418365393</v>
      </c>
      <c r="AG186" s="6">
        <v>2.36643715346877</v>
      </c>
      <c r="AH186" s="6">
        <v>6.4422663748384501</v>
      </c>
      <c r="AI186" s="6">
        <v>8.5451594708780707</v>
      </c>
      <c r="AJ186" s="6">
        <v>9.2345788060347402</v>
      </c>
      <c r="AK186" s="6">
        <v>84.954883688481701</v>
      </c>
      <c r="AL186" s="6">
        <v>95.133516139826895</v>
      </c>
      <c r="AM186" s="6">
        <v>97.843096216993402</v>
      </c>
      <c r="AN186" s="6">
        <v>99.419299683222107</v>
      </c>
      <c r="AO186" s="6">
        <v>11.859867235238999</v>
      </c>
      <c r="AP186" s="7">
        <v>1.57442624656647</v>
      </c>
      <c r="AQ186" s="7">
        <v>7.7901438211759899</v>
      </c>
      <c r="AR186" s="7">
        <v>9.6674896506220307</v>
      </c>
      <c r="AS186" s="7">
        <v>9.9177902880798605</v>
      </c>
      <c r="AT186" s="7">
        <v>68.426504340176194</v>
      </c>
      <c r="AU186" s="7">
        <v>98.816132850421496</v>
      </c>
      <c r="AV186" s="7">
        <v>99.727918666482196</v>
      </c>
      <c r="AW186" s="7">
        <v>99.7742706363818</v>
      </c>
      <c r="AX186" s="7">
        <v>9.9645626425422105</v>
      </c>
      <c r="AY186" s="7">
        <v>4.1815542808763801</v>
      </c>
      <c r="AZ186" s="7">
        <v>9.1032371884692402</v>
      </c>
      <c r="BA186" s="7">
        <v>9.9393545961170808</v>
      </c>
      <c r="BB186" s="7">
        <v>9.9993650253103006</v>
      </c>
      <c r="BC186" s="7">
        <v>89.739069153118805</v>
      </c>
      <c r="BD186" s="7">
        <v>99.518625333006995</v>
      </c>
      <c r="BE186" s="7">
        <v>100</v>
      </c>
      <c r="BF186" s="7">
        <v>100</v>
      </c>
      <c r="BG186" s="7">
        <v>7.73886778333436</v>
      </c>
      <c r="BH186" s="7">
        <v>8.7363660765067603</v>
      </c>
      <c r="BI186" s="7">
        <v>10</v>
      </c>
      <c r="BJ186" s="7">
        <v>10</v>
      </c>
      <c r="BK186" s="7">
        <v>10</v>
      </c>
      <c r="BL186" s="7">
        <v>99.310869182207</v>
      </c>
      <c r="BM186" s="7">
        <v>100</v>
      </c>
      <c r="BN186" s="7">
        <v>100</v>
      </c>
      <c r="BO186" s="7">
        <v>100</v>
      </c>
      <c r="BP186" s="6">
        <v>14.735507398576299</v>
      </c>
      <c r="BQ186" s="6">
        <v>1.3044555831066</v>
      </c>
      <c r="BR186" s="6">
        <v>4.0596817085903698</v>
      </c>
      <c r="BS186" s="6">
        <v>6.4479610454261103</v>
      </c>
      <c r="BT186" s="6">
        <v>8.0558198327308794</v>
      </c>
      <c r="BU186" s="6">
        <v>62.757374633884503</v>
      </c>
      <c r="BV186" s="6">
        <v>89.434825228242104</v>
      </c>
      <c r="BW186" s="6">
        <v>96.918303470603703</v>
      </c>
      <c r="BX186" s="6">
        <v>98.949749498346407</v>
      </c>
      <c r="BY186" s="6" t="str">
        <f>TRIM(Table1[[#This Row],[LA_Name]])</f>
        <v>Hertfordshire</v>
      </c>
      <c r="BZ186" s="7">
        <v>25.277548960900099</v>
      </c>
      <c r="CA186" s="7">
        <v>0.27585097841677297</v>
      </c>
      <c r="CB186" s="7">
        <v>1.8178923333605299</v>
      </c>
      <c r="CC186" s="7">
        <v>5.13981858879536</v>
      </c>
      <c r="CD186" s="7">
        <v>8.5936765034533398</v>
      </c>
      <c r="CE186" s="7">
        <v>22.706316520102199</v>
      </c>
      <c r="CF186" s="7">
        <v>69.702720695090406</v>
      </c>
      <c r="CG186" s="7">
        <v>92.3072284241631</v>
      </c>
      <c r="CH186" s="7">
        <v>97.852319313044902</v>
      </c>
      <c r="CI186" s="7">
        <v>22.027726472360399</v>
      </c>
      <c r="CJ186" s="7">
        <v>0.79113589522562899</v>
      </c>
      <c r="CK186" s="7">
        <v>2.5765451937618802</v>
      </c>
      <c r="CL186" s="7">
        <v>5.1254222818176096</v>
      </c>
      <c r="CM186" s="7">
        <v>7.7813700554449996</v>
      </c>
      <c r="CN186" s="7">
        <v>44.069608361327802</v>
      </c>
      <c r="CO186" s="7">
        <v>75.862211674784206</v>
      </c>
      <c r="CP186" s="7">
        <v>91.289495248331903</v>
      </c>
      <c r="CQ186" s="7">
        <v>97.068829127956306</v>
      </c>
      <c r="CR186" s="7">
        <v>12.8681277481622</v>
      </c>
      <c r="CS186" s="7">
        <v>1.9451817009044501</v>
      </c>
      <c r="CT186" s="7">
        <v>8.7997736794122794</v>
      </c>
      <c r="CU186" s="7">
        <v>9.9997847944254694</v>
      </c>
      <c r="CV186" s="7">
        <v>10</v>
      </c>
      <c r="CW186" s="7">
        <v>69.1855178472821</v>
      </c>
      <c r="CX186" s="7">
        <v>99.865555638326896</v>
      </c>
      <c r="CY186" s="7">
        <v>100</v>
      </c>
      <c r="CZ186" s="7">
        <v>100</v>
      </c>
      <c r="DA186" s="9">
        <v>49.857064944159099</v>
      </c>
      <c r="DB186" s="9">
        <v>0.21304051185818201</v>
      </c>
      <c r="DC186" s="9">
        <v>0.74988855425604495</v>
      </c>
      <c r="DD186" s="9">
        <v>1.3534952577914501</v>
      </c>
      <c r="DE186" s="9">
        <v>1.89273894026626</v>
      </c>
      <c r="DF186" s="9">
        <v>17.759544426352999</v>
      </c>
      <c r="DG186" s="9">
        <v>43.037922296598197</v>
      </c>
      <c r="DH186" s="9">
        <v>57.682898133268999</v>
      </c>
      <c r="DI186" s="9">
        <v>67.543452015660407</v>
      </c>
    </row>
    <row r="187" spans="1:113">
      <c r="A187" s="5" t="s">
        <v>435</v>
      </c>
      <c r="B187" s="5" t="s">
        <v>488</v>
      </c>
      <c r="C187" s="5" t="s">
        <v>489</v>
      </c>
      <c r="D187" s="6">
        <v>68877</v>
      </c>
      <c r="E187" s="7">
        <v>6.1421381640684301</v>
      </c>
      <c r="F187" s="7">
        <v>3.9514061297675598</v>
      </c>
      <c r="G187" s="7">
        <v>9.9371488305239808</v>
      </c>
      <c r="H187" s="7">
        <v>10</v>
      </c>
      <c r="I187" s="7">
        <v>10</v>
      </c>
      <c r="J187" s="7">
        <v>97.498439246773202</v>
      </c>
      <c r="K187" s="7">
        <v>100</v>
      </c>
      <c r="L187" s="7">
        <v>100</v>
      </c>
      <c r="M187" s="7">
        <v>100</v>
      </c>
      <c r="N187" s="7">
        <v>7.1800343846638599</v>
      </c>
      <c r="O187" s="7">
        <v>8.5288848236711807</v>
      </c>
      <c r="P187" s="7">
        <v>10</v>
      </c>
      <c r="Q187" s="7">
        <v>10</v>
      </c>
      <c r="R187" s="7">
        <v>10</v>
      </c>
      <c r="S187" s="7">
        <v>100</v>
      </c>
      <c r="T187" s="7">
        <v>100</v>
      </c>
      <c r="U187" s="7">
        <v>100</v>
      </c>
      <c r="V187" s="7">
        <v>100</v>
      </c>
      <c r="W187" s="7">
        <v>6.4110934133945197</v>
      </c>
      <c r="X187" s="7">
        <v>10</v>
      </c>
      <c r="Y187" s="7">
        <v>10</v>
      </c>
      <c r="Z187" s="7">
        <v>10</v>
      </c>
      <c r="AA187" s="7">
        <v>10</v>
      </c>
      <c r="AB187" s="7">
        <v>100</v>
      </c>
      <c r="AC187" s="7">
        <v>100</v>
      </c>
      <c r="AD187" s="7">
        <v>100</v>
      </c>
      <c r="AE187" s="7">
        <v>100</v>
      </c>
      <c r="AF187" s="6">
        <v>6.1843371620407401</v>
      </c>
      <c r="AG187" s="6">
        <v>3.2621775048274499</v>
      </c>
      <c r="AH187" s="6">
        <v>8.3763956037574197</v>
      </c>
      <c r="AI187" s="6">
        <v>9.8321791018772604</v>
      </c>
      <c r="AJ187" s="6">
        <v>10</v>
      </c>
      <c r="AK187" s="6">
        <v>96.373245060034506</v>
      </c>
      <c r="AL187" s="6">
        <v>100</v>
      </c>
      <c r="AM187" s="6">
        <v>100</v>
      </c>
      <c r="AN187" s="6">
        <v>100</v>
      </c>
      <c r="AO187" s="6">
        <v>10.8262119191821</v>
      </c>
      <c r="AP187" s="7">
        <v>1.8624794924285299</v>
      </c>
      <c r="AQ187" s="7">
        <v>8.9470650580019395</v>
      </c>
      <c r="AR187" s="7">
        <v>9.9783817529799492</v>
      </c>
      <c r="AS187" s="7">
        <v>10</v>
      </c>
      <c r="AT187" s="7">
        <v>72.365230773698002</v>
      </c>
      <c r="AU187" s="7">
        <v>99.040318248471905</v>
      </c>
      <c r="AV187" s="7">
        <v>100</v>
      </c>
      <c r="AW187" s="7">
        <v>100</v>
      </c>
      <c r="AX187" s="7">
        <v>9.1886497682929509</v>
      </c>
      <c r="AY187" s="7">
        <v>4.7931820491600998</v>
      </c>
      <c r="AZ187" s="7">
        <v>9.9778155262279107</v>
      </c>
      <c r="BA187" s="7">
        <v>10</v>
      </c>
      <c r="BB187" s="7">
        <v>10</v>
      </c>
      <c r="BC187" s="7">
        <v>91.272848701308106</v>
      </c>
      <c r="BD187" s="7">
        <v>100</v>
      </c>
      <c r="BE187" s="7">
        <v>100</v>
      </c>
      <c r="BF187" s="7">
        <v>100</v>
      </c>
      <c r="BG187" s="7">
        <v>7.4820613615524296</v>
      </c>
      <c r="BH187" s="7">
        <v>9.4984102095039002</v>
      </c>
      <c r="BI187" s="7">
        <v>10</v>
      </c>
      <c r="BJ187" s="7">
        <v>10</v>
      </c>
      <c r="BK187" s="7">
        <v>10</v>
      </c>
      <c r="BL187" s="7">
        <v>100</v>
      </c>
      <c r="BM187" s="7">
        <v>100</v>
      </c>
      <c r="BN187" s="7">
        <v>100</v>
      </c>
      <c r="BO187" s="7">
        <v>100</v>
      </c>
      <c r="BP187" s="6">
        <v>12.963149068160501</v>
      </c>
      <c r="BQ187" s="6">
        <v>1.5116366856860799</v>
      </c>
      <c r="BR187" s="6">
        <v>4.6317638689257699</v>
      </c>
      <c r="BS187" s="6">
        <v>7.6011876243158101</v>
      </c>
      <c r="BT187" s="6">
        <v>9.3820578712777891</v>
      </c>
      <c r="BU187" s="6">
        <v>69.807047345267605</v>
      </c>
      <c r="BV187" s="6">
        <v>90.905527244218007</v>
      </c>
      <c r="BW187" s="6">
        <v>98.093703268144694</v>
      </c>
      <c r="BX187" s="6">
        <v>100</v>
      </c>
      <c r="BY187" s="6" t="str">
        <f>TRIM(Table1[[#This Row],[LA_Name]])</f>
        <v>Broxbourne</v>
      </c>
      <c r="BZ187" s="7">
        <v>31.899809045856099</v>
      </c>
      <c r="CA187" s="7">
        <v>0.14403937453721899</v>
      </c>
      <c r="CB187" s="7">
        <v>0.73035991695340996</v>
      </c>
      <c r="CC187" s="7">
        <v>2.6129186811272298</v>
      </c>
      <c r="CD187" s="7">
        <v>6.5576026830436902</v>
      </c>
      <c r="CE187" s="7">
        <v>14.4039374537219</v>
      </c>
      <c r="CF187" s="7">
        <v>49.286409106087703</v>
      </c>
      <c r="CG187" s="7">
        <v>78.304804216211494</v>
      </c>
      <c r="CH187" s="7">
        <v>98.093703268144694</v>
      </c>
      <c r="CI187" s="7">
        <v>26.5629812627155</v>
      </c>
      <c r="CJ187" s="7">
        <v>0.21505001669643001</v>
      </c>
      <c r="CK187" s="7">
        <v>0.61120548223644999</v>
      </c>
      <c r="CL187" s="7">
        <v>2.2663298343423799</v>
      </c>
      <c r="CM187" s="7">
        <v>4.8067424539396297</v>
      </c>
      <c r="CN187" s="7">
        <v>21.505001669643001</v>
      </c>
      <c r="CO187" s="7">
        <v>55.182426644598301</v>
      </c>
      <c r="CP187" s="7">
        <v>99.487492196233902</v>
      </c>
      <c r="CQ187" s="7">
        <v>100</v>
      </c>
      <c r="CR187" s="7">
        <v>15.1796762081594</v>
      </c>
      <c r="CS187" s="7">
        <v>0.38648605485140197</v>
      </c>
      <c r="CT187" s="7">
        <v>7.8372606240109199</v>
      </c>
      <c r="CU187" s="7">
        <v>10</v>
      </c>
      <c r="CV187" s="7">
        <v>10</v>
      </c>
      <c r="CW187" s="7">
        <v>37.9110588440263</v>
      </c>
      <c r="CX187" s="7">
        <v>100</v>
      </c>
      <c r="CY187" s="7">
        <v>100</v>
      </c>
      <c r="CZ187" s="7">
        <v>100</v>
      </c>
      <c r="DA187" s="9">
        <v>67.284049055299604</v>
      </c>
      <c r="DB187" s="9">
        <v>9.0088128112432303E-2</v>
      </c>
      <c r="DC187" s="9">
        <v>0.21505001669643001</v>
      </c>
      <c r="DD187" s="9">
        <v>0.261945206672765</v>
      </c>
      <c r="DE187" s="9">
        <v>0.37636656648808697</v>
      </c>
      <c r="DF187" s="9">
        <v>9.0088128112432297</v>
      </c>
      <c r="DG187" s="9">
        <v>21.505001669643001</v>
      </c>
      <c r="DH187" s="9">
        <v>26.1945206672765</v>
      </c>
      <c r="DI187" s="9">
        <v>37.636656648808703</v>
      </c>
    </row>
    <row r="188" spans="1:113">
      <c r="A188" s="5" t="s">
        <v>435</v>
      </c>
      <c r="B188" s="5" t="s">
        <v>490</v>
      </c>
      <c r="C188" s="5" t="s">
        <v>491</v>
      </c>
      <c r="D188" s="6">
        <v>110400</v>
      </c>
      <c r="E188" s="7">
        <v>8.7103593293993207</v>
      </c>
      <c r="F188" s="7">
        <v>3.5326449275362299</v>
      </c>
      <c r="G188" s="7">
        <v>8.9825452898550697</v>
      </c>
      <c r="H188" s="7">
        <v>9.7170923913043499</v>
      </c>
      <c r="I188" s="7">
        <v>9.7892934782608698</v>
      </c>
      <c r="J188" s="7">
        <v>86.584239130434796</v>
      </c>
      <c r="K188" s="7">
        <v>98.225543478260903</v>
      </c>
      <c r="L188" s="7">
        <v>98.454710144927503</v>
      </c>
      <c r="M188" s="7">
        <v>99.311594202898505</v>
      </c>
      <c r="N188" s="7">
        <v>8.5209779817600193</v>
      </c>
      <c r="O188" s="7">
        <v>7.1344474637681197</v>
      </c>
      <c r="P188" s="7">
        <v>9.6793206521739101</v>
      </c>
      <c r="Q188" s="7">
        <v>10</v>
      </c>
      <c r="R188" s="7">
        <v>10</v>
      </c>
      <c r="S188" s="7">
        <v>91.221920289855106</v>
      </c>
      <c r="T188" s="7">
        <v>99.900362318840607</v>
      </c>
      <c r="U188" s="7">
        <v>100</v>
      </c>
      <c r="V188" s="7">
        <v>100</v>
      </c>
      <c r="W188" s="7">
        <v>6.8889088047760101</v>
      </c>
      <c r="X188" s="7">
        <v>9.6271467391304295</v>
      </c>
      <c r="Y188" s="7">
        <v>10</v>
      </c>
      <c r="Z188" s="7">
        <v>10</v>
      </c>
      <c r="AA188" s="7">
        <v>10</v>
      </c>
      <c r="AB188" s="7">
        <v>99.701086956521706</v>
      </c>
      <c r="AC188" s="7">
        <v>100</v>
      </c>
      <c r="AD188" s="7">
        <v>100</v>
      </c>
      <c r="AE188" s="7">
        <v>100</v>
      </c>
      <c r="AF188" s="6">
        <v>10.5074608537593</v>
      </c>
      <c r="AG188" s="6">
        <v>2.8769021739130398</v>
      </c>
      <c r="AH188" s="6">
        <v>7.0775090579710103</v>
      </c>
      <c r="AI188" s="6">
        <v>8.23609601449275</v>
      </c>
      <c r="AJ188" s="6">
        <v>8.7384782608695595</v>
      </c>
      <c r="AK188" s="6">
        <v>84.817028985507307</v>
      </c>
      <c r="AL188" s="6">
        <v>91.775362318840607</v>
      </c>
      <c r="AM188" s="6">
        <v>94.781702898550705</v>
      </c>
      <c r="AN188" s="6">
        <v>99.311594202898505</v>
      </c>
      <c r="AO188" s="6">
        <v>12.5567235649678</v>
      </c>
      <c r="AP188" s="7">
        <v>1.1685869565217399</v>
      </c>
      <c r="AQ188" s="7">
        <v>7.2386684782608697</v>
      </c>
      <c r="AR188" s="7">
        <v>9.7827717391304407</v>
      </c>
      <c r="AS188" s="7">
        <v>9.8702445652173907</v>
      </c>
      <c r="AT188" s="7">
        <v>63.393115942028999</v>
      </c>
      <c r="AU188" s="7">
        <v>99.358695652173907</v>
      </c>
      <c r="AV188" s="7">
        <v>100</v>
      </c>
      <c r="AW188" s="7">
        <v>100</v>
      </c>
      <c r="AX188" s="7">
        <v>10.1875594979697</v>
      </c>
      <c r="AY188" s="7">
        <v>3.13311594202899</v>
      </c>
      <c r="AZ188" s="7">
        <v>9.2823641304347806</v>
      </c>
      <c r="BA188" s="7">
        <v>10</v>
      </c>
      <c r="BB188" s="7">
        <v>10</v>
      </c>
      <c r="BC188" s="7">
        <v>89.459239130434796</v>
      </c>
      <c r="BD188" s="7">
        <v>100</v>
      </c>
      <c r="BE188" s="7">
        <v>100</v>
      </c>
      <c r="BF188" s="7">
        <v>100</v>
      </c>
      <c r="BG188" s="7">
        <v>7.8690070560229</v>
      </c>
      <c r="BH188" s="7">
        <v>8.8033605072463796</v>
      </c>
      <c r="BI188" s="7">
        <v>10</v>
      </c>
      <c r="BJ188" s="7">
        <v>10</v>
      </c>
      <c r="BK188" s="7">
        <v>10</v>
      </c>
      <c r="BL188" s="7">
        <v>99.875</v>
      </c>
      <c r="BM188" s="7">
        <v>100</v>
      </c>
      <c r="BN188" s="7">
        <v>100</v>
      </c>
      <c r="BO188" s="7">
        <v>100</v>
      </c>
      <c r="BP188" s="6">
        <v>15.609557155985</v>
      </c>
      <c r="BQ188" s="6">
        <v>0.97805253623188404</v>
      </c>
      <c r="BR188" s="6">
        <v>3.0087771739130398</v>
      </c>
      <c r="BS188" s="6">
        <v>5.3718297101449304</v>
      </c>
      <c r="BT188" s="6">
        <v>7.3218115942028996</v>
      </c>
      <c r="BU188" s="6">
        <v>53.340579710144901</v>
      </c>
      <c r="BV188" s="6">
        <v>88.585144927536206</v>
      </c>
      <c r="BW188" s="6">
        <v>99.703804347826093</v>
      </c>
      <c r="BX188" s="6">
        <v>100</v>
      </c>
      <c r="BY188" s="6" t="str">
        <f>TRIM(Table1[[#This Row],[LA_Name]])</f>
        <v>Dacorum</v>
      </c>
      <c r="BZ188" s="7">
        <v>23.691873270679199</v>
      </c>
      <c r="CA188" s="7">
        <v>0.317047101449275</v>
      </c>
      <c r="CB188" s="7">
        <v>1.93559782608696</v>
      </c>
      <c r="CC188" s="7">
        <v>4.9301268115942003</v>
      </c>
      <c r="CD188" s="7">
        <v>8.6786141304347808</v>
      </c>
      <c r="CE188" s="7">
        <v>24.989130434782599</v>
      </c>
      <c r="CF188" s="7">
        <v>76.624094202898505</v>
      </c>
      <c r="CG188" s="7">
        <v>93.518115942028999</v>
      </c>
      <c r="CH188" s="7">
        <v>98.418478260869605</v>
      </c>
      <c r="CI188" s="7">
        <v>21.685365151015699</v>
      </c>
      <c r="CJ188" s="7">
        <v>0.94376811594202903</v>
      </c>
      <c r="CK188" s="7">
        <v>2.7279166666666699</v>
      </c>
      <c r="CL188" s="7">
        <v>4.68194746376812</v>
      </c>
      <c r="CM188" s="7">
        <v>7.8351992753623199</v>
      </c>
      <c r="CN188" s="7">
        <v>51.038949275362299</v>
      </c>
      <c r="CO188" s="7">
        <v>73.311594202898604</v>
      </c>
      <c r="CP188" s="7">
        <v>89.615942028985501</v>
      </c>
      <c r="CQ188" s="7">
        <v>99.601449275362299</v>
      </c>
      <c r="CR188" s="7">
        <v>12.5973832482834</v>
      </c>
      <c r="CS188" s="7">
        <v>2.4512137681159398</v>
      </c>
      <c r="CT188" s="7">
        <v>8.8371105072463791</v>
      </c>
      <c r="CU188" s="7">
        <v>10</v>
      </c>
      <c r="CV188" s="7">
        <v>10</v>
      </c>
      <c r="CW188" s="7">
        <v>68.203804347826093</v>
      </c>
      <c r="CX188" s="7">
        <v>100</v>
      </c>
      <c r="CY188" s="7">
        <v>100</v>
      </c>
      <c r="CZ188" s="7">
        <v>100</v>
      </c>
      <c r="DA188" s="9">
        <v>49.626648492148</v>
      </c>
      <c r="DB188" s="9">
        <v>0.21455615942028999</v>
      </c>
      <c r="DC188" s="9">
        <v>0.910461956521739</v>
      </c>
      <c r="DD188" s="9">
        <v>1.75201992753623</v>
      </c>
      <c r="DE188" s="9">
        <v>2.29859601449275</v>
      </c>
      <c r="DF188" s="9">
        <v>16.598731884058001</v>
      </c>
      <c r="DG188" s="9">
        <v>50.903985507246396</v>
      </c>
      <c r="DH188" s="9">
        <v>62.105978260869598</v>
      </c>
      <c r="DI188" s="9">
        <v>65.0833333333333</v>
      </c>
    </row>
    <row r="189" spans="1:113">
      <c r="A189" s="5" t="s">
        <v>435</v>
      </c>
      <c r="B189" s="5" t="s">
        <v>492</v>
      </c>
      <c r="C189" s="5" t="s">
        <v>493</v>
      </c>
      <c r="D189" s="6">
        <v>107554</v>
      </c>
      <c r="E189" s="7">
        <v>11.766748282743</v>
      </c>
      <c r="F189" s="7">
        <v>1.59957788645704</v>
      </c>
      <c r="G189" s="7">
        <v>7.0227234691410798</v>
      </c>
      <c r="H189" s="7">
        <v>9.2770329322944693</v>
      </c>
      <c r="I189" s="7">
        <v>9.7331201071089897</v>
      </c>
      <c r="J189" s="7">
        <v>73.654164419733306</v>
      </c>
      <c r="K189" s="7">
        <v>96.517098387786604</v>
      </c>
      <c r="L189" s="7">
        <v>99.333358127080302</v>
      </c>
      <c r="M189" s="7">
        <v>99.915391338304502</v>
      </c>
      <c r="N189" s="7">
        <v>10.053368172520599</v>
      </c>
      <c r="O189" s="7">
        <v>3.3509306952786502</v>
      </c>
      <c r="P189" s="7">
        <v>8.5417092809193491</v>
      </c>
      <c r="Q189" s="7">
        <v>9.6198374769882999</v>
      </c>
      <c r="R189" s="7">
        <v>9.9986611376610792</v>
      </c>
      <c r="S189" s="7">
        <v>86.987001878126307</v>
      </c>
      <c r="T189" s="7">
        <v>99.781505104412702</v>
      </c>
      <c r="U189" s="7">
        <v>100</v>
      </c>
      <c r="V189" s="7">
        <v>100</v>
      </c>
      <c r="W189" s="7">
        <v>7.6816389011304196</v>
      </c>
      <c r="X189" s="7">
        <v>8.1271454339215694</v>
      </c>
      <c r="Y189" s="7">
        <v>10</v>
      </c>
      <c r="Z189" s="7">
        <v>10</v>
      </c>
      <c r="AA189" s="7">
        <v>10</v>
      </c>
      <c r="AB189" s="7">
        <v>99.599271063837705</v>
      </c>
      <c r="AC189" s="7">
        <v>100</v>
      </c>
      <c r="AD189" s="7">
        <v>100</v>
      </c>
      <c r="AE189" s="7">
        <v>100</v>
      </c>
      <c r="AF189" s="6">
        <v>15.1668451051003</v>
      </c>
      <c r="AG189" s="6">
        <v>1.35345965747438</v>
      </c>
      <c r="AH189" s="6">
        <v>3.4991074251073901</v>
      </c>
      <c r="AI189" s="6">
        <v>5.8877029213232399</v>
      </c>
      <c r="AJ189" s="6">
        <v>7.4911579299700604</v>
      </c>
      <c r="AK189" s="6">
        <v>66.637224092083997</v>
      </c>
      <c r="AL189" s="6">
        <v>86.596500362608595</v>
      </c>
      <c r="AM189" s="6">
        <v>94.921620767242501</v>
      </c>
      <c r="AN189" s="6">
        <v>97.9312717332689</v>
      </c>
      <c r="AO189" s="6">
        <v>12.653111779533001</v>
      </c>
      <c r="AP189" s="7">
        <v>1.7676794912323099</v>
      </c>
      <c r="AQ189" s="7">
        <v>7.3739981776595904</v>
      </c>
      <c r="AR189" s="7">
        <v>9.2059151681945792</v>
      </c>
      <c r="AS189" s="7">
        <v>9.7441657214050608</v>
      </c>
      <c r="AT189" s="7">
        <v>71.228406195957405</v>
      </c>
      <c r="AU189" s="7">
        <v>95.672871301857697</v>
      </c>
      <c r="AV189" s="7">
        <v>98.607211261319904</v>
      </c>
      <c r="AW189" s="7">
        <v>98.776428584710899</v>
      </c>
      <c r="AX189" s="7">
        <v>10.676280578351401</v>
      </c>
      <c r="AY189" s="7">
        <v>4.0259032671960098</v>
      </c>
      <c r="AZ189" s="7">
        <v>8.2791713929746908</v>
      </c>
      <c r="BA189" s="7">
        <v>9.5896665860869899</v>
      </c>
      <c r="BB189" s="7">
        <v>9.9960020082935106</v>
      </c>
      <c r="BC189" s="7">
        <v>83.764434609591504</v>
      </c>
      <c r="BD189" s="7">
        <v>97.543559514290493</v>
      </c>
      <c r="BE189" s="7">
        <v>100</v>
      </c>
      <c r="BF189" s="7">
        <v>100</v>
      </c>
      <c r="BG189" s="7">
        <v>7.8545924085056003</v>
      </c>
      <c r="BH189" s="7">
        <v>8.2680142068170408</v>
      </c>
      <c r="BI189" s="7">
        <v>10</v>
      </c>
      <c r="BJ189" s="7">
        <v>10</v>
      </c>
      <c r="BK189" s="7">
        <v>10</v>
      </c>
      <c r="BL189" s="7">
        <v>96.965245365118903</v>
      </c>
      <c r="BM189" s="7">
        <v>100</v>
      </c>
      <c r="BN189" s="7">
        <v>100</v>
      </c>
      <c r="BO189" s="7">
        <v>100</v>
      </c>
      <c r="BP189" s="6">
        <v>17.2512573081802</v>
      </c>
      <c r="BQ189" s="6">
        <v>1.42773862431895</v>
      </c>
      <c r="BR189" s="6">
        <v>3.9693921193075101</v>
      </c>
      <c r="BS189" s="6">
        <v>6.0932368856574399</v>
      </c>
      <c r="BT189" s="6">
        <v>7.5738233817431198</v>
      </c>
      <c r="BU189" s="6">
        <v>67.355003068226196</v>
      </c>
      <c r="BV189" s="6">
        <v>83.144281012328705</v>
      </c>
      <c r="BW189" s="6">
        <v>87.891663722409206</v>
      </c>
      <c r="BX189" s="6">
        <v>95.156851442066298</v>
      </c>
      <c r="BY189" s="6" t="str">
        <f>TRIM(Table1[[#This Row],[LA_Name]])</f>
        <v>East Hertfordshire</v>
      </c>
      <c r="BZ189" s="7">
        <v>33.723694777736803</v>
      </c>
      <c r="CA189" s="7">
        <v>9.1516819458132698E-2</v>
      </c>
      <c r="CB189" s="7">
        <v>0.77425293341019397</v>
      </c>
      <c r="CC189" s="7">
        <v>2.6191401528534501</v>
      </c>
      <c r="CD189" s="7">
        <v>5.4600014876248197</v>
      </c>
      <c r="CE189" s="7">
        <v>9.1516819458132694</v>
      </c>
      <c r="CF189" s="7">
        <v>51.501571303717199</v>
      </c>
      <c r="CG189" s="7">
        <v>79.956115067779905</v>
      </c>
      <c r="CH189" s="7">
        <v>90.575896758837402</v>
      </c>
      <c r="CI189" s="7">
        <v>31.0943802043017</v>
      </c>
      <c r="CJ189" s="7">
        <v>0.17678561466798101</v>
      </c>
      <c r="CK189" s="7">
        <v>0.78427580564181698</v>
      </c>
      <c r="CL189" s="7">
        <v>2.4074697361325499</v>
      </c>
      <c r="CM189" s="7">
        <v>4.9825761942837996</v>
      </c>
      <c r="CN189" s="7">
        <v>17.678561466798101</v>
      </c>
      <c r="CO189" s="7">
        <v>53.058928538222702</v>
      </c>
      <c r="CP189" s="7">
        <v>82.862562061847996</v>
      </c>
      <c r="CQ189" s="7">
        <v>92.124886103724606</v>
      </c>
      <c r="CR189" s="7">
        <v>16.341283170762399</v>
      </c>
      <c r="CS189" s="7">
        <v>0.77381594361901895</v>
      </c>
      <c r="CT189" s="7">
        <v>6.6930658088030199</v>
      </c>
      <c r="CU189" s="7">
        <v>9.9983078267660908</v>
      </c>
      <c r="CV189" s="7">
        <v>10</v>
      </c>
      <c r="CW189" s="7">
        <v>45.9313461145099</v>
      </c>
      <c r="CX189" s="7">
        <v>99.042341521468302</v>
      </c>
      <c r="CY189" s="7">
        <v>100</v>
      </c>
      <c r="CZ189" s="7">
        <v>100</v>
      </c>
      <c r="DA189" s="9">
        <v>73.466776311931795</v>
      </c>
      <c r="DB189" s="9">
        <v>5.9690945943433098E-2</v>
      </c>
      <c r="DC189" s="9">
        <v>0.174544879781319</v>
      </c>
      <c r="DD189" s="9">
        <v>0.29658590103575899</v>
      </c>
      <c r="DE189" s="9">
        <v>0.49451438347248799</v>
      </c>
      <c r="DF189" s="9">
        <v>5.9690945943433098</v>
      </c>
      <c r="DG189" s="9">
        <v>17.454487978131901</v>
      </c>
      <c r="DH189" s="9">
        <v>29.4345166149097</v>
      </c>
      <c r="DI189" s="9">
        <v>44.443721293489801</v>
      </c>
    </row>
    <row r="190" spans="1:113">
      <c r="A190" s="5" t="s">
        <v>435</v>
      </c>
      <c r="B190" s="5" t="s">
        <v>494</v>
      </c>
      <c r="C190" s="5" t="s">
        <v>495</v>
      </c>
      <c r="D190" s="6">
        <v>73072</v>
      </c>
      <c r="E190" s="7">
        <v>7.6667139088778402</v>
      </c>
      <c r="F190" s="7">
        <v>2.6598012918765099</v>
      </c>
      <c r="G190" s="7">
        <v>9.5582986643310708</v>
      </c>
      <c r="H190" s="7">
        <v>9.9673746441865596</v>
      </c>
      <c r="I190" s="7">
        <v>9.9853569082548699</v>
      </c>
      <c r="J190" s="7">
        <v>94.5902671337859</v>
      </c>
      <c r="K190" s="7">
        <v>99.707138165097405</v>
      </c>
      <c r="L190" s="7">
        <v>100</v>
      </c>
      <c r="M190" s="7">
        <v>100</v>
      </c>
      <c r="N190" s="7">
        <v>7.8547623039975498</v>
      </c>
      <c r="O190" s="7">
        <v>6.0007116268885499</v>
      </c>
      <c r="P190" s="7">
        <v>10</v>
      </c>
      <c r="Q190" s="7">
        <v>10</v>
      </c>
      <c r="R190" s="7">
        <v>10</v>
      </c>
      <c r="S190" s="7">
        <v>99.6195533172761</v>
      </c>
      <c r="T190" s="7">
        <v>100</v>
      </c>
      <c r="U190" s="7">
        <v>100</v>
      </c>
      <c r="V190" s="7">
        <v>100</v>
      </c>
      <c r="W190" s="7">
        <v>6.8349048771585696</v>
      </c>
      <c r="X190" s="7">
        <v>9.9700158747536705</v>
      </c>
      <c r="Y190" s="7">
        <v>10</v>
      </c>
      <c r="Z190" s="7">
        <v>10</v>
      </c>
      <c r="AA190" s="7">
        <v>10</v>
      </c>
      <c r="AB190" s="7">
        <v>100</v>
      </c>
      <c r="AC190" s="7">
        <v>100</v>
      </c>
      <c r="AD190" s="7">
        <v>100</v>
      </c>
      <c r="AE190" s="7">
        <v>100</v>
      </c>
      <c r="AF190" s="6">
        <v>8.2966246797410808</v>
      </c>
      <c r="AG190" s="6">
        <v>2.0270691920297801</v>
      </c>
      <c r="AH190" s="6">
        <v>5.6362081234946402</v>
      </c>
      <c r="AI190" s="6">
        <v>8.6014752572804891</v>
      </c>
      <c r="AJ190" s="6">
        <v>9.6868978541712298</v>
      </c>
      <c r="AK190" s="6">
        <v>89.244854390190497</v>
      </c>
      <c r="AL190" s="6">
        <v>99.072148018392795</v>
      </c>
      <c r="AM190" s="6">
        <v>99.794723012918794</v>
      </c>
      <c r="AN190" s="6">
        <v>100</v>
      </c>
      <c r="AO190" s="6">
        <v>7.8873862828839103</v>
      </c>
      <c r="AP190" s="7">
        <v>2.2901248084081498</v>
      </c>
      <c r="AQ190" s="7">
        <v>9.7715814539084693</v>
      </c>
      <c r="AR190" s="7">
        <v>9.9822230129187695</v>
      </c>
      <c r="AS190" s="7">
        <v>9.9941427633019497</v>
      </c>
      <c r="AT190" s="7">
        <v>92.603185898839499</v>
      </c>
      <c r="AU190" s="7">
        <v>99.707138165097405</v>
      </c>
      <c r="AV190" s="7">
        <v>100</v>
      </c>
      <c r="AW190" s="7">
        <v>100</v>
      </c>
      <c r="AX190" s="7">
        <v>7.7598178714924897</v>
      </c>
      <c r="AY190" s="7">
        <v>5.75676045544121</v>
      </c>
      <c r="AZ190" s="7">
        <v>10</v>
      </c>
      <c r="BA190" s="7">
        <v>10</v>
      </c>
      <c r="BB190" s="7">
        <v>10</v>
      </c>
      <c r="BC190" s="7">
        <v>99.707138165097405</v>
      </c>
      <c r="BD190" s="7">
        <v>100</v>
      </c>
      <c r="BE190" s="7">
        <v>100</v>
      </c>
      <c r="BF190" s="7">
        <v>100</v>
      </c>
      <c r="BG190" s="7">
        <v>6.8056273218811203</v>
      </c>
      <c r="BH190" s="7">
        <v>9.9691400262754506</v>
      </c>
      <c r="BI190" s="7">
        <v>10</v>
      </c>
      <c r="BJ190" s="7">
        <v>10</v>
      </c>
      <c r="BK190" s="7">
        <v>10</v>
      </c>
      <c r="BL190" s="7">
        <v>100</v>
      </c>
      <c r="BM190" s="7">
        <v>100</v>
      </c>
      <c r="BN190" s="7">
        <v>100</v>
      </c>
      <c r="BO190" s="7">
        <v>100</v>
      </c>
      <c r="BP190" s="6">
        <v>8.2747121923416493</v>
      </c>
      <c r="BQ190" s="6">
        <v>1.82264068316181</v>
      </c>
      <c r="BR190" s="6">
        <v>5.4065852857455701</v>
      </c>
      <c r="BS190" s="6">
        <v>7.9951691482373501</v>
      </c>
      <c r="BT190" s="6">
        <v>9.4176018173855898</v>
      </c>
      <c r="BU190" s="6">
        <v>86.927961462667</v>
      </c>
      <c r="BV190" s="6">
        <v>99.707138165097405</v>
      </c>
      <c r="BW190" s="6">
        <v>100</v>
      </c>
      <c r="BX190" s="6">
        <v>100</v>
      </c>
      <c r="BY190" s="6" t="str">
        <f>TRIM(Table1[[#This Row],[LA_Name]])</f>
        <v>Hertsmere</v>
      </c>
      <c r="BZ190" s="7">
        <v>33.704382384034801</v>
      </c>
      <c r="CA190" s="7">
        <v>3.3939128530764201E-3</v>
      </c>
      <c r="CB190" s="7">
        <v>0.55657433763958797</v>
      </c>
      <c r="CC190" s="7">
        <v>4.4762562951609404</v>
      </c>
      <c r="CD190" s="7">
        <v>9.6795626231661895</v>
      </c>
      <c r="CE190" s="7">
        <v>0.33939128530764201</v>
      </c>
      <c r="CF190" s="7">
        <v>24.6482920954675</v>
      </c>
      <c r="CG190" s="7">
        <v>96.157214801839302</v>
      </c>
      <c r="CH190" s="7">
        <v>99.707138165097405</v>
      </c>
      <c r="CI190" s="7">
        <v>35.984017923464499</v>
      </c>
      <c r="CJ190" s="7">
        <v>0.26907707466608299</v>
      </c>
      <c r="CK190" s="7">
        <v>1.42995949200788</v>
      </c>
      <c r="CL190" s="7">
        <v>3.3836353185898802</v>
      </c>
      <c r="CM190" s="7">
        <v>9.2339473396102498</v>
      </c>
      <c r="CN190" s="7">
        <v>8.5887891394788696</v>
      </c>
      <c r="CO190" s="7">
        <v>31.541493321655398</v>
      </c>
      <c r="CP190" s="7">
        <v>67.020199255528794</v>
      </c>
      <c r="CQ190" s="7">
        <v>100</v>
      </c>
      <c r="CR190" s="7">
        <v>18.360660573592799</v>
      </c>
      <c r="CS190" s="7">
        <v>0.70653601926866605</v>
      </c>
      <c r="CT190" s="7">
        <v>9.7379297131596196</v>
      </c>
      <c r="CU190" s="7">
        <v>10</v>
      </c>
      <c r="CV190" s="7">
        <v>10</v>
      </c>
      <c r="CW190" s="7">
        <v>25.654149332165499</v>
      </c>
      <c r="CX190" s="7">
        <v>100</v>
      </c>
      <c r="CY190" s="7">
        <v>100</v>
      </c>
      <c r="CZ190" s="7">
        <v>100</v>
      </c>
      <c r="DA190" s="9">
        <v>94.267446891233604</v>
      </c>
      <c r="DB190" s="9">
        <v>3.3939128530764201E-3</v>
      </c>
      <c r="DC190" s="9">
        <v>0.22421721042259701</v>
      </c>
      <c r="DD190" s="9">
        <v>0.46094263192467699</v>
      </c>
      <c r="DE190" s="9">
        <v>0.92329483249397903</v>
      </c>
      <c r="DF190" s="9">
        <v>0.33939128530764201</v>
      </c>
      <c r="DG190" s="9">
        <v>8.5887891394788696</v>
      </c>
      <c r="DH190" s="9">
        <v>13.5523866871031</v>
      </c>
      <c r="DI190" s="9">
        <v>22.538044668272398</v>
      </c>
    </row>
    <row r="191" spans="1:113">
      <c r="A191" s="5" t="s">
        <v>435</v>
      </c>
      <c r="B191" s="5" t="s">
        <v>496</v>
      </c>
      <c r="C191" s="5" t="s">
        <v>497</v>
      </c>
      <c r="D191" s="6">
        <v>94775</v>
      </c>
      <c r="E191" s="7">
        <v>9.7569001280206393</v>
      </c>
      <c r="F191" s="7">
        <v>2.0809707201266199</v>
      </c>
      <c r="G191" s="7">
        <v>8.1665840147718303</v>
      </c>
      <c r="H191" s="7">
        <v>9.6935267739382809</v>
      </c>
      <c r="I191" s="7">
        <v>9.8415299393299893</v>
      </c>
      <c r="J191" s="7">
        <v>86.330783434449998</v>
      </c>
      <c r="K191" s="7">
        <v>97.383276180427302</v>
      </c>
      <c r="L191" s="7">
        <v>98.693748351358494</v>
      </c>
      <c r="M191" s="7">
        <v>99.130572408335496</v>
      </c>
      <c r="N191" s="7">
        <v>8.7972011698031292</v>
      </c>
      <c r="O191" s="7">
        <v>5.1687681350567098</v>
      </c>
      <c r="P191" s="7">
        <v>8.8850013189132095</v>
      </c>
      <c r="Q191" s="7">
        <v>9.6283197045634399</v>
      </c>
      <c r="R191" s="7">
        <v>10</v>
      </c>
      <c r="S191" s="7">
        <v>93.370614613558402</v>
      </c>
      <c r="T191" s="7">
        <v>99.298338169348497</v>
      </c>
      <c r="U191" s="7">
        <v>100</v>
      </c>
      <c r="V191" s="7">
        <v>100</v>
      </c>
      <c r="W191" s="7">
        <v>7.1603486094000601</v>
      </c>
      <c r="X191" s="7">
        <v>8.7059667633869697</v>
      </c>
      <c r="Y191" s="7">
        <v>10</v>
      </c>
      <c r="Z191" s="7">
        <v>10</v>
      </c>
      <c r="AA191" s="7">
        <v>10</v>
      </c>
      <c r="AB191" s="7">
        <v>99.484041150092295</v>
      </c>
      <c r="AC191" s="7">
        <v>100</v>
      </c>
      <c r="AD191" s="7">
        <v>100</v>
      </c>
      <c r="AE191" s="7">
        <v>100</v>
      </c>
      <c r="AF191" s="6">
        <v>11.2434742592952</v>
      </c>
      <c r="AG191" s="6">
        <v>1.7934687417567901</v>
      </c>
      <c r="AH191" s="6">
        <v>5.1520970720126602</v>
      </c>
      <c r="AI191" s="6">
        <v>7.67611711949354</v>
      </c>
      <c r="AJ191" s="6">
        <v>8.3109997362173598</v>
      </c>
      <c r="AK191" s="6">
        <v>82.691638090213701</v>
      </c>
      <c r="AL191" s="6">
        <v>93.466631495647604</v>
      </c>
      <c r="AM191" s="6">
        <v>96.814560801899205</v>
      </c>
      <c r="AN191" s="6">
        <v>98.389870746504897</v>
      </c>
      <c r="AO191" s="6">
        <v>12.4792563320876</v>
      </c>
      <c r="AP191" s="7">
        <v>1.40673173305197</v>
      </c>
      <c r="AQ191" s="7">
        <v>7.2207544183592702</v>
      </c>
      <c r="AR191" s="7">
        <v>9.3489105776839896</v>
      </c>
      <c r="AS191" s="7">
        <v>9.7726193616460009</v>
      </c>
      <c r="AT191" s="7">
        <v>66.995515695067297</v>
      </c>
      <c r="AU191" s="7">
        <v>97.8591400685835</v>
      </c>
      <c r="AV191" s="7">
        <v>99.152730150356106</v>
      </c>
      <c r="AW191" s="7">
        <v>99.374307570561896</v>
      </c>
      <c r="AX191" s="7">
        <v>10.558238236938699</v>
      </c>
      <c r="AY191" s="7">
        <v>4.0307254022685299</v>
      </c>
      <c r="AZ191" s="7">
        <v>8.4443998944869403</v>
      </c>
      <c r="BA191" s="7">
        <v>9.9245054075441796</v>
      </c>
      <c r="BB191" s="7">
        <v>9.9988710102875196</v>
      </c>
      <c r="BC191" s="7">
        <v>88.160379847006098</v>
      </c>
      <c r="BD191" s="7">
        <v>98.492218412028507</v>
      </c>
      <c r="BE191" s="7">
        <v>100</v>
      </c>
      <c r="BF191" s="7">
        <v>100</v>
      </c>
      <c r="BG191" s="7">
        <v>7.9314627313827701</v>
      </c>
      <c r="BH191" s="7">
        <v>8.0292271168557097</v>
      </c>
      <c r="BI191" s="7">
        <v>10</v>
      </c>
      <c r="BJ191" s="7">
        <v>10</v>
      </c>
      <c r="BK191" s="7">
        <v>10</v>
      </c>
      <c r="BL191" s="7">
        <v>97.440253231337394</v>
      </c>
      <c r="BM191" s="7">
        <v>100</v>
      </c>
      <c r="BN191" s="7">
        <v>100</v>
      </c>
      <c r="BO191" s="7">
        <v>100</v>
      </c>
      <c r="BP191" s="6">
        <v>16.371604772565298</v>
      </c>
      <c r="BQ191" s="6">
        <v>1.2419519915589601</v>
      </c>
      <c r="BR191" s="6">
        <v>3.9422527037720898</v>
      </c>
      <c r="BS191" s="6">
        <v>5.7847217093115297</v>
      </c>
      <c r="BT191" s="6">
        <v>7.0986547085201801</v>
      </c>
      <c r="BU191" s="6">
        <v>60.6478501714587</v>
      </c>
      <c r="BV191" s="6">
        <v>87.871274070166194</v>
      </c>
      <c r="BW191" s="6">
        <v>92.767079926140894</v>
      </c>
      <c r="BX191" s="6">
        <v>96.429438142970199</v>
      </c>
      <c r="BY191" s="6" t="str">
        <f>TRIM(Table1[[#This Row],[LA_Name]])</f>
        <v>North Hertfordshire</v>
      </c>
      <c r="BZ191" s="7">
        <v>32.493976096090599</v>
      </c>
      <c r="CA191" s="7">
        <v>9.8781324188868397E-2</v>
      </c>
      <c r="CB191" s="7">
        <v>0.82844632023212905</v>
      </c>
      <c r="CC191" s="7">
        <v>3.5792877868636199</v>
      </c>
      <c r="CD191" s="7">
        <v>8.2241941440253203</v>
      </c>
      <c r="CE191" s="7">
        <v>9.8781324188868407</v>
      </c>
      <c r="CF191" s="7">
        <v>48.412556053811699</v>
      </c>
      <c r="CG191" s="7">
        <v>83.281456080189898</v>
      </c>
      <c r="CH191" s="7">
        <v>95.760485360063299</v>
      </c>
      <c r="CI191" s="7">
        <v>30.5592016289574</v>
      </c>
      <c r="CJ191" s="7">
        <v>0.247670799261409</v>
      </c>
      <c r="CK191" s="7">
        <v>1.1377895014507999</v>
      </c>
      <c r="CL191" s="7">
        <v>3.3852914798206299</v>
      </c>
      <c r="CM191" s="7">
        <v>5.1912107623318402</v>
      </c>
      <c r="CN191" s="7">
        <v>24.767079926140902</v>
      </c>
      <c r="CO191" s="7">
        <v>63.296227908203598</v>
      </c>
      <c r="CP191" s="7">
        <v>82.552360854655802</v>
      </c>
      <c r="CQ191" s="7">
        <v>83.245581640728005</v>
      </c>
      <c r="CR191" s="7">
        <v>15.2276770195826</v>
      </c>
      <c r="CS191" s="7">
        <v>0.73183856502242195</v>
      </c>
      <c r="CT191" s="7">
        <v>6.9043946188340799</v>
      </c>
      <c r="CU191" s="7">
        <v>10</v>
      </c>
      <c r="CV191" s="7">
        <v>10</v>
      </c>
      <c r="CW191" s="7">
        <v>47.283566341334698</v>
      </c>
      <c r="CX191" s="7">
        <v>99.887101028752298</v>
      </c>
      <c r="CY191" s="7">
        <v>100</v>
      </c>
      <c r="CZ191" s="7">
        <v>100</v>
      </c>
      <c r="DA191" s="9">
        <v>66.271989768804801</v>
      </c>
      <c r="DB191" s="9">
        <v>7.8090213663940894E-2</v>
      </c>
      <c r="DC191" s="9">
        <v>0.24486415193880201</v>
      </c>
      <c r="DD191" s="9">
        <v>0.36571880770245302</v>
      </c>
      <c r="DE191" s="9">
        <v>0.54075441835927196</v>
      </c>
      <c r="DF191" s="9">
        <v>7.8090213663940897</v>
      </c>
      <c r="DG191" s="9">
        <v>24.486415193880202</v>
      </c>
      <c r="DH191" s="9">
        <v>35.648641519388001</v>
      </c>
      <c r="DI191" s="9">
        <v>41.125824320759698</v>
      </c>
    </row>
    <row r="192" spans="1:113">
      <c r="A192" s="5" t="s">
        <v>435</v>
      </c>
      <c r="B192" s="5" t="s">
        <v>498</v>
      </c>
      <c r="C192" s="5" t="s">
        <v>499</v>
      </c>
      <c r="D192" s="6">
        <v>102768</v>
      </c>
      <c r="E192" s="7">
        <v>8.3458036401723898</v>
      </c>
      <c r="F192" s="7">
        <v>2.7197571228397899</v>
      </c>
      <c r="G192" s="7">
        <v>9.47145998754476</v>
      </c>
      <c r="H192" s="7">
        <v>10</v>
      </c>
      <c r="I192" s="7">
        <v>10</v>
      </c>
      <c r="J192" s="7">
        <v>88.4360890549587</v>
      </c>
      <c r="K192" s="7">
        <v>100</v>
      </c>
      <c r="L192" s="7">
        <v>100</v>
      </c>
      <c r="M192" s="7">
        <v>100</v>
      </c>
      <c r="N192" s="7">
        <v>8.3215421095696893</v>
      </c>
      <c r="O192" s="7">
        <v>6.5843939747781404</v>
      </c>
      <c r="P192" s="7">
        <v>10</v>
      </c>
      <c r="Q192" s="7">
        <v>10</v>
      </c>
      <c r="R192" s="7">
        <v>10</v>
      </c>
      <c r="S192" s="7">
        <v>96.117468472676293</v>
      </c>
      <c r="T192" s="7">
        <v>100</v>
      </c>
      <c r="U192" s="7">
        <v>100</v>
      </c>
      <c r="V192" s="7">
        <v>100</v>
      </c>
      <c r="W192" s="7">
        <v>6.9415730613006996</v>
      </c>
      <c r="X192" s="7">
        <v>9.9894519694846604</v>
      </c>
      <c r="Y192" s="7">
        <v>10</v>
      </c>
      <c r="Z192" s="7">
        <v>10</v>
      </c>
      <c r="AA192" s="7">
        <v>10</v>
      </c>
      <c r="AB192" s="7">
        <v>100</v>
      </c>
      <c r="AC192" s="7">
        <v>100</v>
      </c>
      <c r="AD192" s="7">
        <v>100</v>
      </c>
      <c r="AE192" s="7">
        <v>100</v>
      </c>
      <c r="AF192" s="6">
        <v>9.8231126512101401</v>
      </c>
      <c r="AG192" s="6">
        <v>2.0491398100576101</v>
      </c>
      <c r="AH192" s="6">
        <v>6.39395531683014</v>
      </c>
      <c r="AI192" s="6">
        <v>8.8788922621827808</v>
      </c>
      <c r="AJ192" s="6">
        <v>9.7760684259691697</v>
      </c>
      <c r="AK192" s="6">
        <v>84.506850381441694</v>
      </c>
      <c r="AL192" s="6">
        <v>95.651370076288302</v>
      </c>
      <c r="AM192" s="6">
        <v>97.292931651876103</v>
      </c>
      <c r="AN192" s="6">
        <v>100</v>
      </c>
      <c r="AO192" s="6">
        <v>10.0746249138276</v>
      </c>
      <c r="AP192" s="7">
        <v>2.0941538222014602</v>
      </c>
      <c r="AQ192" s="7">
        <v>8.4071598162852208</v>
      </c>
      <c r="AR192" s="7">
        <v>9.9516775650007805</v>
      </c>
      <c r="AS192" s="7">
        <v>10</v>
      </c>
      <c r="AT192" s="7">
        <v>77.306165343297494</v>
      </c>
      <c r="AU192" s="7">
        <v>99.547524521251702</v>
      </c>
      <c r="AV192" s="7">
        <v>100</v>
      </c>
      <c r="AW192" s="7">
        <v>100</v>
      </c>
      <c r="AX192" s="7">
        <v>8.9430158395930892</v>
      </c>
      <c r="AY192" s="7">
        <v>5.1767768176864397</v>
      </c>
      <c r="AZ192" s="7">
        <v>9.1265958274949401</v>
      </c>
      <c r="BA192" s="7">
        <v>10</v>
      </c>
      <c r="BB192" s="7">
        <v>10</v>
      </c>
      <c r="BC192" s="7">
        <v>95.217382842908293</v>
      </c>
      <c r="BD192" s="7">
        <v>100</v>
      </c>
      <c r="BE192" s="7">
        <v>100</v>
      </c>
      <c r="BF192" s="7">
        <v>100</v>
      </c>
      <c r="BG192" s="7">
        <v>7.3150588946653903</v>
      </c>
      <c r="BH192" s="7">
        <v>8.6920150241320293</v>
      </c>
      <c r="BI192" s="7">
        <v>10</v>
      </c>
      <c r="BJ192" s="7">
        <v>10</v>
      </c>
      <c r="BK192" s="7">
        <v>10</v>
      </c>
      <c r="BL192" s="7">
        <v>100</v>
      </c>
      <c r="BM192" s="7">
        <v>100</v>
      </c>
      <c r="BN192" s="7">
        <v>100</v>
      </c>
      <c r="BO192" s="7">
        <v>100</v>
      </c>
      <c r="BP192" s="6">
        <v>11.7291869130622</v>
      </c>
      <c r="BQ192" s="6">
        <v>1.88909971975712</v>
      </c>
      <c r="BR192" s="6">
        <v>5.0544235559707298</v>
      </c>
      <c r="BS192" s="6">
        <v>7.0681729721313999</v>
      </c>
      <c r="BT192" s="6">
        <v>8.33422855363537</v>
      </c>
      <c r="BU192" s="6">
        <v>73.595866417561894</v>
      </c>
      <c r="BV192" s="6">
        <v>94.270590066946895</v>
      </c>
      <c r="BW192" s="6">
        <v>100</v>
      </c>
      <c r="BX192" s="6">
        <v>100</v>
      </c>
      <c r="BY192" s="6" t="str">
        <f>TRIM(Table1[[#This Row],[LA_Name]])</f>
        <v>St Albans</v>
      </c>
      <c r="BZ192" s="7">
        <v>19.386651309174901</v>
      </c>
      <c r="CA192" s="7">
        <v>0.25714230110540198</v>
      </c>
      <c r="CB192" s="7">
        <v>2.1498423633816</v>
      </c>
      <c r="CC192" s="7">
        <v>6.6154055737194497</v>
      </c>
      <c r="CD192" s="7">
        <v>9.6326482951891599</v>
      </c>
      <c r="CE192" s="7">
        <v>23.797290985520799</v>
      </c>
      <c r="CF192" s="7">
        <v>95.187217810991797</v>
      </c>
      <c r="CG192" s="7">
        <v>100</v>
      </c>
      <c r="CH192" s="7">
        <v>100</v>
      </c>
      <c r="CI192" s="7">
        <v>14.9902454039565</v>
      </c>
      <c r="CJ192" s="7">
        <v>0.69321189475323097</v>
      </c>
      <c r="CK192" s="7">
        <v>2.0907578234469901</v>
      </c>
      <c r="CL192" s="7">
        <v>7.9068289739996898</v>
      </c>
      <c r="CM192" s="7">
        <v>9.9974894908921108</v>
      </c>
      <c r="CN192" s="7">
        <v>55.878288961544499</v>
      </c>
      <c r="CO192" s="7">
        <v>100</v>
      </c>
      <c r="CP192" s="7">
        <v>100</v>
      </c>
      <c r="CQ192" s="7">
        <v>100</v>
      </c>
      <c r="CR192" s="7">
        <v>10.358264149005601</v>
      </c>
      <c r="CS192" s="7">
        <v>1.6454441071150601</v>
      </c>
      <c r="CT192" s="7">
        <v>10</v>
      </c>
      <c r="CU192" s="7">
        <v>10</v>
      </c>
      <c r="CV192" s="7">
        <v>10</v>
      </c>
      <c r="CW192" s="7">
        <v>94.716254086875296</v>
      </c>
      <c r="CX192" s="7">
        <v>100</v>
      </c>
      <c r="CY192" s="7">
        <v>100</v>
      </c>
      <c r="CZ192" s="7">
        <v>100</v>
      </c>
      <c r="DA192" s="9">
        <v>31.705582166651201</v>
      </c>
      <c r="DB192" s="9">
        <v>0.21070761326483001</v>
      </c>
      <c r="DC192" s="9">
        <v>0.63981978826093699</v>
      </c>
      <c r="DD192" s="9">
        <v>0.91437996263428301</v>
      </c>
      <c r="DE192" s="9">
        <v>1.2662015413358201</v>
      </c>
      <c r="DF192" s="9">
        <v>20.779814728320101</v>
      </c>
      <c r="DG192" s="9">
        <v>52.252646738284298</v>
      </c>
      <c r="DH192" s="9">
        <v>72.191732835123801</v>
      </c>
      <c r="DI192" s="9">
        <v>92.710765997197598</v>
      </c>
    </row>
    <row r="193" spans="1:113">
      <c r="A193" s="5" t="s">
        <v>435</v>
      </c>
      <c r="B193" s="5" t="s">
        <v>500</v>
      </c>
      <c r="C193" s="5" t="s">
        <v>501</v>
      </c>
      <c r="D193" s="6">
        <v>63047</v>
      </c>
      <c r="E193" s="7">
        <v>6.45913860720648</v>
      </c>
      <c r="F193" s="7">
        <v>4.59614256031215</v>
      </c>
      <c r="G193" s="7">
        <v>9.6084191158976608</v>
      </c>
      <c r="H193" s="7">
        <v>10</v>
      </c>
      <c r="I193" s="7">
        <v>10</v>
      </c>
      <c r="J193" s="7">
        <v>92.559519088933698</v>
      </c>
      <c r="K193" s="7">
        <v>100</v>
      </c>
      <c r="L193" s="7">
        <v>100</v>
      </c>
      <c r="M193" s="7">
        <v>100</v>
      </c>
      <c r="N193" s="7">
        <v>7.4751554955452502</v>
      </c>
      <c r="O193" s="7">
        <v>8.7683632845337591</v>
      </c>
      <c r="P193" s="7">
        <v>10</v>
      </c>
      <c r="Q193" s="7">
        <v>10</v>
      </c>
      <c r="R193" s="7">
        <v>10</v>
      </c>
      <c r="S193" s="7">
        <v>100</v>
      </c>
      <c r="T193" s="7">
        <v>100</v>
      </c>
      <c r="U193" s="7">
        <v>100</v>
      </c>
      <c r="V193" s="7">
        <v>100</v>
      </c>
      <c r="W193" s="7">
        <v>6.5442966367882001</v>
      </c>
      <c r="X193" s="7">
        <v>10</v>
      </c>
      <c r="Y193" s="7">
        <v>10</v>
      </c>
      <c r="Z193" s="7">
        <v>10</v>
      </c>
      <c r="AA193" s="7">
        <v>10</v>
      </c>
      <c r="AB193" s="7">
        <v>100</v>
      </c>
      <c r="AC193" s="7">
        <v>100</v>
      </c>
      <c r="AD193" s="7">
        <v>100</v>
      </c>
      <c r="AE193" s="7">
        <v>100</v>
      </c>
      <c r="AF193" s="6">
        <v>6.5664177860605601</v>
      </c>
      <c r="AG193" s="6">
        <v>3.7951686836804299</v>
      </c>
      <c r="AH193" s="6">
        <v>8.8474312814249707</v>
      </c>
      <c r="AI193" s="6">
        <v>9.9221215918283203</v>
      </c>
      <c r="AJ193" s="6">
        <v>10</v>
      </c>
      <c r="AK193" s="6">
        <v>92.074166891366801</v>
      </c>
      <c r="AL193" s="6">
        <v>100</v>
      </c>
      <c r="AM193" s="6">
        <v>100</v>
      </c>
      <c r="AN193" s="6">
        <v>100</v>
      </c>
      <c r="AO193" s="6">
        <v>17.023083130599399</v>
      </c>
      <c r="AP193" s="7">
        <v>0.504036671054927</v>
      </c>
      <c r="AQ193" s="7">
        <v>3.4882865164083898</v>
      </c>
      <c r="AR193" s="7">
        <v>8.6038035116659</v>
      </c>
      <c r="AS193" s="7">
        <v>10</v>
      </c>
      <c r="AT193" s="7">
        <v>35.260995765064202</v>
      </c>
      <c r="AU193" s="7">
        <v>99.831871460973602</v>
      </c>
      <c r="AV193" s="7">
        <v>100</v>
      </c>
      <c r="AW193" s="7">
        <v>100</v>
      </c>
      <c r="AX193" s="7">
        <v>13.224671087395601</v>
      </c>
      <c r="AY193" s="7">
        <v>1.58113788126318</v>
      </c>
      <c r="AZ193" s="7">
        <v>6.5808841023363502</v>
      </c>
      <c r="BA193" s="7">
        <v>10</v>
      </c>
      <c r="BB193" s="7">
        <v>10</v>
      </c>
      <c r="BC193" s="7">
        <v>67.822418195949098</v>
      </c>
      <c r="BD193" s="7">
        <v>100</v>
      </c>
      <c r="BE193" s="7">
        <v>100</v>
      </c>
      <c r="BF193" s="7">
        <v>100</v>
      </c>
      <c r="BG193" s="7">
        <v>9.1292469187130898</v>
      </c>
      <c r="BH193" s="7">
        <v>5.7451107903627499</v>
      </c>
      <c r="BI193" s="7">
        <v>10</v>
      </c>
      <c r="BJ193" s="7">
        <v>10</v>
      </c>
      <c r="BK193" s="7">
        <v>10</v>
      </c>
      <c r="BL193" s="7">
        <v>100</v>
      </c>
      <c r="BM193" s="7">
        <v>100</v>
      </c>
      <c r="BN193" s="7">
        <v>100</v>
      </c>
      <c r="BO193" s="7">
        <v>100</v>
      </c>
      <c r="BP193" s="6">
        <v>22.833657075280399</v>
      </c>
      <c r="BQ193" s="6">
        <v>0.441908417529779</v>
      </c>
      <c r="BR193" s="6">
        <v>1.6653607626056799</v>
      </c>
      <c r="BS193" s="6">
        <v>3.20140530080733</v>
      </c>
      <c r="BT193" s="6">
        <v>4.7277586562405798</v>
      </c>
      <c r="BU193" s="6">
        <v>30.515329833298999</v>
      </c>
      <c r="BV193" s="6">
        <v>70.713911843545304</v>
      </c>
      <c r="BW193" s="6">
        <v>93.2510666645518</v>
      </c>
      <c r="BX193" s="6">
        <v>100</v>
      </c>
      <c r="BY193" s="6" t="str">
        <f>TRIM(Table1[[#This Row],[LA_Name]])</f>
        <v>Stevenage</v>
      </c>
      <c r="BZ193" s="7">
        <v>16.179105134197599</v>
      </c>
      <c r="CA193" s="7">
        <v>0.49981759639633899</v>
      </c>
      <c r="CB193" s="7">
        <v>2.5360762605675098</v>
      </c>
      <c r="CC193" s="7">
        <v>5.31360730883309</v>
      </c>
      <c r="CD193" s="7">
        <v>9.3912795216267195</v>
      </c>
      <c r="CE193" s="7">
        <v>46.842831538376103</v>
      </c>
      <c r="CF193" s="7">
        <v>94.816565419449006</v>
      </c>
      <c r="CG193" s="7">
        <v>100</v>
      </c>
      <c r="CH193" s="7">
        <v>100</v>
      </c>
      <c r="CI193" s="7">
        <v>12.628841188951601</v>
      </c>
      <c r="CJ193" s="7">
        <v>1.22043872031976</v>
      </c>
      <c r="CK193" s="7">
        <v>3.9621710787190501</v>
      </c>
      <c r="CL193" s="7">
        <v>4.7168461623867897</v>
      </c>
      <c r="CM193" s="7">
        <v>7.1135343473916297</v>
      </c>
      <c r="CN193" s="7">
        <v>66.880263930083899</v>
      </c>
      <c r="CO193" s="7">
        <v>100</v>
      </c>
      <c r="CP193" s="7">
        <v>100</v>
      </c>
      <c r="CQ193" s="7">
        <v>100</v>
      </c>
      <c r="CR193" s="7">
        <v>8.6896045762322096</v>
      </c>
      <c r="CS193" s="7">
        <v>3.6403952606785399</v>
      </c>
      <c r="CT193" s="7">
        <v>9.6573350040446009</v>
      </c>
      <c r="CU193" s="7">
        <v>10</v>
      </c>
      <c r="CV193" s="7">
        <v>10</v>
      </c>
      <c r="CW193" s="7">
        <v>100</v>
      </c>
      <c r="CX193" s="7">
        <v>100</v>
      </c>
      <c r="CY193" s="7">
        <v>100</v>
      </c>
      <c r="CZ193" s="7">
        <v>100</v>
      </c>
      <c r="DA193" s="9">
        <v>22.752160283742199</v>
      </c>
      <c r="DB193" s="9">
        <v>0.35981093469950998</v>
      </c>
      <c r="DC193" s="9">
        <v>1.15239424556283</v>
      </c>
      <c r="DD193" s="9">
        <v>2.4267134042856902</v>
      </c>
      <c r="DE193" s="9">
        <v>3.3657588782971399</v>
      </c>
      <c r="DF193" s="9">
        <v>35.110314527257401</v>
      </c>
      <c r="DG193" s="9">
        <v>67.587672688629098</v>
      </c>
      <c r="DH193" s="9">
        <v>98.520151632908807</v>
      </c>
      <c r="DI193" s="9">
        <v>100</v>
      </c>
    </row>
    <row r="194" spans="1:113">
      <c r="A194" s="5" t="s">
        <v>435</v>
      </c>
      <c r="B194" s="5" t="s">
        <v>502</v>
      </c>
      <c r="C194" s="5" t="s">
        <v>503</v>
      </c>
      <c r="D194" s="6">
        <v>66021</v>
      </c>
      <c r="E194" s="7">
        <v>7.4837788053509096</v>
      </c>
      <c r="F194" s="7">
        <v>3.09769618757668</v>
      </c>
      <c r="G194" s="7">
        <v>9.13495705911755</v>
      </c>
      <c r="H194" s="7">
        <v>9.9173141879099092</v>
      </c>
      <c r="I194" s="7">
        <v>9.9821874857999706</v>
      </c>
      <c r="J194" s="7">
        <v>91.634479938201494</v>
      </c>
      <c r="K194" s="7">
        <v>100</v>
      </c>
      <c r="L194" s="7">
        <v>100</v>
      </c>
      <c r="M194" s="7">
        <v>100</v>
      </c>
      <c r="N194" s="7">
        <v>7.9256618099296698</v>
      </c>
      <c r="O194" s="7">
        <v>6.7898698898835201</v>
      </c>
      <c r="P194" s="7">
        <v>9.9680556186667904</v>
      </c>
      <c r="Q194" s="7">
        <v>10</v>
      </c>
      <c r="R194" s="7">
        <v>10</v>
      </c>
      <c r="S194" s="7">
        <v>96.401145090198597</v>
      </c>
      <c r="T194" s="7">
        <v>100</v>
      </c>
      <c r="U194" s="7">
        <v>100</v>
      </c>
      <c r="V194" s="7">
        <v>100</v>
      </c>
      <c r="W194" s="7">
        <v>6.8721440008680004</v>
      </c>
      <c r="X194" s="7">
        <v>9.9545296193635409</v>
      </c>
      <c r="Y194" s="7">
        <v>10</v>
      </c>
      <c r="Z194" s="7">
        <v>10</v>
      </c>
      <c r="AA194" s="7">
        <v>10</v>
      </c>
      <c r="AB194" s="7">
        <v>100</v>
      </c>
      <c r="AC194" s="7">
        <v>100</v>
      </c>
      <c r="AD194" s="7">
        <v>100</v>
      </c>
      <c r="AE194" s="7">
        <v>100</v>
      </c>
      <c r="AF194" s="6">
        <v>8.5552834789362695</v>
      </c>
      <c r="AG194" s="6">
        <v>2.5228184971448502</v>
      </c>
      <c r="AH194" s="6">
        <v>6.77332969812635</v>
      </c>
      <c r="AI194" s="6">
        <v>9.6021568894745606</v>
      </c>
      <c r="AJ194" s="6">
        <v>9.8745247724208998</v>
      </c>
      <c r="AK194" s="6">
        <v>87.834173974947404</v>
      </c>
      <c r="AL194" s="6">
        <v>96.482937247239505</v>
      </c>
      <c r="AM194" s="6">
        <v>99.330516047924107</v>
      </c>
      <c r="AN194" s="6">
        <v>100</v>
      </c>
      <c r="AO194" s="6">
        <v>14.0923871069926</v>
      </c>
      <c r="AP194" s="7">
        <v>0.84944184426167402</v>
      </c>
      <c r="AQ194" s="7">
        <v>7.7501098135441797</v>
      </c>
      <c r="AR194" s="7">
        <v>9.9475015525363109</v>
      </c>
      <c r="AS194" s="7">
        <v>10</v>
      </c>
      <c r="AT194" s="7">
        <v>47.786310416382697</v>
      </c>
      <c r="AU194" s="7">
        <v>99.606185910543601</v>
      </c>
      <c r="AV194" s="7">
        <v>100</v>
      </c>
      <c r="AW194" s="7">
        <v>100</v>
      </c>
      <c r="AX194" s="7">
        <v>11.194676853367801</v>
      </c>
      <c r="AY194" s="7">
        <v>2.3725178352342402</v>
      </c>
      <c r="AZ194" s="7">
        <v>9.9490465155026406</v>
      </c>
      <c r="BA194" s="7">
        <v>10</v>
      </c>
      <c r="BB194" s="7">
        <v>10</v>
      </c>
      <c r="BC194" s="7">
        <v>82.619166628799903</v>
      </c>
      <c r="BD194" s="7">
        <v>100</v>
      </c>
      <c r="BE194" s="7">
        <v>100</v>
      </c>
      <c r="BF194" s="7">
        <v>100</v>
      </c>
      <c r="BG194" s="7">
        <v>8.2271722467208406</v>
      </c>
      <c r="BH194" s="7">
        <v>8.9133609003195993</v>
      </c>
      <c r="BI194" s="7">
        <v>10</v>
      </c>
      <c r="BJ194" s="7">
        <v>10</v>
      </c>
      <c r="BK194" s="7">
        <v>10</v>
      </c>
      <c r="BL194" s="7">
        <v>100</v>
      </c>
      <c r="BM194" s="7">
        <v>100</v>
      </c>
      <c r="BN194" s="7">
        <v>100</v>
      </c>
      <c r="BO194" s="7">
        <v>100</v>
      </c>
      <c r="BP194" s="6">
        <v>18.2679436816749</v>
      </c>
      <c r="BQ194" s="6">
        <v>0.62976931582375295</v>
      </c>
      <c r="BR194" s="6">
        <v>2.3530694778934</v>
      </c>
      <c r="BS194" s="6">
        <v>5.9374138531679304</v>
      </c>
      <c r="BT194" s="6">
        <v>8.8581663410127103</v>
      </c>
      <c r="BU194" s="6">
        <v>41.135396313294301</v>
      </c>
      <c r="BV194" s="6">
        <v>83.514336347525798</v>
      </c>
      <c r="BW194" s="6">
        <v>100</v>
      </c>
      <c r="BX194" s="6">
        <v>100</v>
      </c>
      <c r="BY194" s="6" t="str">
        <f>TRIM(Table1[[#This Row],[LA_Name]])</f>
        <v>Three Rivers</v>
      </c>
      <c r="BZ194" s="7">
        <v>26.170082563048201</v>
      </c>
      <c r="CA194" s="7">
        <v>0.134941912421805</v>
      </c>
      <c r="CB194" s="7">
        <v>1.5762560397449299</v>
      </c>
      <c r="CC194" s="7">
        <v>6.3899819754320601</v>
      </c>
      <c r="CD194" s="7">
        <v>9.7295557474137002</v>
      </c>
      <c r="CE194" s="7">
        <v>13.4941912421805</v>
      </c>
      <c r="CF194" s="7">
        <v>66.294057951257898</v>
      </c>
      <c r="CG194" s="7">
        <v>98.4913891034671</v>
      </c>
      <c r="CH194" s="7">
        <v>100</v>
      </c>
      <c r="CI194" s="7">
        <v>17.6613812259315</v>
      </c>
      <c r="CJ194" s="7">
        <v>0.30619045455233901</v>
      </c>
      <c r="CK194" s="7">
        <v>3.8149376713469998</v>
      </c>
      <c r="CL194" s="7">
        <v>7.5919783099316902</v>
      </c>
      <c r="CM194" s="7">
        <v>9.8568940185698501</v>
      </c>
      <c r="CN194" s="7">
        <v>29.616334196695</v>
      </c>
      <c r="CO194" s="7">
        <v>98.317202102361406</v>
      </c>
      <c r="CP194" s="7">
        <v>100</v>
      </c>
      <c r="CQ194" s="7">
        <v>100</v>
      </c>
      <c r="CR194" s="7">
        <v>12.2715779763697</v>
      </c>
      <c r="CS194" s="7">
        <v>1.3093864073552399</v>
      </c>
      <c r="CT194" s="7">
        <v>9.5902818800078808</v>
      </c>
      <c r="CU194" s="7">
        <v>10</v>
      </c>
      <c r="CV194" s="7">
        <v>10</v>
      </c>
      <c r="CW194" s="7">
        <v>89.629057421123605</v>
      </c>
      <c r="CX194" s="7">
        <v>100</v>
      </c>
      <c r="CY194" s="7">
        <v>100</v>
      </c>
      <c r="CZ194" s="7">
        <v>100</v>
      </c>
      <c r="DA194" s="9">
        <v>37.717540072307102</v>
      </c>
      <c r="DB194" s="9">
        <v>0.104103239878221</v>
      </c>
      <c r="DC194" s="9">
        <v>0.32451795640781</v>
      </c>
      <c r="DD194" s="9">
        <v>0.97361445600642205</v>
      </c>
      <c r="DE194" s="9">
        <v>2.2815013404825701</v>
      </c>
      <c r="DF194" s="9">
        <v>10.4103239878221</v>
      </c>
      <c r="DG194" s="9">
        <v>30.647824177155801</v>
      </c>
      <c r="DH194" s="9">
        <v>69.008345829357296</v>
      </c>
      <c r="DI194" s="9">
        <v>93.667166507626405</v>
      </c>
    </row>
    <row r="195" spans="1:113">
      <c r="A195" s="5" t="s">
        <v>435</v>
      </c>
      <c r="B195" s="5" t="s">
        <v>504</v>
      </c>
      <c r="C195" s="5" t="s">
        <v>505</v>
      </c>
      <c r="D195" s="10">
        <v>68928</v>
      </c>
      <c r="E195" s="7">
        <v>6.69834885686444</v>
      </c>
      <c r="F195" s="7">
        <v>3.4040012766945198</v>
      </c>
      <c r="G195" s="7">
        <v>9.98203922934076</v>
      </c>
      <c r="H195" s="7">
        <v>10</v>
      </c>
      <c r="I195" s="7">
        <v>10</v>
      </c>
      <c r="J195" s="7">
        <v>97.844127205199598</v>
      </c>
      <c r="K195" s="7">
        <v>100</v>
      </c>
      <c r="L195" s="7">
        <v>100</v>
      </c>
      <c r="M195" s="7">
        <v>100</v>
      </c>
      <c r="N195" s="7">
        <v>7.2754826820701899</v>
      </c>
      <c r="O195" s="7">
        <v>9.4630338904363995</v>
      </c>
      <c r="P195" s="7">
        <v>10</v>
      </c>
      <c r="Q195" s="7">
        <v>10</v>
      </c>
      <c r="R195" s="7">
        <v>10</v>
      </c>
      <c r="S195" s="7">
        <v>100</v>
      </c>
      <c r="T195" s="7">
        <v>100</v>
      </c>
      <c r="U195" s="7">
        <v>100</v>
      </c>
      <c r="V195" s="7">
        <v>100</v>
      </c>
      <c r="W195" s="7">
        <v>6.64691098360215</v>
      </c>
      <c r="X195" s="7">
        <v>10</v>
      </c>
      <c r="Y195" s="7">
        <v>10</v>
      </c>
      <c r="Z195" s="7">
        <v>10</v>
      </c>
      <c r="AA195" s="7">
        <v>10</v>
      </c>
      <c r="AB195" s="7">
        <v>100</v>
      </c>
      <c r="AC195" s="7">
        <v>100</v>
      </c>
      <c r="AD195" s="7">
        <v>100</v>
      </c>
      <c r="AE195" s="7">
        <v>100</v>
      </c>
      <c r="AF195" s="6">
        <v>6.7370076060278699</v>
      </c>
      <c r="AG195" s="6">
        <v>2.9746837279479998</v>
      </c>
      <c r="AH195" s="6">
        <v>9.6016858170844905</v>
      </c>
      <c r="AI195" s="6">
        <v>10</v>
      </c>
      <c r="AJ195" s="6">
        <v>10</v>
      </c>
      <c r="AK195" s="6">
        <v>97.627959610027901</v>
      </c>
      <c r="AL195" s="6">
        <v>100</v>
      </c>
      <c r="AM195" s="6">
        <v>100</v>
      </c>
      <c r="AN195" s="6">
        <v>100</v>
      </c>
      <c r="AO195" s="6">
        <v>9.2170260432136804</v>
      </c>
      <c r="AP195" s="7">
        <v>2.0923862581244199</v>
      </c>
      <c r="AQ195" s="7">
        <v>9.6772574280408499</v>
      </c>
      <c r="AR195" s="7">
        <v>10</v>
      </c>
      <c r="AS195" s="7">
        <v>10</v>
      </c>
      <c r="AT195" s="7">
        <v>86.606313834726095</v>
      </c>
      <c r="AU195" s="7">
        <v>100</v>
      </c>
      <c r="AV195" s="7">
        <v>100</v>
      </c>
      <c r="AW195" s="7">
        <v>100</v>
      </c>
      <c r="AX195" s="7">
        <v>8.2170559161843393</v>
      </c>
      <c r="AY195" s="7">
        <v>7.0960277390900703</v>
      </c>
      <c r="AZ195" s="7">
        <v>10</v>
      </c>
      <c r="BA195" s="7">
        <v>10</v>
      </c>
      <c r="BB195" s="7">
        <v>10</v>
      </c>
      <c r="BC195" s="7">
        <v>100</v>
      </c>
      <c r="BD195" s="7">
        <v>100</v>
      </c>
      <c r="BE195" s="7">
        <v>100</v>
      </c>
      <c r="BF195" s="7">
        <v>100</v>
      </c>
      <c r="BG195" s="7">
        <v>7.3073971343461102</v>
      </c>
      <c r="BH195" s="7">
        <v>9.9887273676880195</v>
      </c>
      <c r="BI195" s="7">
        <v>10</v>
      </c>
      <c r="BJ195" s="7">
        <v>10</v>
      </c>
      <c r="BK195" s="7">
        <v>10</v>
      </c>
      <c r="BL195" s="7">
        <v>100</v>
      </c>
      <c r="BM195" s="7">
        <v>100</v>
      </c>
      <c r="BN195" s="7">
        <v>100</v>
      </c>
      <c r="BO195" s="7">
        <v>100</v>
      </c>
      <c r="BP195" s="6">
        <v>9.5251682995824094</v>
      </c>
      <c r="BQ195" s="6">
        <v>1.8094388347260899</v>
      </c>
      <c r="BR195" s="6">
        <v>6.82578922934076</v>
      </c>
      <c r="BS195" s="6">
        <v>9.9431435701021407</v>
      </c>
      <c r="BT195" s="6">
        <v>10</v>
      </c>
      <c r="BU195" s="6">
        <v>83.829503249767896</v>
      </c>
      <c r="BV195" s="6">
        <v>100</v>
      </c>
      <c r="BW195" s="6">
        <v>100</v>
      </c>
      <c r="BX195" s="6">
        <v>100</v>
      </c>
      <c r="BY195" s="6" t="str">
        <f>TRIM(Table1[[#This Row],[LA_Name]])</f>
        <v>Watford</v>
      </c>
      <c r="BZ195" s="7">
        <v>15.3703450190376</v>
      </c>
      <c r="CA195" s="7">
        <v>0.74409528783658296</v>
      </c>
      <c r="CB195" s="7">
        <v>3.9381673630454999</v>
      </c>
      <c r="CC195" s="7">
        <v>8.4172759981429905</v>
      </c>
      <c r="CD195" s="7">
        <v>9.9969533426183794</v>
      </c>
      <c r="CE195" s="7">
        <v>47.484331476323099</v>
      </c>
      <c r="CF195" s="7">
        <v>100</v>
      </c>
      <c r="CG195" s="7">
        <v>100</v>
      </c>
      <c r="CH195" s="7">
        <v>100</v>
      </c>
      <c r="CI195" s="7">
        <v>10.795239665084599</v>
      </c>
      <c r="CJ195" s="7">
        <v>2.4793552692664802</v>
      </c>
      <c r="CK195" s="7">
        <v>5.71248259052925</v>
      </c>
      <c r="CL195" s="7">
        <v>8.0074715645311105</v>
      </c>
      <c r="CM195" s="7">
        <v>9.9962424558960095</v>
      </c>
      <c r="CN195" s="7">
        <v>92.634343082636903</v>
      </c>
      <c r="CO195" s="7">
        <v>100</v>
      </c>
      <c r="CP195" s="7">
        <v>100</v>
      </c>
      <c r="CQ195" s="7">
        <v>100</v>
      </c>
      <c r="CR195" s="7">
        <v>9.0121773552069993</v>
      </c>
      <c r="CS195" s="7">
        <v>4.4883356545961002</v>
      </c>
      <c r="CT195" s="7">
        <v>9.7505222841225603</v>
      </c>
      <c r="CU195" s="7">
        <v>10</v>
      </c>
      <c r="CV195" s="7">
        <v>10</v>
      </c>
      <c r="CW195" s="7">
        <v>100</v>
      </c>
      <c r="CX195" s="7">
        <v>100</v>
      </c>
      <c r="CY195" s="7">
        <v>100</v>
      </c>
      <c r="CZ195" s="7">
        <v>100</v>
      </c>
      <c r="DA195" s="9">
        <v>18.012265842098401</v>
      </c>
      <c r="DB195" s="9">
        <v>0.65186861652739103</v>
      </c>
      <c r="DC195" s="9">
        <v>2.3812529015784598</v>
      </c>
      <c r="DD195" s="9">
        <v>3.9503830083565501</v>
      </c>
      <c r="DE195" s="9">
        <v>4.9676328922934099</v>
      </c>
      <c r="DF195" s="9">
        <v>43.053621169916397</v>
      </c>
      <c r="DG195" s="9">
        <v>87.7625928505107</v>
      </c>
      <c r="DH195" s="9">
        <v>100</v>
      </c>
      <c r="DI195" s="9">
        <v>100</v>
      </c>
    </row>
    <row r="196" spans="1:113">
      <c r="A196" s="5" t="s">
        <v>435</v>
      </c>
      <c r="B196" s="5" t="s">
        <v>506</v>
      </c>
      <c r="C196" s="5" t="s">
        <v>507</v>
      </c>
      <c r="D196" s="6">
        <v>90261</v>
      </c>
      <c r="E196" s="7">
        <v>8.3826347998685797</v>
      </c>
      <c r="F196" s="7">
        <v>2.39833372109771</v>
      </c>
      <c r="G196" s="7">
        <v>9.3853380751376605</v>
      </c>
      <c r="H196" s="7">
        <v>9.9193893265086803</v>
      </c>
      <c r="I196" s="7">
        <v>9.9860847985287098</v>
      </c>
      <c r="J196" s="7">
        <v>88.779206966463903</v>
      </c>
      <c r="K196" s="7">
        <v>99.3020241300229</v>
      </c>
      <c r="L196" s="7">
        <v>100</v>
      </c>
      <c r="M196" s="7">
        <v>100</v>
      </c>
      <c r="N196" s="7">
        <v>8.42479897768923</v>
      </c>
      <c r="O196" s="7">
        <v>5.4443890495341298</v>
      </c>
      <c r="P196" s="7">
        <v>9.9613565105638102</v>
      </c>
      <c r="Q196" s="7">
        <v>10</v>
      </c>
      <c r="R196" s="7">
        <v>10</v>
      </c>
      <c r="S196" s="7">
        <v>95.544033414209906</v>
      </c>
      <c r="T196" s="7">
        <v>100</v>
      </c>
      <c r="U196" s="7">
        <v>100</v>
      </c>
      <c r="V196" s="7">
        <v>100</v>
      </c>
      <c r="W196" s="7">
        <v>6.9283052495374298</v>
      </c>
      <c r="X196" s="7">
        <v>9.9586310809762804</v>
      </c>
      <c r="Y196" s="7">
        <v>10</v>
      </c>
      <c r="Z196" s="7">
        <v>10</v>
      </c>
      <c r="AA196" s="7">
        <v>10</v>
      </c>
      <c r="AB196" s="7">
        <v>100</v>
      </c>
      <c r="AC196" s="7">
        <v>100</v>
      </c>
      <c r="AD196" s="7">
        <v>100</v>
      </c>
      <c r="AE196" s="7">
        <v>100</v>
      </c>
      <c r="AF196" s="6">
        <v>9.9148206635159806</v>
      </c>
      <c r="AG196" s="6">
        <v>1.92639124317258</v>
      </c>
      <c r="AH196" s="6">
        <v>5.4238153798428996</v>
      </c>
      <c r="AI196" s="6">
        <v>8.7486732918979406</v>
      </c>
      <c r="AJ196" s="6">
        <v>9.73454758976745</v>
      </c>
      <c r="AK196" s="6">
        <v>80.894295432135706</v>
      </c>
      <c r="AL196" s="6">
        <v>95.569515072955099</v>
      </c>
      <c r="AM196" s="6">
        <v>99.307563621054499</v>
      </c>
      <c r="AN196" s="6">
        <v>99.556840717474898</v>
      </c>
      <c r="AO196" s="6">
        <v>12.228056317396099</v>
      </c>
      <c r="AP196" s="7">
        <v>1.5080710384329901</v>
      </c>
      <c r="AQ196" s="7">
        <v>7.96197693355934</v>
      </c>
      <c r="AR196" s="7">
        <v>9.8796490178482408</v>
      </c>
      <c r="AS196" s="7">
        <v>9.93678332834779</v>
      </c>
      <c r="AT196" s="7">
        <v>64.438683373771596</v>
      </c>
      <c r="AU196" s="7">
        <v>98.986273141223805</v>
      </c>
      <c r="AV196" s="7">
        <v>100</v>
      </c>
      <c r="AW196" s="7">
        <v>100</v>
      </c>
      <c r="AX196" s="7">
        <v>9.9179880513893508</v>
      </c>
      <c r="AY196" s="7">
        <v>3.8466336513001198</v>
      </c>
      <c r="AZ196" s="7">
        <v>9.5962929726016792</v>
      </c>
      <c r="BA196" s="7">
        <v>10</v>
      </c>
      <c r="BB196" s="7">
        <v>10</v>
      </c>
      <c r="BC196" s="7">
        <v>96.061421876558001</v>
      </c>
      <c r="BD196" s="7">
        <v>100</v>
      </c>
      <c r="BE196" s="7">
        <v>100</v>
      </c>
      <c r="BF196" s="7">
        <v>100</v>
      </c>
      <c r="BG196" s="7">
        <v>7.6747361330019697</v>
      </c>
      <c r="BH196" s="7">
        <v>9.4295432135695396</v>
      </c>
      <c r="BI196" s="7">
        <v>10</v>
      </c>
      <c r="BJ196" s="7">
        <v>10</v>
      </c>
      <c r="BK196" s="7">
        <v>10</v>
      </c>
      <c r="BL196" s="7">
        <v>100</v>
      </c>
      <c r="BM196" s="7">
        <v>100</v>
      </c>
      <c r="BN196" s="7">
        <v>100</v>
      </c>
      <c r="BO196" s="7">
        <v>100</v>
      </c>
      <c r="BP196" s="6">
        <v>14.6951305245768</v>
      </c>
      <c r="BQ196" s="6">
        <v>1.08950709608801</v>
      </c>
      <c r="BR196" s="6">
        <v>3.7247980855519001</v>
      </c>
      <c r="BS196" s="6">
        <v>6.0166073941126301</v>
      </c>
      <c r="BT196" s="6">
        <v>8.35459389991248</v>
      </c>
      <c r="BU196" s="6">
        <v>55.968801586510203</v>
      </c>
      <c r="BV196" s="6">
        <v>94.006270703847704</v>
      </c>
      <c r="BW196" s="6">
        <v>99.679817418375606</v>
      </c>
      <c r="BX196" s="6">
        <v>99.679817418375606</v>
      </c>
      <c r="BY196" s="6" t="str">
        <f>TRIM(Table1[[#This Row],[LA_Name]])</f>
        <v>Welwyn Hatfield</v>
      </c>
      <c r="BZ196" s="7">
        <v>17.675163851979999</v>
      </c>
      <c r="CA196" s="7">
        <v>0.56254639323738898</v>
      </c>
      <c r="CB196" s="7">
        <v>3.4854366780780199</v>
      </c>
      <c r="CC196" s="7">
        <v>7.2852173142331704</v>
      </c>
      <c r="CD196" s="7">
        <v>9.6438993585269408</v>
      </c>
      <c r="CE196" s="7">
        <v>43.693289460564401</v>
      </c>
      <c r="CF196" s="7">
        <v>90.1330585745782</v>
      </c>
      <c r="CG196" s="7">
        <v>98.058962342539999</v>
      </c>
      <c r="CH196" s="7">
        <v>99.184586920153805</v>
      </c>
      <c r="CI196" s="7">
        <v>14.2744896190306</v>
      </c>
      <c r="CJ196" s="7">
        <v>1.6465139982938399</v>
      </c>
      <c r="CK196" s="7">
        <v>4.7503794551356604</v>
      </c>
      <c r="CL196" s="7">
        <v>7.4390489801796997</v>
      </c>
      <c r="CM196" s="7">
        <v>9.5979437409290806</v>
      </c>
      <c r="CN196" s="7">
        <v>77.310244734713805</v>
      </c>
      <c r="CO196" s="7">
        <v>91.809308560729406</v>
      </c>
      <c r="CP196" s="7">
        <v>96.918935088244098</v>
      </c>
      <c r="CQ196" s="7">
        <v>100</v>
      </c>
      <c r="CR196" s="7">
        <v>9.5299644696057495</v>
      </c>
      <c r="CS196" s="7">
        <v>3.8683706141079801</v>
      </c>
      <c r="CT196" s="7">
        <v>9.95979437409291</v>
      </c>
      <c r="CU196" s="7">
        <v>10</v>
      </c>
      <c r="CV196" s="7">
        <v>10</v>
      </c>
      <c r="CW196" s="7">
        <v>91.122411672815502</v>
      </c>
      <c r="CX196" s="7">
        <v>100</v>
      </c>
      <c r="CY196" s="7">
        <v>100</v>
      </c>
      <c r="CZ196" s="7">
        <v>100</v>
      </c>
      <c r="DA196" s="9">
        <v>28.315725446621698</v>
      </c>
      <c r="DB196" s="9">
        <v>0.44386833737716203</v>
      </c>
      <c r="DC196" s="9">
        <v>1.5125469471864901</v>
      </c>
      <c r="DD196" s="9">
        <v>2.7632199953468302</v>
      </c>
      <c r="DE196" s="9">
        <v>3.47593091146785</v>
      </c>
      <c r="DF196" s="9">
        <v>34.958620001994198</v>
      </c>
      <c r="DG196" s="9">
        <v>74.970363722981105</v>
      </c>
      <c r="DH196" s="9">
        <v>83.180997329965294</v>
      </c>
      <c r="DI196" s="9">
        <v>89.853868226587295</v>
      </c>
    </row>
    <row r="197" spans="1:113">
      <c r="A197" s="5" t="s">
        <v>435</v>
      </c>
      <c r="B197" s="5" t="s">
        <v>508</v>
      </c>
      <c r="C197" s="5" t="s">
        <v>509</v>
      </c>
      <c r="D197" s="6">
        <v>648827</v>
      </c>
      <c r="E197" s="7">
        <v>13.359109972709801</v>
      </c>
      <c r="F197" s="7">
        <v>1.87703655982257</v>
      </c>
      <c r="G197" s="7">
        <v>5.8567383909732502</v>
      </c>
      <c r="H197" s="7">
        <v>8.1426975141293401</v>
      </c>
      <c r="I197" s="7">
        <v>9.0166562119024007</v>
      </c>
      <c r="J197" s="7">
        <v>68.166706995855606</v>
      </c>
      <c r="K197" s="7">
        <v>92.479813571260095</v>
      </c>
      <c r="L197" s="7">
        <v>97.347675112163998</v>
      </c>
      <c r="M197" s="7">
        <v>98.907258791634803</v>
      </c>
      <c r="N197" s="7">
        <v>11.0599667151138</v>
      </c>
      <c r="O197" s="7">
        <v>3.85254312782914</v>
      </c>
      <c r="P197" s="7">
        <v>6.76075594881224</v>
      </c>
      <c r="Q197" s="7">
        <v>8.8571791864395308</v>
      </c>
      <c r="R197" s="7">
        <v>9.7619365408652907</v>
      </c>
      <c r="S197" s="7">
        <v>81.817957637397996</v>
      </c>
      <c r="T197" s="7">
        <v>97.265989239042199</v>
      </c>
      <c r="U197" s="7">
        <v>99.733519104476201</v>
      </c>
      <c r="V197" s="7">
        <v>99.893808364941705</v>
      </c>
      <c r="W197" s="7">
        <v>7.9613327507971796</v>
      </c>
      <c r="X197" s="7">
        <v>6.5894791677904898</v>
      </c>
      <c r="Y197" s="7">
        <v>9.9249322238439497</v>
      </c>
      <c r="Z197" s="7">
        <v>9.9961792588779392</v>
      </c>
      <c r="AA197" s="7">
        <v>10</v>
      </c>
      <c r="AB197" s="7">
        <v>96.982862920316194</v>
      </c>
      <c r="AC197" s="7">
        <v>99.971024633685104</v>
      </c>
      <c r="AD197" s="7">
        <v>100</v>
      </c>
      <c r="AE197" s="7">
        <v>100</v>
      </c>
      <c r="AF197" s="6">
        <v>18.888513677656299</v>
      </c>
      <c r="AG197" s="6">
        <v>1.5316702295064799</v>
      </c>
      <c r="AH197" s="6">
        <v>3.7593164279538298</v>
      </c>
      <c r="AI197" s="6">
        <v>4.8267612167804401</v>
      </c>
      <c r="AJ197" s="6">
        <v>5.7023305133725897</v>
      </c>
      <c r="AK197" s="6">
        <v>63.041920265340401</v>
      </c>
      <c r="AL197" s="6">
        <v>80.927273371792495</v>
      </c>
      <c r="AM197" s="6">
        <v>87.979538459404395</v>
      </c>
      <c r="AN197" s="6">
        <v>93.847974883905906</v>
      </c>
      <c r="AO197" s="6">
        <v>16.516661394987299</v>
      </c>
      <c r="AP197" s="7">
        <v>1.11474707433569</v>
      </c>
      <c r="AQ197" s="7">
        <v>4.8976953795079403</v>
      </c>
      <c r="AR197" s="7">
        <v>7.7756181539917399</v>
      </c>
      <c r="AS197" s="7">
        <v>9.0124917736160803</v>
      </c>
      <c r="AT197" s="7">
        <v>55.4560768895252</v>
      </c>
      <c r="AU197" s="7">
        <v>89.042996052877001</v>
      </c>
      <c r="AV197" s="7">
        <v>96.825656145628997</v>
      </c>
      <c r="AW197" s="7">
        <v>98.481105132801204</v>
      </c>
      <c r="AX197" s="7">
        <v>13.9925229384561</v>
      </c>
      <c r="AY197" s="7">
        <v>2.7143198418068302</v>
      </c>
      <c r="AZ197" s="7">
        <v>5.6887167149332596</v>
      </c>
      <c r="BA197" s="7">
        <v>7.5264947358849099</v>
      </c>
      <c r="BB197" s="7">
        <v>9.2106986916389104</v>
      </c>
      <c r="BC197" s="7">
        <v>69.993850440872507</v>
      </c>
      <c r="BD197" s="7">
        <v>90.763331365679903</v>
      </c>
      <c r="BE197" s="7">
        <v>99.676647241868807</v>
      </c>
      <c r="BF197" s="7">
        <v>100</v>
      </c>
      <c r="BG197" s="7">
        <v>9.1233204669255503</v>
      </c>
      <c r="BH197" s="7">
        <v>5.5094809556322399</v>
      </c>
      <c r="BI197" s="7">
        <v>9.9031560030639891</v>
      </c>
      <c r="BJ197" s="7">
        <v>10</v>
      </c>
      <c r="BK197" s="7">
        <v>10</v>
      </c>
      <c r="BL197" s="7">
        <v>91.326193268775796</v>
      </c>
      <c r="BM197" s="7">
        <v>100</v>
      </c>
      <c r="BN197" s="7">
        <v>100</v>
      </c>
      <c r="BO197" s="7">
        <v>100</v>
      </c>
      <c r="BP197" s="6">
        <v>28.472414008858401</v>
      </c>
      <c r="BQ197" s="6">
        <v>0.87439332826778204</v>
      </c>
      <c r="BR197" s="6">
        <v>2.6011263403033502</v>
      </c>
      <c r="BS197" s="6">
        <v>3.92739050625205</v>
      </c>
      <c r="BT197" s="6">
        <v>4.8038090276760999</v>
      </c>
      <c r="BU197" s="6">
        <v>49.892652432774803</v>
      </c>
      <c r="BV197" s="6">
        <v>69.666490451229706</v>
      </c>
      <c r="BW197" s="6">
        <v>75.676721221527501</v>
      </c>
      <c r="BX197" s="6">
        <v>83.426552840741806</v>
      </c>
      <c r="BY197" s="6" t="str">
        <f>TRIM(Table1[[#This Row],[LA_Name]])</f>
        <v>Norfolk</v>
      </c>
      <c r="BZ197" s="7">
        <v>57.771439171371</v>
      </c>
      <c r="CA197" s="7">
        <v>8.4879328387998706E-2</v>
      </c>
      <c r="CB197" s="7">
        <v>0.72530582112026798</v>
      </c>
      <c r="CC197" s="7">
        <v>1.6207155374236899</v>
      </c>
      <c r="CD197" s="7">
        <v>2.5298839289980202</v>
      </c>
      <c r="CE197" s="7">
        <v>6.49664702609478</v>
      </c>
      <c r="CF197" s="7">
        <v>24.274267254599501</v>
      </c>
      <c r="CG197" s="7">
        <v>40.261271494558599</v>
      </c>
      <c r="CH197" s="7">
        <v>55.9982861379073</v>
      </c>
      <c r="CI197" s="7">
        <v>70.608169740429304</v>
      </c>
      <c r="CJ197" s="7">
        <v>0.35724314801942603</v>
      </c>
      <c r="CK197" s="7">
        <v>1.34727593025568</v>
      </c>
      <c r="CL197" s="7">
        <v>2.0019620021978102</v>
      </c>
      <c r="CM197" s="7">
        <v>2.4035282132217102</v>
      </c>
      <c r="CN197" s="7">
        <v>17.842044181268701</v>
      </c>
      <c r="CO197" s="7">
        <v>27.701220818492502</v>
      </c>
      <c r="CP197" s="7">
        <v>35.155904424446</v>
      </c>
      <c r="CQ197" s="7">
        <v>39.796895012075602</v>
      </c>
      <c r="CR197" s="7">
        <v>28.0413946086924</v>
      </c>
      <c r="CS197" s="7">
        <v>0.927914528834343</v>
      </c>
      <c r="CT197" s="7">
        <v>2.8169697007060401</v>
      </c>
      <c r="CU197" s="7">
        <v>4.5592939258076504</v>
      </c>
      <c r="CV197" s="7">
        <v>6.8565472768550002</v>
      </c>
      <c r="CW197" s="7">
        <v>26.076134316235301</v>
      </c>
      <c r="CX197" s="7">
        <v>55.677091119820801</v>
      </c>
      <c r="CY197" s="7">
        <v>84.696536981352494</v>
      </c>
      <c r="CZ197" s="7">
        <v>99.132126129153093</v>
      </c>
      <c r="DA197" s="9">
        <v>93.874156776275996</v>
      </c>
      <c r="DB197" s="9">
        <v>7.5229606659402301E-2</v>
      </c>
      <c r="DC197" s="9">
        <v>0.33360818831522099</v>
      </c>
      <c r="DD197" s="9">
        <v>0.63452969743860799</v>
      </c>
      <c r="DE197" s="9">
        <v>0.96386864295104902</v>
      </c>
      <c r="DF197" s="9">
        <v>5.6269236637809499</v>
      </c>
      <c r="DG197" s="9">
        <v>17.382599676030701</v>
      </c>
      <c r="DH197" s="9">
        <v>22.561484031953</v>
      </c>
      <c r="DI197" s="9">
        <v>24.5891431768407</v>
      </c>
    </row>
    <row r="198" spans="1:113">
      <c r="A198" s="5" t="s">
        <v>435</v>
      </c>
      <c r="B198" s="5" t="s">
        <v>510</v>
      </c>
      <c r="C198" s="5" t="s">
        <v>511</v>
      </c>
      <c r="D198" s="6">
        <v>99185</v>
      </c>
      <c r="E198" s="7">
        <v>16.454957100901101</v>
      </c>
      <c r="F198" s="7">
        <v>1.1391944346423399</v>
      </c>
      <c r="G198" s="7">
        <v>4.1508292584564197</v>
      </c>
      <c r="H198" s="7">
        <v>6.9548318798205404</v>
      </c>
      <c r="I198" s="7">
        <v>8.2382517517769802</v>
      </c>
      <c r="J198" s="7">
        <v>61.474013207642301</v>
      </c>
      <c r="K198" s="7">
        <v>86.406210616524703</v>
      </c>
      <c r="L198" s="7">
        <v>93.601855119221696</v>
      </c>
      <c r="M198" s="7">
        <v>97.422997429046703</v>
      </c>
      <c r="N198" s="7">
        <v>11.8078685389884</v>
      </c>
      <c r="O198" s="7">
        <v>2.4748802742350202</v>
      </c>
      <c r="P198" s="7">
        <v>5.2380198618742799</v>
      </c>
      <c r="Q198" s="7">
        <v>8.2167464838433197</v>
      </c>
      <c r="R198" s="7">
        <v>9.9146040227856993</v>
      </c>
      <c r="S198" s="7">
        <v>76.773705701466994</v>
      </c>
      <c r="T198" s="7">
        <v>97.242526591722495</v>
      </c>
      <c r="U198" s="7">
        <v>100</v>
      </c>
      <c r="V198" s="7">
        <v>100</v>
      </c>
      <c r="W198" s="7">
        <v>8.2579992823238495</v>
      </c>
      <c r="X198" s="7">
        <v>5.0535464031859698</v>
      </c>
      <c r="Y198" s="7">
        <v>9.9908050612491799</v>
      </c>
      <c r="Z198" s="7">
        <v>10</v>
      </c>
      <c r="AA198" s="7">
        <v>10</v>
      </c>
      <c r="AB198" s="7">
        <v>96.874527398296095</v>
      </c>
      <c r="AC198" s="7">
        <v>100</v>
      </c>
      <c r="AD198" s="7">
        <v>100</v>
      </c>
      <c r="AE198" s="7">
        <v>100</v>
      </c>
      <c r="AF198" s="6">
        <v>21.3508986503934</v>
      </c>
      <c r="AG198" s="6">
        <v>0.94890356404698295</v>
      </c>
      <c r="AH198" s="6">
        <v>2.4687704794071701</v>
      </c>
      <c r="AI198" s="6">
        <v>3.4404799112769102</v>
      </c>
      <c r="AJ198" s="6">
        <v>4.0409941019307398</v>
      </c>
      <c r="AK198" s="6">
        <v>57.891818319302303</v>
      </c>
      <c r="AL198" s="6">
        <v>75.078892977768803</v>
      </c>
      <c r="AM198" s="6">
        <v>83.614457831325296</v>
      </c>
      <c r="AN198" s="6">
        <v>92.853758128749305</v>
      </c>
      <c r="AO198" s="6">
        <v>20.858826707664299</v>
      </c>
      <c r="AP198" s="7">
        <v>0.68072793265110698</v>
      </c>
      <c r="AQ198" s="7">
        <v>2.4558854665524001</v>
      </c>
      <c r="AR198" s="7">
        <v>5.5645309270555003</v>
      </c>
      <c r="AS198" s="7">
        <v>7.6398044059081496</v>
      </c>
      <c r="AT198" s="7">
        <v>44.200231889902703</v>
      </c>
      <c r="AU198" s="7">
        <v>82.6284216363361</v>
      </c>
      <c r="AV198" s="7">
        <v>91.826385038060195</v>
      </c>
      <c r="AW198" s="7">
        <v>95.927811665070294</v>
      </c>
      <c r="AX198" s="7">
        <v>14.802534444729799</v>
      </c>
      <c r="AY198" s="7">
        <v>1.43662852245803</v>
      </c>
      <c r="AZ198" s="7">
        <v>2.92118767958865</v>
      </c>
      <c r="BA198" s="7">
        <v>5.3076473257044903</v>
      </c>
      <c r="BB198" s="7">
        <v>8.4892977768815907</v>
      </c>
      <c r="BC198" s="7">
        <v>64.195190805061301</v>
      </c>
      <c r="BD198" s="7">
        <v>92.966678429197998</v>
      </c>
      <c r="BE198" s="7">
        <v>100</v>
      </c>
      <c r="BF198" s="7">
        <v>100</v>
      </c>
      <c r="BG198" s="7">
        <v>9.4119968598868606</v>
      </c>
      <c r="BH198" s="7">
        <v>3.01834954882291</v>
      </c>
      <c r="BI198" s="7">
        <v>9.9761254221908597</v>
      </c>
      <c r="BJ198" s="7">
        <v>10</v>
      </c>
      <c r="BK198" s="7">
        <v>10</v>
      </c>
      <c r="BL198" s="7">
        <v>93.706709683924004</v>
      </c>
      <c r="BM198" s="7">
        <v>100</v>
      </c>
      <c r="BN198" s="7">
        <v>100</v>
      </c>
      <c r="BO198" s="7">
        <v>100</v>
      </c>
      <c r="BP198" s="6">
        <v>31.585113396523401</v>
      </c>
      <c r="BQ198" s="6">
        <v>0.54998235620305502</v>
      </c>
      <c r="BR198" s="6">
        <v>1.4490396733377</v>
      </c>
      <c r="BS198" s="6">
        <v>1.95305741795634</v>
      </c>
      <c r="BT198" s="6">
        <v>2.2402984322226098</v>
      </c>
      <c r="BU198" s="6">
        <v>40.428492211523903</v>
      </c>
      <c r="BV198" s="6">
        <v>63.444069163683999</v>
      </c>
      <c r="BW198" s="6">
        <v>70.152744870696196</v>
      </c>
      <c r="BX198" s="6">
        <v>81.9256944094369</v>
      </c>
      <c r="BY198" s="6" t="str">
        <f>TRIM(Table1[[#This Row],[LA_Name]])</f>
        <v>Breckland</v>
      </c>
      <c r="BZ198" s="7">
        <v>72.123528987505495</v>
      </c>
      <c r="CA198" s="7">
        <v>0</v>
      </c>
      <c r="CB198" s="7">
        <v>6.0089731310177903E-3</v>
      </c>
      <c r="CC198" s="7">
        <v>0.27173463729394598</v>
      </c>
      <c r="CD198" s="7">
        <v>1.2690729444976601</v>
      </c>
      <c r="CE198" s="7">
        <v>0</v>
      </c>
      <c r="CF198" s="7">
        <v>0.60089731310177896</v>
      </c>
      <c r="CG198" s="7">
        <v>17.721429651661001</v>
      </c>
      <c r="CH198" s="7">
        <v>45.827494076725301</v>
      </c>
      <c r="CI198" s="7">
        <v>92.711196799839996</v>
      </c>
      <c r="CJ198" s="7">
        <v>0</v>
      </c>
      <c r="CK198" s="7">
        <v>0</v>
      </c>
      <c r="CL198" s="7">
        <v>0</v>
      </c>
      <c r="CM198" s="7">
        <v>2.6485859757019701E-2</v>
      </c>
      <c r="CN198" s="7">
        <v>0</v>
      </c>
      <c r="CO198" s="7">
        <v>0</v>
      </c>
      <c r="CP198" s="7">
        <v>0</v>
      </c>
      <c r="CQ198" s="7">
        <v>2.2634470938145901</v>
      </c>
      <c r="CR198" s="7">
        <v>30.5149673546142</v>
      </c>
      <c r="CS198" s="7">
        <v>0</v>
      </c>
      <c r="CT198" s="7">
        <v>1.10866562484247</v>
      </c>
      <c r="CU198" s="7">
        <v>5.6210112416192004</v>
      </c>
      <c r="CV198" s="7">
        <v>8.9663961284468403</v>
      </c>
      <c r="CW198" s="7">
        <v>0</v>
      </c>
      <c r="CX198" s="7">
        <v>56.661793617986604</v>
      </c>
      <c r="CY198" s="7">
        <v>97.217321167515294</v>
      </c>
      <c r="CZ198" s="7">
        <v>100</v>
      </c>
      <c r="DA198" s="9">
        <v>120</v>
      </c>
      <c r="DB198" s="9">
        <v>0</v>
      </c>
      <c r="DC198" s="9">
        <v>0</v>
      </c>
      <c r="DD198" s="9">
        <v>0</v>
      </c>
      <c r="DE198" s="9">
        <v>0</v>
      </c>
      <c r="DF198" s="9">
        <v>0</v>
      </c>
      <c r="DG198" s="9">
        <v>0</v>
      </c>
      <c r="DH198" s="9">
        <v>0</v>
      </c>
      <c r="DI198" s="9">
        <v>0</v>
      </c>
    </row>
    <row r="199" spans="1:113">
      <c r="A199" s="5" t="s">
        <v>435</v>
      </c>
      <c r="B199" s="5" t="s">
        <v>512</v>
      </c>
      <c r="C199" s="5" t="s">
        <v>513</v>
      </c>
      <c r="D199" s="6">
        <v>93168</v>
      </c>
      <c r="E199" s="7">
        <v>13.5897746835441</v>
      </c>
      <c r="F199" s="7">
        <v>1.6499119869483101</v>
      </c>
      <c r="G199" s="7">
        <v>6.1414219474497704</v>
      </c>
      <c r="H199" s="7">
        <v>8.7705328009616998</v>
      </c>
      <c r="I199" s="7">
        <v>9.3208827065086695</v>
      </c>
      <c r="J199" s="7">
        <v>70.180748754937298</v>
      </c>
      <c r="K199" s="7">
        <v>91.360767645543504</v>
      </c>
      <c r="L199" s="7">
        <v>97.642967542503897</v>
      </c>
      <c r="M199" s="7">
        <v>98.178559161943994</v>
      </c>
      <c r="N199" s="7">
        <v>10.8192797110045</v>
      </c>
      <c r="O199" s="7">
        <v>3.9565194058045701</v>
      </c>
      <c r="P199" s="7">
        <v>7.7764790486003799</v>
      </c>
      <c r="Q199" s="7">
        <v>9.3107182723682005</v>
      </c>
      <c r="R199" s="7">
        <v>9.9753348789283898</v>
      </c>
      <c r="S199" s="7">
        <v>84.340116778292995</v>
      </c>
      <c r="T199" s="7">
        <v>96.329211746522404</v>
      </c>
      <c r="U199" s="7">
        <v>100</v>
      </c>
      <c r="V199" s="7">
        <v>100</v>
      </c>
      <c r="W199" s="7">
        <v>7.8712550290575098</v>
      </c>
      <c r="X199" s="7">
        <v>7.6721513824489103</v>
      </c>
      <c r="Y199" s="7">
        <v>9.9885797698780703</v>
      </c>
      <c r="Z199" s="7">
        <v>10</v>
      </c>
      <c r="AA199" s="7">
        <v>10</v>
      </c>
      <c r="AB199" s="7">
        <v>96.020092735703201</v>
      </c>
      <c r="AC199" s="7">
        <v>100</v>
      </c>
      <c r="AD199" s="7">
        <v>100</v>
      </c>
      <c r="AE199" s="7">
        <v>100</v>
      </c>
      <c r="AF199" s="6">
        <v>18.1490774728844</v>
      </c>
      <c r="AG199" s="6">
        <v>1.36272110595913</v>
      </c>
      <c r="AH199" s="6">
        <v>3.8374871200412199</v>
      </c>
      <c r="AI199" s="6">
        <v>5.2747509874635101</v>
      </c>
      <c r="AJ199" s="6">
        <v>6.5539240941095702</v>
      </c>
      <c r="AK199" s="6">
        <v>64.743259488236305</v>
      </c>
      <c r="AL199" s="6">
        <v>84.015971148892305</v>
      </c>
      <c r="AM199" s="6">
        <v>88.908208827065096</v>
      </c>
      <c r="AN199" s="6">
        <v>93.330328009617006</v>
      </c>
      <c r="AO199" s="6">
        <v>15.407820642395</v>
      </c>
      <c r="AP199" s="7">
        <v>0.83945131375579596</v>
      </c>
      <c r="AQ199" s="7">
        <v>4.79462905718702</v>
      </c>
      <c r="AR199" s="7">
        <v>8.7624935600206104</v>
      </c>
      <c r="AS199" s="7">
        <v>9.48889103554869</v>
      </c>
      <c r="AT199" s="7">
        <v>53.071870170015501</v>
      </c>
      <c r="AU199" s="7">
        <v>93.103855400996096</v>
      </c>
      <c r="AV199" s="7">
        <v>99.213249184269301</v>
      </c>
      <c r="AW199" s="7">
        <v>99.662974411815199</v>
      </c>
      <c r="AX199" s="7">
        <v>12.688264062063601</v>
      </c>
      <c r="AY199" s="7">
        <v>1.9215073845096999</v>
      </c>
      <c r="AZ199" s="7">
        <v>6.7750085866391903</v>
      </c>
      <c r="BA199" s="7">
        <v>8.7991370427614601</v>
      </c>
      <c r="BB199" s="7">
        <v>9.8126824660827694</v>
      </c>
      <c r="BC199" s="7">
        <v>71.617937489266694</v>
      </c>
      <c r="BD199" s="7">
        <v>96.146745663747197</v>
      </c>
      <c r="BE199" s="7">
        <v>99.445088442383707</v>
      </c>
      <c r="BF199" s="7">
        <v>100</v>
      </c>
      <c r="BG199" s="7">
        <v>8.8374304582567795</v>
      </c>
      <c r="BH199" s="7">
        <v>6.4566589386914002</v>
      </c>
      <c r="BI199" s="7">
        <v>9.9568092048772101</v>
      </c>
      <c r="BJ199" s="7">
        <v>10</v>
      </c>
      <c r="BK199" s="7">
        <v>10</v>
      </c>
      <c r="BL199" s="7">
        <v>95.973939550060095</v>
      </c>
      <c r="BM199" s="7">
        <v>100</v>
      </c>
      <c r="BN199" s="7">
        <v>100</v>
      </c>
      <c r="BO199" s="7">
        <v>100</v>
      </c>
      <c r="BP199" s="6">
        <v>24.126859340240301</v>
      </c>
      <c r="BQ199" s="6">
        <v>0.64969732096857302</v>
      </c>
      <c r="BR199" s="6">
        <v>1.7925789970805399</v>
      </c>
      <c r="BS199" s="6">
        <v>3.45459814528594</v>
      </c>
      <c r="BT199" s="6">
        <v>5.27263652756311</v>
      </c>
      <c r="BU199" s="6">
        <v>47.171775716984399</v>
      </c>
      <c r="BV199" s="6">
        <v>70.971792890262705</v>
      </c>
      <c r="BW199" s="6">
        <v>82.799888373690493</v>
      </c>
      <c r="BX199" s="6">
        <v>95.823673364245195</v>
      </c>
      <c r="BY199" s="6" t="str">
        <f>TRIM(Table1[[#This Row],[LA_Name]])</f>
        <v>Broadland</v>
      </c>
      <c r="BZ199" s="7">
        <v>37.254996135372799</v>
      </c>
      <c r="CA199" s="7">
        <v>4.6056585952258297E-2</v>
      </c>
      <c r="CB199" s="7">
        <v>0.79381332646402203</v>
      </c>
      <c r="CC199" s="7">
        <v>2.7684827408552302</v>
      </c>
      <c r="CD199" s="7">
        <v>4.3745384681435704</v>
      </c>
      <c r="CE199" s="7">
        <v>4.6056585952258304</v>
      </c>
      <c r="CF199" s="7">
        <v>37.8617121758544</v>
      </c>
      <c r="CG199" s="7">
        <v>79.950197492701406</v>
      </c>
      <c r="CH199" s="7">
        <v>90.774729520865506</v>
      </c>
      <c r="CI199" s="7">
        <v>35.3381959873388</v>
      </c>
      <c r="CJ199" s="7">
        <v>0.25167439464193703</v>
      </c>
      <c r="CK199" s="7">
        <v>2.0281427099433298</v>
      </c>
      <c r="CL199" s="7">
        <v>3.8675296239052002</v>
      </c>
      <c r="CM199" s="7">
        <v>5.1775287652412798</v>
      </c>
      <c r="CN199" s="7">
        <v>22.128842521037299</v>
      </c>
      <c r="CO199" s="7">
        <v>48.648677657564797</v>
      </c>
      <c r="CP199" s="7">
        <v>71.918469860896494</v>
      </c>
      <c r="CQ199" s="7">
        <v>82.633522239395504</v>
      </c>
      <c r="CR199" s="7">
        <v>17.665006877419799</v>
      </c>
      <c r="CS199" s="7">
        <v>1.2625794264125001</v>
      </c>
      <c r="CT199" s="7">
        <v>5.7037716812639498</v>
      </c>
      <c r="CU199" s="7">
        <v>6.9742722823287</v>
      </c>
      <c r="CV199" s="7">
        <v>7.0031555899021098</v>
      </c>
      <c r="CW199" s="7">
        <v>41.386527563111798</v>
      </c>
      <c r="CX199" s="7">
        <v>92.879529452172406</v>
      </c>
      <c r="CY199" s="7">
        <v>100</v>
      </c>
      <c r="CZ199" s="7">
        <v>100</v>
      </c>
      <c r="DA199" s="9">
        <v>76.327177215713704</v>
      </c>
      <c r="DB199" s="9">
        <v>4.0786536149751002E-2</v>
      </c>
      <c r="DC199" s="9">
        <v>0.24666194401511199</v>
      </c>
      <c r="DD199" s="9">
        <v>0.58429933024214298</v>
      </c>
      <c r="DE199" s="9">
        <v>1.25733084320797</v>
      </c>
      <c r="DF199" s="9">
        <v>4.0786536149751003</v>
      </c>
      <c r="DG199" s="9">
        <v>21.2165121071613</v>
      </c>
      <c r="DH199" s="9">
        <v>31.0761205564142</v>
      </c>
      <c r="DI199" s="9">
        <v>37.752232526189303</v>
      </c>
    </row>
    <row r="200" spans="1:113">
      <c r="A200" s="5" t="s">
        <v>435</v>
      </c>
      <c r="B200" s="5" t="s">
        <v>514</v>
      </c>
      <c r="C200" s="5" t="s">
        <v>515</v>
      </c>
      <c r="D200" s="6">
        <v>70448</v>
      </c>
      <c r="E200" s="7">
        <v>7.4808806572786297</v>
      </c>
      <c r="F200" s="7">
        <v>3.2023762207585702</v>
      </c>
      <c r="G200" s="7">
        <v>9.3675334998864397</v>
      </c>
      <c r="H200" s="7">
        <v>9.9124034749034706</v>
      </c>
      <c r="I200" s="7">
        <v>9.9389336815807408</v>
      </c>
      <c r="J200" s="7">
        <v>90.571769248239804</v>
      </c>
      <c r="K200" s="7">
        <v>99.833920054508297</v>
      </c>
      <c r="L200" s="7">
        <v>100</v>
      </c>
      <c r="M200" s="7">
        <v>100</v>
      </c>
      <c r="N200" s="7">
        <v>8.0582192592422697</v>
      </c>
      <c r="O200" s="7">
        <v>5.9166903247785596</v>
      </c>
      <c r="P200" s="7">
        <v>9.7104389052918503</v>
      </c>
      <c r="Q200" s="7">
        <v>9.99568476039064</v>
      </c>
      <c r="R200" s="7">
        <v>10</v>
      </c>
      <c r="S200" s="7">
        <v>95.859357256416104</v>
      </c>
      <c r="T200" s="7">
        <v>100</v>
      </c>
      <c r="U200" s="7">
        <v>100</v>
      </c>
      <c r="V200" s="7">
        <v>100</v>
      </c>
      <c r="W200" s="7">
        <v>6.6527695676264003</v>
      </c>
      <c r="X200" s="7">
        <v>9.6678117192823105</v>
      </c>
      <c r="Y200" s="7">
        <v>10</v>
      </c>
      <c r="Z200" s="7">
        <v>10</v>
      </c>
      <c r="AA200" s="7">
        <v>10</v>
      </c>
      <c r="AB200" s="7">
        <v>99.784238019532097</v>
      </c>
      <c r="AC200" s="7">
        <v>100</v>
      </c>
      <c r="AD200" s="7">
        <v>100</v>
      </c>
      <c r="AE200" s="7">
        <v>100</v>
      </c>
      <c r="AF200" s="6">
        <v>9.2434743524283896</v>
      </c>
      <c r="AG200" s="6">
        <v>2.4096212809448101</v>
      </c>
      <c r="AH200" s="6">
        <v>5.7191119691119701</v>
      </c>
      <c r="AI200" s="6">
        <v>7.3377242789007502</v>
      </c>
      <c r="AJ200" s="6">
        <v>9.0442595957301801</v>
      </c>
      <c r="AK200" s="6">
        <v>83.335225982284797</v>
      </c>
      <c r="AL200" s="6">
        <v>94.701056098114904</v>
      </c>
      <c r="AM200" s="6">
        <v>97.769986372927505</v>
      </c>
      <c r="AN200" s="6">
        <v>99.784238019532097</v>
      </c>
      <c r="AO200" s="6">
        <v>11.544435459893601</v>
      </c>
      <c r="AP200" s="7">
        <v>2.1953781512605</v>
      </c>
      <c r="AQ200" s="7">
        <v>7.7399074494662701</v>
      </c>
      <c r="AR200" s="7">
        <v>9.6377469906881696</v>
      </c>
      <c r="AS200" s="7">
        <v>9.9140926640926601</v>
      </c>
      <c r="AT200" s="7">
        <v>73.398818987054298</v>
      </c>
      <c r="AU200" s="7">
        <v>94.412900295253195</v>
      </c>
      <c r="AV200" s="7">
        <v>100</v>
      </c>
      <c r="AW200" s="7">
        <v>100</v>
      </c>
      <c r="AX200" s="7">
        <v>12.867432740955399</v>
      </c>
      <c r="AY200" s="7">
        <v>4.5189927322280301</v>
      </c>
      <c r="AZ200" s="7">
        <v>7.9781824892118998</v>
      </c>
      <c r="BA200" s="7">
        <v>9.0288013854190297</v>
      </c>
      <c r="BB200" s="7">
        <v>9.8262406313876909</v>
      </c>
      <c r="BC200" s="7">
        <v>77.516749943220503</v>
      </c>
      <c r="BD200" s="7">
        <v>88.638428344310697</v>
      </c>
      <c r="BE200" s="7">
        <v>98.282421076538697</v>
      </c>
      <c r="BF200" s="7">
        <v>100</v>
      </c>
      <c r="BG200" s="7">
        <v>8.5151535873247397</v>
      </c>
      <c r="BH200" s="7">
        <v>7.8594140358846198</v>
      </c>
      <c r="BI200" s="7">
        <v>10</v>
      </c>
      <c r="BJ200" s="7">
        <v>10</v>
      </c>
      <c r="BK200" s="7">
        <v>10</v>
      </c>
      <c r="BL200" s="7">
        <v>89.348171701112904</v>
      </c>
      <c r="BM200" s="7">
        <v>100</v>
      </c>
      <c r="BN200" s="7">
        <v>100</v>
      </c>
      <c r="BO200" s="7">
        <v>100</v>
      </c>
      <c r="BP200" s="6">
        <v>24.815797740078601</v>
      </c>
      <c r="BQ200" s="6">
        <v>1.56751078809902</v>
      </c>
      <c r="BR200" s="6">
        <v>4.2335481489893301</v>
      </c>
      <c r="BS200" s="6">
        <v>6.0687315466727201</v>
      </c>
      <c r="BT200" s="6">
        <v>7.1003861003860997</v>
      </c>
      <c r="BU200" s="6">
        <v>65.681069725187399</v>
      </c>
      <c r="BV200" s="6">
        <v>77.719736543265995</v>
      </c>
      <c r="BW200" s="6">
        <v>78.578526004996604</v>
      </c>
      <c r="BX200" s="6">
        <v>84.649670679082405</v>
      </c>
      <c r="BY200" s="6" t="str">
        <f>TRIM(Table1[[#This Row],[LA_Name]])</f>
        <v>Great Yarmouth</v>
      </c>
      <c r="BZ200" s="7">
        <v>74.097381431298899</v>
      </c>
      <c r="CA200" s="7">
        <v>0</v>
      </c>
      <c r="CB200" s="7">
        <v>0</v>
      </c>
      <c r="CC200" s="7">
        <v>0</v>
      </c>
      <c r="CD200" s="7">
        <v>0.28301726095843699</v>
      </c>
      <c r="CE200" s="7">
        <v>0</v>
      </c>
      <c r="CF200" s="7">
        <v>0</v>
      </c>
      <c r="CG200" s="7">
        <v>0</v>
      </c>
      <c r="CH200" s="7">
        <v>17.486656824892101</v>
      </c>
      <c r="CI200" s="7">
        <v>118.732164915654</v>
      </c>
      <c r="CJ200" s="7">
        <v>0</v>
      </c>
      <c r="CK200" s="7">
        <v>0</v>
      </c>
      <c r="CL200" s="7">
        <v>0</v>
      </c>
      <c r="CM200" s="7">
        <v>0</v>
      </c>
      <c r="CN200" s="7">
        <v>0</v>
      </c>
      <c r="CO200" s="7">
        <v>0</v>
      </c>
      <c r="CP200" s="7">
        <v>0</v>
      </c>
      <c r="CQ200" s="7">
        <v>0</v>
      </c>
      <c r="CR200" s="7">
        <v>45.619232172996298</v>
      </c>
      <c r="CS200" s="7">
        <v>0</v>
      </c>
      <c r="CT200" s="7">
        <v>0</v>
      </c>
      <c r="CU200" s="7">
        <v>1.9093373836020899</v>
      </c>
      <c r="CV200" s="7">
        <v>7</v>
      </c>
      <c r="CW200" s="7">
        <v>0</v>
      </c>
      <c r="CX200" s="7">
        <v>0</v>
      </c>
      <c r="CY200" s="7">
        <v>42.304962525550799</v>
      </c>
      <c r="CZ200" s="7">
        <v>100</v>
      </c>
      <c r="DA200" s="9">
        <v>120</v>
      </c>
      <c r="DB200" s="9">
        <v>0</v>
      </c>
      <c r="DC200" s="9">
        <v>0</v>
      </c>
      <c r="DD200" s="9">
        <v>0</v>
      </c>
      <c r="DE200" s="9">
        <v>0</v>
      </c>
      <c r="DF200" s="9">
        <v>0</v>
      </c>
      <c r="DG200" s="9">
        <v>0</v>
      </c>
      <c r="DH200" s="9">
        <v>0</v>
      </c>
      <c r="DI200" s="9">
        <v>0</v>
      </c>
    </row>
    <row r="201" spans="1:113">
      <c r="A201" s="5" t="s">
        <v>435</v>
      </c>
      <c r="B201" s="5" t="s">
        <v>516</v>
      </c>
      <c r="C201" s="5" t="s">
        <v>517</v>
      </c>
      <c r="D201" s="6">
        <v>106173</v>
      </c>
      <c r="E201" s="7">
        <v>14.675066885985601</v>
      </c>
      <c r="F201" s="7">
        <v>1.00995545006734</v>
      </c>
      <c r="G201" s="7">
        <v>4.6764337449257303</v>
      </c>
      <c r="H201" s="7">
        <v>7.4476090908234696</v>
      </c>
      <c r="I201" s="7">
        <v>8.7155020579620093</v>
      </c>
      <c r="J201" s="7">
        <v>60.422141222344699</v>
      </c>
      <c r="K201" s="7">
        <v>92.1533723262976</v>
      </c>
      <c r="L201" s="7">
        <v>97.266725061927204</v>
      </c>
      <c r="M201" s="7">
        <v>99.037420059713895</v>
      </c>
      <c r="N201" s="7">
        <v>12.571583932629</v>
      </c>
      <c r="O201" s="7">
        <v>2.0795117402729502</v>
      </c>
      <c r="P201" s="7">
        <v>5.7334633098810404</v>
      </c>
      <c r="Q201" s="7">
        <v>8.1524116300754397</v>
      </c>
      <c r="R201" s="7">
        <v>9.4287059798630501</v>
      </c>
      <c r="S201" s="7">
        <v>79.0408107522628</v>
      </c>
      <c r="T201" s="7">
        <v>94.418543320806606</v>
      </c>
      <c r="U201" s="7">
        <v>98.512804573667495</v>
      </c>
      <c r="V201" s="7">
        <v>99.351059120491996</v>
      </c>
      <c r="W201" s="7">
        <v>8.6427092402810004</v>
      </c>
      <c r="X201" s="7">
        <v>5.7565388563947497</v>
      </c>
      <c r="Y201" s="7">
        <v>9.83025816356324</v>
      </c>
      <c r="Z201" s="7">
        <v>10</v>
      </c>
      <c r="AA201" s="7">
        <v>10</v>
      </c>
      <c r="AB201" s="7">
        <v>94.744426549122693</v>
      </c>
      <c r="AC201" s="7">
        <v>99.822930500221304</v>
      </c>
      <c r="AD201" s="7">
        <v>100</v>
      </c>
      <c r="AE201" s="7">
        <v>100</v>
      </c>
      <c r="AF201" s="6">
        <v>22.970386918211801</v>
      </c>
      <c r="AG201" s="6">
        <v>0.85529277688301197</v>
      </c>
      <c r="AH201" s="6">
        <v>2.0874233562205098</v>
      </c>
      <c r="AI201" s="6">
        <v>3.37044257956354</v>
      </c>
      <c r="AJ201" s="6">
        <v>4.5879837623501301</v>
      </c>
      <c r="AK201" s="6">
        <v>56.178124381905</v>
      </c>
      <c r="AL201" s="6">
        <v>77.230557674738407</v>
      </c>
      <c r="AM201" s="6">
        <v>84.741883529710904</v>
      </c>
      <c r="AN201" s="6">
        <v>90.713269852033903</v>
      </c>
      <c r="AO201" s="6">
        <v>19.767825140578299</v>
      </c>
      <c r="AP201" s="7">
        <v>0.85555649741459705</v>
      </c>
      <c r="AQ201" s="7">
        <v>3.9328831247115601</v>
      </c>
      <c r="AR201" s="7">
        <v>7.1810441449332698</v>
      </c>
      <c r="AS201" s="7">
        <v>8.9284375500362607</v>
      </c>
      <c r="AT201" s="7">
        <v>42.005029527280897</v>
      </c>
      <c r="AU201" s="7">
        <v>85.526452111176994</v>
      </c>
      <c r="AV201" s="7">
        <v>96.828760607687499</v>
      </c>
      <c r="AW201" s="7">
        <v>98.083316850800102</v>
      </c>
      <c r="AX201" s="7">
        <v>18.564573874079301</v>
      </c>
      <c r="AY201" s="7">
        <v>1.8532960357152899</v>
      </c>
      <c r="AZ201" s="7">
        <v>4.4119974004690503</v>
      </c>
      <c r="BA201" s="7">
        <v>6.18850366854097</v>
      </c>
      <c r="BB201" s="7">
        <v>8.1375961873545997</v>
      </c>
      <c r="BC201" s="7">
        <v>51.868177408568997</v>
      </c>
      <c r="BD201" s="7">
        <v>76.967779002194504</v>
      </c>
      <c r="BE201" s="7">
        <v>99.650570295649601</v>
      </c>
      <c r="BF201" s="7">
        <v>100</v>
      </c>
      <c r="BG201" s="7">
        <v>10.5621118312891</v>
      </c>
      <c r="BH201" s="7">
        <v>4.3040415171465396</v>
      </c>
      <c r="BI201" s="7">
        <v>9.7201171672647497</v>
      </c>
      <c r="BJ201" s="7">
        <v>10</v>
      </c>
      <c r="BK201" s="7">
        <v>10</v>
      </c>
      <c r="BL201" s="7">
        <v>80.278413532630694</v>
      </c>
      <c r="BM201" s="7">
        <v>100</v>
      </c>
      <c r="BN201" s="7">
        <v>100</v>
      </c>
      <c r="BO201" s="7">
        <v>100</v>
      </c>
      <c r="BP201" s="6">
        <v>42.6905393918694</v>
      </c>
      <c r="BQ201" s="6">
        <v>0.67925932204986195</v>
      </c>
      <c r="BR201" s="6">
        <v>1.93279835739783</v>
      </c>
      <c r="BS201" s="6">
        <v>3.1004210109915</v>
      </c>
      <c r="BT201" s="6">
        <v>3.71618961506221</v>
      </c>
      <c r="BU201" s="6">
        <v>36.211654563777998</v>
      </c>
      <c r="BV201" s="6">
        <v>51.478247765439399</v>
      </c>
      <c r="BW201" s="6">
        <v>58.329330432407502</v>
      </c>
      <c r="BX201" s="6">
        <v>64.521111770412404</v>
      </c>
      <c r="BY201" s="6" t="str">
        <f>TRIM(Table1[[#This Row],[LA_Name]])</f>
        <v>King's Lynn and West Norfolk</v>
      </c>
      <c r="BZ201" s="7">
        <v>81.230582639945695</v>
      </c>
      <c r="CA201" s="7">
        <v>0</v>
      </c>
      <c r="CB201" s="7">
        <v>6.6777806033549002E-3</v>
      </c>
      <c r="CC201" s="7">
        <v>6.7295828506305694E-2</v>
      </c>
      <c r="CD201" s="7">
        <v>0.27269644824955502</v>
      </c>
      <c r="CE201" s="7">
        <v>0</v>
      </c>
      <c r="CF201" s="7">
        <v>0.66777806033549003</v>
      </c>
      <c r="CG201" s="7">
        <v>6.7295828506305702</v>
      </c>
      <c r="CH201" s="7">
        <v>25.855914403850299</v>
      </c>
      <c r="CI201" s="7">
        <v>94.2107430286121</v>
      </c>
      <c r="CJ201" s="7">
        <v>0</v>
      </c>
      <c r="CK201" s="7">
        <v>3.97652887268891E-2</v>
      </c>
      <c r="CL201" s="7">
        <v>7.5527676527930798E-2</v>
      </c>
      <c r="CM201" s="7">
        <v>0.120510864344042</v>
      </c>
      <c r="CN201" s="7">
        <v>0</v>
      </c>
      <c r="CO201" s="7">
        <v>3.9765288726889101</v>
      </c>
      <c r="CP201" s="7">
        <v>7.5527676527930803</v>
      </c>
      <c r="CQ201" s="7">
        <v>12.051086434404199</v>
      </c>
      <c r="CR201" s="7">
        <v>34.0570376864613</v>
      </c>
      <c r="CS201" s="7">
        <v>3.0403209855613001E-2</v>
      </c>
      <c r="CT201" s="7">
        <v>0.34268599361419599</v>
      </c>
      <c r="CU201" s="7">
        <v>0.86469253011594305</v>
      </c>
      <c r="CV201" s="7">
        <v>3.1278291090955301</v>
      </c>
      <c r="CW201" s="7">
        <v>3.0403209855613</v>
      </c>
      <c r="CX201" s="7">
        <v>34.268599361419597</v>
      </c>
      <c r="CY201" s="7">
        <v>83.245269512964697</v>
      </c>
      <c r="CZ201" s="7">
        <v>97.978770497207407</v>
      </c>
      <c r="DA201" s="9">
        <v>117.167038115452</v>
      </c>
      <c r="DB201" s="9">
        <v>0</v>
      </c>
      <c r="DC201" s="9">
        <v>1.8460437210967E-3</v>
      </c>
      <c r="DD201" s="9">
        <v>1.29505618189182E-2</v>
      </c>
      <c r="DE201" s="9">
        <v>1.6868695431041799E-2</v>
      </c>
      <c r="DF201" s="9">
        <v>0</v>
      </c>
      <c r="DG201" s="9">
        <v>0.18460437210967001</v>
      </c>
      <c r="DH201" s="9">
        <v>1.29505618189182</v>
      </c>
      <c r="DI201" s="9">
        <v>1.68686954310418</v>
      </c>
    </row>
    <row r="202" spans="1:113">
      <c r="A202" s="5" t="s">
        <v>435</v>
      </c>
      <c r="B202" s="5" t="s">
        <v>518</v>
      </c>
      <c r="C202" s="5" t="s">
        <v>519</v>
      </c>
      <c r="D202" s="6">
        <v>73800</v>
      </c>
      <c r="E202" s="7">
        <v>18.853240929573499</v>
      </c>
      <c r="F202" s="7">
        <v>0.64089430894308896</v>
      </c>
      <c r="G202" s="7">
        <v>2.6933604336043402</v>
      </c>
      <c r="H202" s="7">
        <v>5.8747425474254698</v>
      </c>
      <c r="I202" s="7">
        <v>7.7494444444444399</v>
      </c>
      <c r="J202" s="7">
        <v>46.476964769647701</v>
      </c>
      <c r="K202" s="7">
        <v>86.258807588075896</v>
      </c>
      <c r="L202" s="7">
        <v>94.518970189701903</v>
      </c>
      <c r="M202" s="7">
        <v>98.533875338753404</v>
      </c>
      <c r="N202" s="7">
        <v>14.7441699354242</v>
      </c>
      <c r="O202" s="7">
        <v>1.1254607046070499</v>
      </c>
      <c r="P202" s="7">
        <v>3.3294173441734398</v>
      </c>
      <c r="Q202" s="7">
        <v>7.0061788617886203</v>
      </c>
      <c r="R202" s="7">
        <v>8.8808672086720897</v>
      </c>
      <c r="S202" s="7">
        <v>63.383468834688401</v>
      </c>
      <c r="T202" s="7">
        <v>92.677506775067798</v>
      </c>
      <c r="U202" s="7">
        <v>99.796747967479703</v>
      </c>
      <c r="V202" s="7">
        <v>100</v>
      </c>
      <c r="W202" s="7">
        <v>9.4363527144907593</v>
      </c>
      <c r="X202" s="7">
        <v>2.8917750677506802</v>
      </c>
      <c r="Y202" s="7">
        <v>9.6110027100270994</v>
      </c>
      <c r="Z202" s="7">
        <v>9.9664092140921401</v>
      </c>
      <c r="AA202" s="7">
        <v>10</v>
      </c>
      <c r="AB202" s="7">
        <v>90.810298102980994</v>
      </c>
      <c r="AC202" s="7">
        <v>100</v>
      </c>
      <c r="AD202" s="7">
        <v>100</v>
      </c>
      <c r="AE202" s="7">
        <v>100</v>
      </c>
      <c r="AF202" s="6">
        <v>31.697612194090599</v>
      </c>
      <c r="AG202" s="6">
        <v>0.41983739837398398</v>
      </c>
      <c r="AH202" s="6">
        <v>1.0473712737127401</v>
      </c>
      <c r="AI202" s="6">
        <v>1.38246612466125</v>
      </c>
      <c r="AJ202" s="6">
        <v>1.8860027100271</v>
      </c>
      <c r="AK202" s="6">
        <v>33.991869918699201</v>
      </c>
      <c r="AL202" s="6">
        <v>61.2953929539295</v>
      </c>
      <c r="AM202" s="6">
        <v>76.102981029810294</v>
      </c>
      <c r="AN202" s="6">
        <v>85.784552845528495</v>
      </c>
      <c r="AO202" s="6">
        <v>20.022121432797501</v>
      </c>
      <c r="AP202" s="7">
        <v>0.80886178861788605</v>
      </c>
      <c r="AQ202" s="7">
        <v>2.8329945799458001</v>
      </c>
      <c r="AR202" s="7">
        <v>5.93033875338753</v>
      </c>
      <c r="AS202" s="7">
        <v>8.3120596205962105</v>
      </c>
      <c r="AT202" s="7">
        <v>47.476964769647701</v>
      </c>
      <c r="AU202" s="7">
        <v>81.632791327913296</v>
      </c>
      <c r="AV202" s="7">
        <v>93.859078590785899</v>
      </c>
      <c r="AW202" s="7">
        <v>97.481029810298097</v>
      </c>
      <c r="AX202" s="7">
        <v>16.141916846912402</v>
      </c>
      <c r="AY202" s="7">
        <v>1.44593495934959</v>
      </c>
      <c r="AZ202" s="7">
        <v>2.8792547425474302</v>
      </c>
      <c r="BA202" s="7">
        <v>5.5276964769647696</v>
      </c>
      <c r="BB202" s="7">
        <v>8.5124661246612501</v>
      </c>
      <c r="BC202" s="7">
        <v>55.884823848238497</v>
      </c>
      <c r="BD202" s="7">
        <v>88.883468834688301</v>
      </c>
      <c r="BE202" s="7">
        <v>100</v>
      </c>
      <c r="BF202" s="7">
        <v>100</v>
      </c>
      <c r="BG202" s="7">
        <v>9.9187004128381204</v>
      </c>
      <c r="BH202" s="7">
        <v>2.6717344173441702</v>
      </c>
      <c r="BI202" s="7">
        <v>9.6408536585365905</v>
      </c>
      <c r="BJ202" s="7">
        <v>10</v>
      </c>
      <c r="BK202" s="7">
        <v>10</v>
      </c>
      <c r="BL202" s="7">
        <v>85.447154471544707</v>
      </c>
      <c r="BM202" s="7">
        <v>100</v>
      </c>
      <c r="BN202" s="7">
        <v>100</v>
      </c>
      <c r="BO202" s="7">
        <v>100</v>
      </c>
      <c r="BP202" s="6">
        <v>36.5251007872941</v>
      </c>
      <c r="BQ202" s="6">
        <v>0.65042005420054205</v>
      </c>
      <c r="BR202" s="6">
        <v>1.3525609756097601</v>
      </c>
      <c r="BS202" s="6">
        <v>1.68292682926829</v>
      </c>
      <c r="BT202" s="6">
        <v>2.0640785907859098</v>
      </c>
      <c r="BU202" s="6">
        <v>42.218157181571797</v>
      </c>
      <c r="BV202" s="6">
        <v>53.959349593495901</v>
      </c>
      <c r="BW202" s="6">
        <v>61.559620596206003</v>
      </c>
      <c r="BX202" s="6">
        <v>73.6666666666667</v>
      </c>
      <c r="BY202" s="6" t="str">
        <f>TRIM(Table1[[#This Row],[LA_Name]])</f>
        <v>North Norfolk</v>
      </c>
      <c r="BZ202" s="7">
        <v>83.810703869176095</v>
      </c>
      <c r="CA202" s="7">
        <v>0</v>
      </c>
      <c r="CB202" s="7">
        <v>0</v>
      </c>
      <c r="CC202" s="7">
        <v>2.29132791327913E-2</v>
      </c>
      <c r="CD202" s="7">
        <v>0.41378048780487803</v>
      </c>
      <c r="CE202" s="7">
        <v>0</v>
      </c>
      <c r="CF202" s="7">
        <v>0</v>
      </c>
      <c r="CG202" s="7">
        <v>1.20867208672087</v>
      </c>
      <c r="CH202" s="7">
        <v>17.466124661246599</v>
      </c>
      <c r="CI202" s="7">
        <v>104.662958979981</v>
      </c>
      <c r="CJ202" s="7">
        <v>0</v>
      </c>
      <c r="CK202" s="7">
        <v>0</v>
      </c>
      <c r="CL202" s="7">
        <v>2.4661246612466101E-3</v>
      </c>
      <c r="CM202" s="7">
        <v>0.10023035230352299</v>
      </c>
      <c r="CN202" s="7">
        <v>0</v>
      </c>
      <c r="CO202" s="7">
        <v>0</v>
      </c>
      <c r="CP202" s="7">
        <v>0.24661246612466101</v>
      </c>
      <c r="CQ202" s="7">
        <v>4.9512195121951201</v>
      </c>
      <c r="CR202" s="7">
        <v>44.295836678972698</v>
      </c>
      <c r="CS202" s="7">
        <v>0</v>
      </c>
      <c r="CT202" s="7">
        <v>0.190271002710027</v>
      </c>
      <c r="CU202" s="7">
        <v>2.1388075880758799</v>
      </c>
      <c r="CV202" s="7">
        <v>5.6956368563685604</v>
      </c>
      <c r="CW202" s="7">
        <v>0</v>
      </c>
      <c r="CX202" s="7">
        <v>7.48780487804878</v>
      </c>
      <c r="CY202" s="7">
        <v>52.1287262872629</v>
      </c>
      <c r="CZ202" s="7">
        <v>95.2777777777778</v>
      </c>
      <c r="DA202" s="9">
        <v>120</v>
      </c>
      <c r="DB202" s="9">
        <v>0</v>
      </c>
      <c r="DC202" s="9">
        <v>0</v>
      </c>
      <c r="DD202" s="9">
        <v>0</v>
      </c>
      <c r="DE202" s="9">
        <v>0</v>
      </c>
      <c r="DF202" s="9">
        <v>0</v>
      </c>
      <c r="DG202" s="9">
        <v>0</v>
      </c>
      <c r="DH202" s="9">
        <v>0</v>
      </c>
      <c r="DI202" s="9">
        <v>0</v>
      </c>
    </row>
    <row r="203" spans="1:113">
      <c r="A203" s="5" t="s">
        <v>435</v>
      </c>
      <c r="B203" s="5" t="s">
        <v>520</v>
      </c>
      <c r="C203" s="5" t="s">
        <v>521</v>
      </c>
      <c r="D203" s="6">
        <v>106619</v>
      </c>
      <c r="E203" s="7">
        <v>6.7040931454114796</v>
      </c>
      <c r="F203" s="7">
        <v>4.5658559918963801</v>
      </c>
      <c r="G203" s="7">
        <v>9.8484322681698409</v>
      </c>
      <c r="H203" s="7">
        <v>10</v>
      </c>
      <c r="I203" s="7">
        <v>10</v>
      </c>
      <c r="J203" s="7">
        <v>94.453146249730395</v>
      </c>
      <c r="K203" s="7">
        <v>100</v>
      </c>
      <c r="L203" s="7">
        <v>100</v>
      </c>
      <c r="M203" s="7">
        <v>100</v>
      </c>
      <c r="N203" s="7">
        <v>7.4332140309736499</v>
      </c>
      <c r="O203" s="7">
        <v>9.2961385869310291</v>
      </c>
      <c r="P203" s="7">
        <v>10</v>
      </c>
      <c r="Q203" s="7">
        <v>10</v>
      </c>
      <c r="R203" s="7">
        <v>10</v>
      </c>
      <c r="S203" s="7">
        <v>100</v>
      </c>
      <c r="T203" s="7">
        <v>100</v>
      </c>
      <c r="U203" s="7">
        <v>100</v>
      </c>
      <c r="V203" s="7">
        <v>100</v>
      </c>
      <c r="W203" s="7">
        <v>6.5377422376064898</v>
      </c>
      <c r="X203" s="7">
        <v>10</v>
      </c>
      <c r="Y203" s="7">
        <v>10</v>
      </c>
      <c r="Z203" s="7">
        <v>10</v>
      </c>
      <c r="AA203" s="7">
        <v>10</v>
      </c>
      <c r="AB203" s="7">
        <v>100</v>
      </c>
      <c r="AC203" s="7">
        <v>100</v>
      </c>
      <c r="AD203" s="7">
        <v>100</v>
      </c>
      <c r="AE203" s="7">
        <v>100</v>
      </c>
      <c r="AF203" s="6">
        <v>6.97986586345798</v>
      </c>
      <c r="AG203" s="6">
        <v>3.89167034018327</v>
      </c>
      <c r="AH203" s="6">
        <v>9.1342068486855101</v>
      </c>
      <c r="AI203" s="6">
        <v>9.9882291148857103</v>
      </c>
      <c r="AJ203" s="6">
        <v>10</v>
      </c>
      <c r="AK203" s="6">
        <v>94.453146249730395</v>
      </c>
      <c r="AL203" s="6">
        <v>100</v>
      </c>
      <c r="AM203" s="6">
        <v>100</v>
      </c>
      <c r="AN203" s="6">
        <v>100</v>
      </c>
      <c r="AO203" s="6">
        <v>10.1880020378934</v>
      </c>
      <c r="AP203" s="7">
        <v>1.88736529136458</v>
      </c>
      <c r="AQ203" s="7">
        <v>8.9530383890301</v>
      </c>
      <c r="AR203" s="7">
        <v>9.9968392125230991</v>
      </c>
      <c r="AS203" s="7">
        <v>10</v>
      </c>
      <c r="AT203" s="7">
        <v>77.652200827244698</v>
      </c>
      <c r="AU203" s="7">
        <v>100</v>
      </c>
      <c r="AV203" s="7">
        <v>100</v>
      </c>
      <c r="AW203" s="7">
        <v>100</v>
      </c>
      <c r="AX203" s="7">
        <v>8.9313934787968492</v>
      </c>
      <c r="AY203" s="7">
        <v>6.4586143182734803</v>
      </c>
      <c r="AZ203" s="7">
        <v>10</v>
      </c>
      <c r="BA203" s="7">
        <v>10</v>
      </c>
      <c r="BB203" s="7">
        <v>10</v>
      </c>
      <c r="BC203" s="7">
        <v>99.624832346955003</v>
      </c>
      <c r="BD203" s="7">
        <v>100</v>
      </c>
      <c r="BE203" s="7">
        <v>100</v>
      </c>
      <c r="BF203" s="7">
        <v>100</v>
      </c>
      <c r="BG203" s="7">
        <v>7.42772552813424</v>
      </c>
      <c r="BH203" s="7">
        <v>9.8052035753477291</v>
      </c>
      <c r="BI203" s="7">
        <v>10</v>
      </c>
      <c r="BJ203" s="7">
        <v>10</v>
      </c>
      <c r="BK203" s="7">
        <v>10</v>
      </c>
      <c r="BL203" s="7">
        <v>100</v>
      </c>
      <c r="BM203" s="7">
        <v>100</v>
      </c>
      <c r="BN203" s="7">
        <v>100</v>
      </c>
      <c r="BO203" s="7">
        <v>100</v>
      </c>
      <c r="BP203" s="6">
        <v>11.6809668082846</v>
      </c>
      <c r="BQ203" s="6">
        <v>1.53779345144862</v>
      </c>
      <c r="BR203" s="6">
        <v>6.0884926701619797</v>
      </c>
      <c r="BS203" s="6">
        <v>9.0058995113441291</v>
      </c>
      <c r="BT203" s="6">
        <v>9.8069856216997007</v>
      </c>
      <c r="BU203" s="6">
        <v>70.100075971449698</v>
      </c>
      <c r="BV203" s="6">
        <v>100</v>
      </c>
      <c r="BW203" s="6">
        <v>100</v>
      </c>
      <c r="BX203" s="6">
        <v>100</v>
      </c>
      <c r="BY203" s="6" t="str">
        <f>TRIM(Table1[[#This Row],[LA_Name]])</f>
        <v>Norwich</v>
      </c>
      <c r="BZ203" s="7">
        <v>16.2603365439176</v>
      </c>
      <c r="CA203" s="7">
        <v>0.47273938041062102</v>
      </c>
      <c r="CB203" s="7">
        <v>3.49931062943753</v>
      </c>
      <c r="CC203" s="7">
        <v>5.5346232847803902</v>
      </c>
      <c r="CD203" s="7">
        <v>6.6594697005224202</v>
      </c>
      <c r="CE203" s="7">
        <v>35.156022847710098</v>
      </c>
      <c r="CF203" s="7">
        <v>99.227154634727398</v>
      </c>
      <c r="CG203" s="7">
        <v>100</v>
      </c>
      <c r="CH203" s="7">
        <v>100</v>
      </c>
      <c r="CI203" s="7">
        <v>11.3693988911884</v>
      </c>
      <c r="CJ203" s="7">
        <v>1.9404984102270699</v>
      </c>
      <c r="CK203" s="7">
        <v>5.7673397799641704</v>
      </c>
      <c r="CL203" s="7">
        <v>6.9569495118130904</v>
      </c>
      <c r="CM203" s="7">
        <v>7</v>
      </c>
      <c r="CN203" s="7">
        <v>88.008703889550603</v>
      </c>
      <c r="CO203" s="7">
        <v>100</v>
      </c>
      <c r="CP203" s="7">
        <v>100</v>
      </c>
      <c r="CQ203" s="7">
        <v>100</v>
      </c>
      <c r="CR203" s="7">
        <v>9.07441113230594</v>
      </c>
      <c r="CS203" s="7">
        <v>4.2226244853168797</v>
      </c>
      <c r="CT203" s="7">
        <v>7</v>
      </c>
      <c r="CU203" s="7">
        <v>7</v>
      </c>
      <c r="CV203" s="7">
        <v>7.5502396383383799</v>
      </c>
      <c r="CW203" s="7">
        <v>100</v>
      </c>
      <c r="CX203" s="7">
        <v>100</v>
      </c>
      <c r="CY203" s="7">
        <v>100</v>
      </c>
      <c r="CZ203" s="7">
        <v>100</v>
      </c>
      <c r="DA203" s="9">
        <v>19.777775858458401</v>
      </c>
      <c r="DB203" s="9">
        <v>0.42034721766289301</v>
      </c>
      <c r="DC203" s="9">
        <v>1.79921027209034</v>
      </c>
      <c r="DD203" s="9">
        <v>3.23654320524484</v>
      </c>
      <c r="DE203" s="9">
        <v>4.5174687438449102</v>
      </c>
      <c r="DF203" s="9">
        <v>30.496440596891699</v>
      </c>
      <c r="DG203" s="9">
        <v>85.826166067961594</v>
      </c>
      <c r="DH203" s="9">
        <v>100</v>
      </c>
      <c r="DI203" s="9">
        <v>100</v>
      </c>
    </row>
    <row r="204" spans="1:113">
      <c r="A204" s="5" t="s">
        <v>435</v>
      </c>
      <c r="B204" s="5" t="s">
        <v>522</v>
      </c>
      <c r="C204" s="5" t="s">
        <v>523</v>
      </c>
      <c r="D204" s="6">
        <v>99434</v>
      </c>
      <c r="E204" s="7">
        <v>15.8725622401919</v>
      </c>
      <c r="F204" s="7">
        <v>0.84705432749361398</v>
      </c>
      <c r="G204" s="7">
        <v>4.1322988112718004</v>
      </c>
      <c r="H204" s="7">
        <v>7.9194641671862698</v>
      </c>
      <c r="I204" s="7">
        <v>9.0623227467465899</v>
      </c>
      <c r="J204" s="7">
        <v>53.263471247259503</v>
      </c>
      <c r="K204" s="7">
        <v>91.278637085906198</v>
      </c>
      <c r="L204" s="7">
        <v>98.270209385119799</v>
      </c>
      <c r="M204" s="7">
        <v>99.262827604240002</v>
      </c>
      <c r="N204" s="7">
        <v>12.2065001051542</v>
      </c>
      <c r="O204" s="7">
        <v>1.747199147173</v>
      </c>
      <c r="P204" s="7">
        <v>5.4084920650884003</v>
      </c>
      <c r="Q204" s="7">
        <v>9.1653760283202903</v>
      </c>
      <c r="R204" s="7">
        <v>9.9955146127079306</v>
      </c>
      <c r="S204" s="7">
        <v>71.689764064605697</v>
      </c>
      <c r="T204" s="7">
        <v>99.744554176639795</v>
      </c>
      <c r="U204" s="7">
        <v>100</v>
      </c>
      <c r="V204" s="7">
        <v>100</v>
      </c>
      <c r="W204" s="7">
        <v>8.3810552598474999</v>
      </c>
      <c r="X204" s="7">
        <v>4.9030210994227303</v>
      </c>
      <c r="Y204" s="7">
        <v>10</v>
      </c>
      <c r="Z204" s="7">
        <v>10</v>
      </c>
      <c r="AA204" s="7">
        <v>10</v>
      </c>
      <c r="AB204" s="7">
        <v>99.744554176639795</v>
      </c>
      <c r="AC204" s="7">
        <v>100</v>
      </c>
      <c r="AD204" s="7">
        <v>100</v>
      </c>
      <c r="AE204" s="7">
        <v>100</v>
      </c>
      <c r="AF204" s="6">
        <v>22.862263023036899</v>
      </c>
      <c r="AG204" s="6">
        <v>0.66615041132811703</v>
      </c>
      <c r="AH204" s="6">
        <v>1.61962708932558</v>
      </c>
      <c r="AI204" s="6">
        <v>2.5877667598608101</v>
      </c>
      <c r="AJ204" s="6">
        <v>3.6079912303638602</v>
      </c>
      <c r="AK204" s="6">
        <v>47.416376692077201</v>
      </c>
      <c r="AL204" s="6">
        <v>72.175513405877297</v>
      </c>
      <c r="AM204" s="6">
        <v>83.909930204960105</v>
      </c>
      <c r="AN204" s="6">
        <v>93.854214856085406</v>
      </c>
      <c r="AO204" s="6">
        <v>17.459807142097102</v>
      </c>
      <c r="AP204" s="7">
        <v>0.71534887463040797</v>
      </c>
      <c r="AQ204" s="7">
        <v>3.6305287929682</v>
      </c>
      <c r="AR204" s="7">
        <v>7.3598970171168796</v>
      </c>
      <c r="AS204" s="7">
        <v>8.8473359213146399</v>
      </c>
      <c r="AT204" s="7">
        <v>52.690226683025898</v>
      </c>
      <c r="AU204" s="7">
        <v>85.338013154454202</v>
      </c>
      <c r="AV204" s="7">
        <v>96.121045115352899</v>
      </c>
      <c r="AW204" s="7">
        <v>98.382846913530599</v>
      </c>
      <c r="AX204" s="7">
        <v>14.153368136345501</v>
      </c>
      <c r="AY204" s="7">
        <v>1.2989922963976099</v>
      </c>
      <c r="AZ204" s="7">
        <v>4.6350342941046296</v>
      </c>
      <c r="BA204" s="7">
        <v>7.7429148983245204</v>
      </c>
      <c r="BB204" s="7">
        <v>9.7478629040368503</v>
      </c>
      <c r="BC204" s="7">
        <v>66.980107407928898</v>
      </c>
      <c r="BD204" s="7">
        <v>91.248466319367594</v>
      </c>
      <c r="BE204" s="7">
        <v>100</v>
      </c>
      <c r="BF204" s="7">
        <v>100</v>
      </c>
      <c r="BG204" s="7">
        <v>9.2256031254524906</v>
      </c>
      <c r="BH204" s="7">
        <v>4.2291670857050896</v>
      </c>
      <c r="BI204" s="7">
        <v>9.9977673632761395</v>
      </c>
      <c r="BJ204" s="7">
        <v>10</v>
      </c>
      <c r="BK204" s="7">
        <v>10</v>
      </c>
      <c r="BL204" s="7">
        <v>92.857573868093397</v>
      </c>
      <c r="BM204" s="7">
        <v>100</v>
      </c>
      <c r="BN204" s="7">
        <v>100</v>
      </c>
      <c r="BO204" s="7">
        <v>100</v>
      </c>
      <c r="BP204" s="6">
        <v>28.876228097019599</v>
      </c>
      <c r="BQ204" s="6">
        <v>0.58071685741295698</v>
      </c>
      <c r="BR204" s="6">
        <v>1.2523181205623799</v>
      </c>
      <c r="BS204" s="6">
        <v>1.9260413942916901</v>
      </c>
      <c r="BT204" s="6">
        <v>3.1245750950379101</v>
      </c>
      <c r="BU204" s="6">
        <v>49.333226059496802</v>
      </c>
      <c r="BV204" s="6">
        <v>67.498038900175004</v>
      </c>
      <c r="BW204" s="6">
        <v>75.376631735623604</v>
      </c>
      <c r="BX204" s="6">
        <v>82.100689904861497</v>
      </c>
      <c r="BY204" s="6" t="str">
        <f>TRIM(Table1[[#This Row],[LA_Name]])</f>
        <v>South Norfolk</v>
      </c>
      <c r="BZ204" s="7">
        <v>51.247320991338597</v>
      </c>
      <c r="CA204" s="7">
        <v>3.8015165838646702E-3</v>
      </c>
      <c r="CB204" s="7">
        <v>0.22368606311724401</v>
      </c>
      <c r="CC204" s="7">
        <v>1.68700846792848</v>
      </c>
      <c r="CD204" s="7">
        <v>3.2037633002795798</v>
      </c>
      <c r="CE204" s="7">
        <v>0.38015165838646697</v>
      </c>
      <c r="CF204" s="7">
        <v>15.2090834121126</v>
      </c>
      <c r="CG204" s="7">
        <v>54.815254339561903</v>
      </c>
      <c r="CH204" s="7">
        <v>74.446366434016497</v>
      </c>
      <c r="CI204" s="7">
        <v>60.554103859605</v>
      </c>
      <c r="CJ204" s="7">
        <v>1.4552366393788801E-2</v>
      </c>
      <c r="CK204" s="7">
        <v>0.66437033610233898</v>
      </c>
      <c r="CL204" s="7">
        <v>1.8972685399360401</v>
      </c>
      <c r="CM204" s="7">
        <v>3.0969487298107299</v>
      </c>
      <c r="CN204" s="7">
        <v>1.3204738821730999</v>
      </c>
      <c r="CO204" s="7">
        <v>23.7011485005129</v>
      </c>
      <c r="CP204" s="7">
        <v>46.539413078021603</v>
      </c>
      <c r="CQ204" s="7">
        <v>56.230263290222702</v>
      </c>
      <c r="CR204" s="7">
        <v>24.6929081010495</v>
      </c>
      <c r="CS204" s="7">
        <v>0.31160367681074902</v>
      </c>
      <c r="CT204" s="7">
        <v>3.9181265965363998</v>
      </c>
      <c r="CU204" s="7">
        <v>6.2393245771064203</v>
      </c>
      <c r="CV204" s="7">
        <v>8.6122151376792608</v>
      </c>
      <c r="CW204" s="7">
        <v>20.901301365729999</v>
      </c>
      <c r="CX204" s="7">
        <v>70.3833698734839</v>
      </c>
      <c r="CY204" s="7">
        <v>97.214232556268499</v>
      </c>
      <c r="CZ204" s="7">
        <v>100</v>
      </c>
      <c r="DA204" s="9">
        <v>100.933427698396</v>
      </c>
      <c r="DB204" s="9">
        <v>1.95104290283002E-3</v>
      </c>
      <c r="DC204" s="9">
        <v>1.4552366393788801E-2</v>
      </c>
      <c r="DD204" s="9">
        <v>0.108715328760786</v>
      </c>
      <c r="DE204" s="9">
        <v>0.249431783896856</v>
      </c>
      <c r="DF204" s="9">
        <v>0.195104290283002</v>
      </c>
      <c r="DG204" s="9">
        <v>1.3204738821730999</v>
      </c>
      <c r="DH204" s="9">
        <v>9.4917231530462391</v>
      </c>
      <c r="DI204" s="9">
        <v>16.0488364141038</v>
      </c>
    </row>
    <row r="205" spans="1:113">
      <c r="A205" s="5" t="s">
        <v>435</v>
      </c>
      <c r="B205" s="5" t="s">
        <v>524</v>
      </c>
      <c r="C205" s="5" t="s">
        <v>525</v>
      </c>
      <c r="D205" s="6">
        <v>539886</v>
      </c>
      <c r="E205" s="7">
        <v>14.2575797938814</v>
      </c>
      <c r="F205" s="7">
        <v>1.95115635523055</v>
      </c>
      <c r="G205" s="7">
        <v>6.0935197430568699</v>
      </c>
      <c r="H205" s="7">
        <v>8.2136728864982604</v>
      </c>
      <c r="I205" s="7">
        <v>9.0617871180212095</v>
      </c>
      <c r="J205" s="7">
        <v>69.945507014443805</v>
      </c>
      <c r="K205" s="7">
        <v>89.839151228222306</v>
      </c>
      <c r="L205" s="7">
        <v>96.087692586953494</v>
      </c>
      <c r="M205" s="7">
        <v>97.806759204721004</v>
      </c>
      <c r="N205" s="7">
        <v>12.251891595750299</v>
      </c>
      <c r="O205" s="7">
        <v>4.03438688908399</v>
      </c>
      <c r="P205" s="7">
        <v>6.8080668881949196</v>
      </c>
      <c r="Q205" s="7">
        <v>8.7516623879856095</v>
      </c>
      <c r="R205" s="7">
        <v>9.6534027553965096</v>
      </c>
      <c r="S205" s="7">
        <v>77.704367218264593</v>
      </c>
      <c r="T205" s="7">
        <v>93.376379457885506</v>
      </c>
      <c r="U205" s="7">
        <v>99.543977802721301</v>
      </c>
      <c r="V205" s="7">
        <v>100</v>
      </c>
      <c r="W205" s="7">
        <v>8.4251408825070193</v>
      </c>
      <c r="X205" s="7">
        <v>6.6243429168379997</v>
      </c>
      <c r="Y205" s="7">
        <v>9.8812378909621703</v>
      </c>
      <c r="Z205" s="7">
        <v>10</v>
      </c>
      <c r="AA205" s="7">
        <v>10</v>
      </c>
      <c r="AB205" s="7">
        <v>92.650300248571</v>
      </c>
      <c r="AC205" s="7">
        <v>100</v>
      </c>
      <c r="AD205" s="7">
        <v>100</v>
      </c>
      <c r="AE205" s="7">
        <v>100</v>
      </c>
      <c r="AF205" s="6">
        <v>22.563362293769998</v>
      </c>
      <c r="AG205" s="6">
        <v>1.56222980406975</v>
      </c>
      <c r="AH205" s="6">
        <v>4.0084110349221902</v>
      </c>
      <c r="AI205" s="6">
        <v>5.1019511526507504</v>
      </c>
      <c r="AJ205" s="6">
        <v>5.7875940476322798</v>
      </c>
      <c r="AK205" s="6">
        <v>65.023727231304406</v>
      </c>
      <c r="AL205" s="6">
        <v>77.311691727512795</v>
      </c>
      <c r="AM205" s="6">
        <v>82.883053088985406</v>
      </c>
      <c r="AN205" s="6">
        <v>87.497360553894694</v>
      </c>
      <c r="AO205" s="6">
        <v>13.9493107372283</v>
      </c>
      <c r="AP205" s="7">
        <v>1.3617726705267399</v>
      </c>
      <c r="AQ205" s="7">
        <v>5.9371274676505799</v>
      </c>
      <c r="AR205" s="7">
        <v>8.3861944929114696</v>
      </c>
      <c r="AS205" s="7">
        <v>9.2164623642769001</v>
      </c>
      <c r="AT205" s="7">
        <v>66.998032918060503</v>
      </c>
      <c r="AU205" s="7">
        <v>92.681232704682103</v>
      </c>
      <c r="AV205" s="7">
        <v>97.225895837269306</v>
      </c>
      <c r="AW205" s="7">
        <v>98.440041045702202</v>
      </c>
      <c r="AX205" s="7">
        <v>11.787801597025799</v>
      </c>
      <c r="AY205" s="7">
        <v>3.3044957639205301</v>
      </c>
      <c r="AZ205" s="7">
        <v>6.4637997651356001</v>
      </c>
      <c r="BA205" s="7">
        <v>8.3862945140270408</v>
      </c>
      <c r="BB205" s="7">
        <v>9.6909958769073494</v>
      </c>
      <c r="BC205" s="7">
        <v>78.0305471895919</v>
      </c>
      <c r="BD205" s="7">
        <v>96.746350155403206</v>
      </c>
      <c r="BE205" s="7">
        <v>100</v>
      </c>
      <c r="BF205" s="7">
        <v>100</v>
      </c>
      <c r="BG205" s="7">
        <v>8.2828587674190395</v>
      </c>
      <c r="BH205" s="7">
        <v>6.3388789485187598</v>
      </c>
      <c r="BI205" s="7">
        <v>9.9516712787514408</v>
      </c>
      <c r="BJ205" s="7">
        <v>10</v>
      </c>
      <c r="BK205" s="7">
        <v>10</v>
      </c>
      <c r="BL205" s="7">
        <v>96.818958076334596</v>
      </c>
      <c r="BM205" s="7">
        <v>100</v>
      </c>
      <c r="BN205" s="7">
        <v>100</v>
      </c>
      <c r="BO205" s="7">
        <v>100</v>
      </c>
      <c r="BP205" s="6">
        <v>20.854734637500499</v>
      </c>
      <c r="BQ205" s="6">
        <v>1.0687885961110299</v>
      </c>
      <c r="BR205" s="6">
        <v>3.2078049810515599</v>
      </c>
      <c r="BS205" s="6">
        <v>4.8055922917060299</v>
      </c>
      <c r="BT205" s="6">
        <v>5.6340412605624204</v>
      </c>
      <c r="BU205" s="6">
        <v>60.215489936764399</v>
      </c>
      <c r="BV205" s="6">
        <v>77.580081720955903</v>
      </c>
      <c r="BW205" s="6">
        <v>84.932559836706304</v>
      </c>
      <c r="BX205" s="6">
        <v>91.155540243681102</v>
      </c>
      <c r="BY205" s="6" t="str">
        <f>TRIM(Table1[[#This Row],[LA_Name]])</f>
        <v>Suffolk</v>
      </c>
      <c r="BZ205" s="7">
        <v>49.979693809454503</v>
      </c>
      <c r="CA205" s="7">
        <v>0.107035559358828</v>
      </c>
      <c r="CB205" s="7">
        <v>0.64230782053989199</v>
      </c>
      <c r="CC205" s="7">
        <v>1.22411768410368</v>
      </c>
      <c r="CD205" s="7">
        <v>2.1588631674094199</v>
      </c>
      <c r="CE205" s="7">
        <v>8.4880882260329003</v>
      </c>
      <c r="CF205" s="7">
        <v>29.433250723300802</v>
      </c>
      <c r="CG205" s="7">
        <v>46.3853480179149</v>
      </c>
      <c r="CH205" s="7">
        <v>67.782643002411604</v>
      </c>
      <c r="CI205" s="7">
        <v>63.265882376937903</v>
      </c>
      <c r="CJ205" s="7">
        <v>0.30263611206810298</v>
      </c>
      <c r="CK205" s="7">
        <v>0.937136728864983</v>
      </c>
      <c r="CL205" s="7">
        <v>1.2535368577810899</v>
      </c>
      <c r="CM205" s="7">
        <v>1.5424682247733801</v>
      </c>
      <c r="CN205" s="7">
        <v>19.312225173462501</v>
      </c>
      <c r="CO205" s="7">
        <v>30.113764757745201</v>
      </c>
      <c r="CP205" s="7">
        <v>36.516227499879598</v>
      </c>
      <c r="CQ205" s="7">
        <v>45.714650870739398</v>
      </c>
      <c r="CR205" s="7">
        <v>27.190515781449299</v>
      </c>
      <c r="CS205" s="7">
        <v>0.77705663788281198</v>
      </c>
      <c r="CT205" s="7">
        <v>2.21837573117288</v>
      </c>
      <c r="CU205" s="7">
        <v>5.8755737322323602</v>
      </c>
      <c r="CV205" s="7">
        <v>8.8528596777838295</v>
      </c>
      <c r="CW205" s="7">
        <v>29.359531456640799</v>
      </c>
      <c r="CX205" s="7">
        <v>59.672782772659403</v>
      </c>
      <c r="CY205" s="7">
        <v>83.903638916363803</v>
      </c>
      <c r="CZ205" s="7">
        <v>99.097031595559102</v>
      </c>
      <c r="DA205" s="9">
        <v>91.273413455105299</v>
      </c>
      <c r="DB205" s="9">
        <v>7.4249008123937296E-2</v>
      </c>
      <c r="DC205" s="9">
        <v>0.28538061738959702</v>
      </c>
      <c r="DD205" s="9">
        <v>0.53642620849586797</v>
      </c>
      <c r="DE205" s="9">
        <v>0.74661132164938504</v>
      </c>
      <c r="DF205" s="9">
        <v>6.6814105199986704</v>
      </c>
      <c r="DG205" s="9">
        <v>19.0079016681299</v>
      </c>
      <c r="DH205" s="9">
        <v>25.960665770181102</v>
      </c>
      <c r="DI205" s="9">
        <v>28.868316644625001</v>
      </c>
    </row>
    <row r="206" spans="1:113">
      <c r="A206" s="5" t="s">
        <v>435</v>
      </c>
      <c r="B206" s="5" t="s">
        <v>526</v>
      </c>
      <c r="C206" s="5" t="s">
        <v>527</v>
      </c>
      <c r="D206" s="6">
        <v>65100</v>
      </c>
      <c r="E206" s="7">
        <v>20.8823509246964</v>
      </c>
      <c r="F206" s="7">
        <v>1.0085407066052201</v>
      </c>
      <c r="G206" s="7">
        <v>4.2268202764977003</v>
      </c>
      <c r="H206" s="7">
        <v>7.4675576036866396</v>
      </c>
      <c r="I206" s="7">
        <v>8.7610752688171996</v>
      </c>
      <c r="J206" s="7">
        <v>54.317972350230399</v>
      </c>
      <c r="K206" s="7">
        <v>75.391705069124399</v>
      </c>
      <c r="L206" s="7">
        <v>91.761904761904802</v>
      </c>
      <c r="M206" s="7">
        <v>94.416282642089101</v>
      </c>
      <c r="N206" s="7">
        <v>16.1824586908938</v>
      </c>
      <c r="O206" s="7">
        <v>1.97599078341014</v>
      </c>
      <c r="P206" s="7">
        <v>5.12216589861751</v>
      </c>
      <c r="Q206" s="7">
        <v>7.8476036866359404</v>
      </c>
      <c r="R206" s="7">
        <v>9.7710138248847898</v>
      </c>
      <c r="S206" s="7">
        <v>64.815668202764996</v>
      </c>
      <c r="T206" s="7">
        <v>82.168970814132095</v>
      </c>
      <c r="U206" s="7">
        <v>99.608294930875601</v>
      </c>
      <c r="V206" s="7">
        <v>100</v>
      </c>
      <c r="W206" s="7">
        <v>10.1014958560302</v>
      </c>
      <c r="X206" s="7">
        <v>4.8683870967741898</v>
      </c>
      <c r="Y206" s="7">
        <v>9.8817818740399392</v>
      </c>
      <c r="Z206" s="7">
        <v>10</v>
      </c>
      <c r="AA206" s="7">
        <v>10</v>
      </c>
      <c r="AB206" s="7">
        <v>82.089093701996902</v>
      </c>
      <c r="AC206" s="7">
        <v>100</v>
      </c>
      <c r="AD206" s="7">
        <v>100</v>
      </c>
      <c r="AE206" s="7">
        <v>100</v>
      </c>
      <c r="AF206" s="6">
        <v>35.677040896558701</v>
      </c>
      <c r="AG206" s="6">
        <v>0.88115207373271898</v>
      </c>
      <c r="AH206" s="6">
        <v>1.9230875576036901</v>
      </c>
      <c r="AI206" s="6">
        <v>2.99663594470046</v>
      </c>
      <c r="AJ206" s="6">
        <v>3.7909677419354799</v>
      </c>
      <c r="AK206" s="6">
        <v>50.6251920122888</v>
      </c>
      <c r="AL206" s="6">
        <v>63.101382488479302</v>
      </c>
      <c r="AM206" s="6">
        <v>71.517665130568304</v>
      </c>
      <c r="AN206" s="6">
        <v>75.749615975422401</v>
      </c>
      <c r="AO206" s="6">
        <v>16.859514837783198</v>
      </c>
      <c r="AP206" s="7">
        <v>0.86417818740399399</v>
      </c>
      <c r="AQ206" s="7">
        <v>3.7541935483871001</v>
      </c>
      <c r="AR206" s="7">
        <v>7.3237788018433196</v>
      </c>
      <c r="AS206" s="7">
        <v>9.1577572964669702</v>
      </c>
      <c r="AT206" s="7">
        <v>53.059907834101402</v>
      </c>
      <c r="AU206" s="7">
        <v>89.308755760368697</v>
      </c>
      <c r="AV206" s="7">
        <v>95.517665130568304</v>
      </c>
      <c r="AW206" s="7">
        <v>97.835637480798795</v>
      </c>
      <c r="AX206" s="7">
        <v>14.4167764955219</v>
      </c>
      <c r="AY206" s="7">
        <v>1.62932411674347</v>
      </c>
      <c r="AZ206" s="7">
        <v>4.5664055299539204</v>
      </c>
      <c r="BA206" s="7">
        <v>7.7909831029185899</v>
      </c>
      <c r="BB206" s="7">
        <v>9.8408448540706601</v>
      </c>
      <c r="BC206" s="7">
        <v>66.344086021505404</v>
      </c>
      <c r="BD206" s="7">
        <v>91.717357910906301</v>
      </c>
      <c r="BE206" s="7">
        <v>100</v>
      </c>
      <c r="BF206" s="7">
        <v>100</v>
      </c>
      <c r="BG206" s="7">
        <v>9.3790164308137793</v>
      </c>
      <c r="BH206" s="7">
        <v>4.2068970814132101</v>
      </c>
      <c r="BI206" s="7">
        <v>9.9705222734254999</v>
      </c>
      <c r="BJ206" s="7">
        <v>10</v>
      </c>
      <c r="BK206" s="7">
        <v>10</v>
      </c>
      <c r="BL206" s="7">
        <v>90.966205837173604</v>
      </c>
      <c r="BM206" s="7">
        <v>100</v>
      </c>
      <c r="BN206" s="7">
        <v>100</v>
      </c>
      <c r="BO206" s="7">
        <v>100</v>
      </c>
      <c r="BP206" s="6">
        <v>29.775296704097101</v>
      </c>
      <c r="BQ206" s="6">
        <v>0.72012288786482304</v>
      </c>
      <c r="BR206" s="6">
        <v>1.6537941628264199</v>
      </c>
      <c r="BS206" s="6">
        <v>2.4825806451612902</v>
      </c>
      <c r="BT206" s="6">
        <v>3.5506144393241201</v>
      </c>
      <c r="BU206" s="6">
        <v>47.803379416282603</v>
      </c>
      <c r="BV206" s="6">
        <v>65.602150537634401</v>
      </c>
      <c r="BW206" s="6">
        <v>71.196620583717404</v>
      </c>
      <c r="BX206" s="6">
        <v>80.528417818740394</v>
      </c>
      <c r="BY206" s="6" t="str">
        <f>TRIM(Table1[[#This Row],[LA_Name]])</f>
        <v>Babergh</v>
      </c>
      <c r="BZ206" s="7">
        <v>54.187762298583998</v>
      </c>
      <c r="CA206" s="7">
        <v>0</v>
      </c>
      <c r="CB206" s="7">
        <v>0.15403993855606801</v>
      </c>
      <c r="CC206" s="7">
        <v>0.60932411674347198</v>
      </c>
      <c r="CD206" s="7">
        <v>1.7893241167434699</v>
      </c>
      <c r="CE206" s="7">
        <v>0</v>
      </c>
      <c r="CF206" s="7">
        <v>8.9508448540706596</v>
      </c>
      <c r="CG206" s="7">
        <v>35.431643625192002</v>
      </c>
      <c r="CH206" s="7">
        <v>71.502304147465395</v>
      </c>
      <c r="CI206" s="7">
        <v>64.7410993549681</v>
      </c>
      <c r="CJ206" s="7">
        <v>4.6697388632872504E-3</v>
      </c>
      <c r="CK206" s="7">
        <v>0.17274961597542199</v>
      </c>
      <c r="CL206" s="7">
        <v>0.55497695852534601</v>
      </c>
      <c r="CM206" s="7">
        <v>1.2306144393241201</v>
      </c>
      <c r="CN206" s="7">
        <v>0.466973886328725</v>
      </c>
      <c r="CO206" s="7">
        <v>8.6497695852534608</v>
      </c>
      <c r="CP206" s="7">
        <v>20.668202764977</v>
      </c>
      <c r="CQ206" s="7">
        <v>40.981566820276498</v>
      </c>
      <c r="CR206" s="7">
        <v>29.219083630551602</v>
      </c>
      <c r="CS206" s="7">
        <v>0.148248847926267</v>
      </c>
      <c r="CT206" s="7">
        <v>1.7306605222734299</v>
      </c>
      <c r="CU206" s="7">
        <v>6.61861751152074</v>
      </c>
      <c r="CV206" s="7">
        <v>9.8082795698924699</v>
      </c>
      <c r="CW206" s="7">
        <v>7.3271889400921699</v>
      </c>
      <c r="CX206" s="7">
        <v>42.391705069124399</v>
      </c>
      <c r="CY206" s="7">
        <v>100</v>
      </c>
      <c r="CZ206" s="7">
        <v>100</v>
      </c>
      <c r="DA206" s="9">
        <v>113.00045790090699</v>
      </c>
      <c r="DB206" s="9">
        <v>0</v>
      </c>
      <c r="DC206" s="9">
        <v>4.6697388632872504E-3</v>
      </c>
      <c r="DD206" s="9">
        <v>2.2918586789554499E-2</v>
      </c>
      <c r="DE206" s="9">
        <v>0.13956989247311799</v>
      </c>
      <c r="DF206" s="9">
        <v>0</v>
      </c>
      <c r="DG206" s="9">
        <v>0.466973886328725</v>
      </c>
      <c r="DH206" s="9">
        <v>1.82488479262673</v>
      </c>
      <c r="DI206" s="9">
        <v>7.2319508448540697</v>
      </c>
    </row>
    <row r="207" spans="1:113">
      <c r="A207" s="5" t="s">
        <v>435</v>
      </c>
      <c r="B207" s="5" t="s">
        <v>528</v>
      </c>
      <c r="C207" s="5" t="s">
        <v>529</v>
      </c>
      <c r="D207" s="6">
        <v>45959</v>
      </c>
      <c r="E207" s="7">
        <v>16.099676238112899</v>
      </c>
      <c r="F207" s="7">
        <v>0.97175743597554298</v>
      </c>
      <c r="G207" s="7">
        <v>4.2633869318305404</v>
      </c>
      <c r="H207" s="7">
        <v>8.1826628081551007</v>
      </c>
      <c r="I207" s="7">
        <v>9.2940011749602895</v>
      </c>
      <c r="J207" s="7">
        <v>58.114841489153399</v>
      </c>
      <c r="K207" s="7">
        <v>91.890598141822096</v>
      </c>
      <c r="L207" s="7">
        <v>96.370678213190004</v>
      </c>
      <c r="M207" s="7">
        <v>97.006027111120801</v>
      </c>
      <c r="N207" s="7">
        <v>12.652501873856</v>
      </c>
      <c r="O207" s="7">
        <v>1.9105071911921501</v>
      </c>
      <c r="P207" s="7">
        <v>4.8916860680171501</v>
      </c>
      <c r="Q207" s="7">
        <v>8.79364215931591</v>
      </c>
      <c r="R207" s="7">
        <v>9.9936465110206907</v>
      </c>
      <c r="S207" s="7">
        <v>67.9671011118606</v>
      </c>
      <c r="T207" s="7">
        <v>99.754128679910394</v>
      </c>
      <c r="U207" s="7">
        <v>100</v>
      </c>
      <c r="V207" s="7">
        <v>100</v>
      </c>
      <c r="W207" s="7">
        <v>8.6049694401359993</v>
      </c>
      <c r="X207" s="7">
        <v>4.8535868926652004</v>
      </c>
      <c r="Y207" s="7">
        <v>10</v>
      </c>
      <c r="Z207" s="7">
        <v>10</v>
      </c>
      <c r="AA207" s="7">
        <v>10</v>
      </c>
      <c r="AB207" s="7">
        <v>98.546530603363905</v>
      </c>
      <c r="AC207" s="7">
        <v>100</v>
      </c>
      <c r="AD207" s="7">
        <v>100</v>
      </c>
      <c r="AE207" s="7">
        <v>100</v>
      </c>
      <c r="AF207" s="6">
        <v>23.6484361334936</v>
      </c>
      <c r="AG207" s="6">
        <v>0.83570138601797295</v>
      </c>
      <c r="AH207" s="6">
        <v>1.89079396853717</v>
      </c>
      <c r="AI207" s="6">
        <v>2.6029069387932702</v>
      </c>
      <c r="AJ207" s="6">
        <v>3.3672838834613499</v>
      </c>
      <c r="AK207" s="6">
        <v>52.026806501446899</v>
      </c>
      <c r="AL207" s="6">
        <v>68.863552296612198</v>
      </c>
      <c r="AM207" s="6">
        <v>80.976522552709994</v>
      </c>
      <c r="AN207" s="6">
        <v>91.794860636654406</v>
      </c>
      <c r="AO207" s="6">
        <v>14.097674651003301</v>
      </c>
      <c r="AP207" s="7">
        <v>1.24175895907222</v>
      </c>
      <c r="AQ207" s="7">
        <v>4.6810417981244203</v>
      </c>
      <c r="AR207" s="7">
        <v>8.4125416131769608</v>
      </c>
      <c r="AS207" s="7">
        <v>9.2522683261167593</v>
      </c>
      <c r="AT207" s="7">
        <v>57.610043734633003</v>
      </c>
      <c r="AU207" s="7">
        <v>92.902369503252899</v>
      </c>
      <c r="AV207" s="7">
        <v>98.677081746774306</v>
      </c>
      <c r="AW207" s="7">
        <v>98.983876933788807</v>
      </c>
      <c r="AX207" s="7">
        <v>12.8219463891887</v>
      </c>
      <c r="AY207" s="7">
        <v>2.5614134337126599</v>
      </c>
      <c r="AZ207" s="7">
        <v>4.6670510672556</v>
      </c>
      <c r="BA207" s="7">
        <v>7.90334863682848</v>
      </c>
      <c r="BB207" s="7">
        <v>9.7681629278269799</v>
      </c>
      <c r="BC207" s="7">
        <v>70.280032202615402</v>
      </c>
      <c r="BD207" s="7">
        <v>96.357623098849004</v>
      </c>
      <c r="BE207" s="7">
        <v>100</v>
      </c>
      <c r="BF207" s="7">
        <v>100</v>
      </c>
      <c r="BG207" s="7">
        <v>8.5892949896461204</v>
      </c>
      <c r="BH207" s="7">
        <v>4.5977719271524604</v>
      </c>
      <c r="BI207" s="7">
        <v>9.9859004765116701</v>
      </c>
      <c r="BJ207" s="7">
        <v>10</v>
      </c>
      <c r="BK207" s="7">
        <v>10</v>
      </c>
      <c r="BL207" s="7">
        <v>99.044800800713702</v>
      </c>
      <c r="BM207" s="7">
        <v>100</v>
      </c>
      <c r="BN207" s="7">
        <v>100</v>
      </c>
      <c r="BO207" s="7">
        <v>100</v>
      </c>
      <c r="BP207" s="6">
        <v>23.637078781363499</v>
      </c>
      <c r="BQ207" s="6">
        <v>1.0166452707848299</v>
      </c>
      <c r="BR207" s="6">
        <v>2.4795578667943201</v>
      </c>
      <c r="BS207" s="6">
        <v>3.2398442089688602</v>
      </c>
      <c r="BT207" s="6">
        <v>3.6536042994843201</v>
      </c>
      <c r="BU207" s="6">
        <v>53.010291781805499</v>
      </c>
      <c r="BV207" s="6">
        <v>69.666441828586301</v>
      </c>
      <c r="BW207" s="6">
        <v>79.642725037533495</v>
      </c>
      <c r="BX207" s="6">
        <v>85.415261428664707</v>
      </c>
      <c r="BY207" s="6" t="str">
        <f>TRIM(Table1[[#This Row],[LA_Name]])</f>
        <v>Forest Heath</v>
      </c>
      <c r="BZ207" s="7">
        <v>53.413271234060304</v>
      </c>
      <c r="CA207" s="7">
        <v>0</v>
      </c>
      <c r="CB207" s="7">
        <v>5.74425031005897E-3</v>
      </c>
      <c r="CC207" s="7">
        <v>0.38908592441088802</v>
      </c>
      <c r="CD207" s="7">
        <v>1.8679040013925501</v>
      </c>
      <c r="CE207" s="7">
        <v>0</v>
      </c>
      <c r="CF207" s="7">
        <v>0.57442503100589704</v>
      </c>
      <c r="CG207" s="7">
        <v>32.966339563524002</v>
      </c>
      <c r="CH207" s="7">
        <v>79.984333862790706</v>
      </c>
      <c r="CI207" s="7">
        <v>82.161331618661393</v>
      </c>
      <c r="CJ207" s="7">
        <v>0</v>
      </c>
      <c r="CK207" s="7">
        <v>0</v>
      </c>
      <c r="CL207" s="7">
        <v>0</v>
      </c>
      <c r="CM207" s="7">
        <v>2.84166322156705E-2</v>
      </c>
      <c r="CN207" s="7">
        <v>0</v>
      </c>
      <c r="CO207" s="7">
        <v>0</v>
      </c>
      <c r="CP207" s="7">
        <v>0</v>
      </c>
      <c r="CQ207" s="7">
        <v>1.38819382493092</v>
      </c>
      <c r="CR207" s="7">
        <v>31.075901281870198</v>
      </c>
      <c r="CS207" s="7">
        <v>0</v>
      </c>
      <c r="CT207" s="7">
        <v>2.1125568441436902</v>
      </c>
      <c r="CU207" s="7">
        <v>7.8387040623164097</v>
      </c>
      <c r="CV207" s="7">
        <v>10</v>
      </c>
      <c r="CW207" s="7">
        <v>0</v>
      </c>
      <c r="CX207" s="7">
        <v>45.806044517939903</v>
      </c>
      <c r="CY207" s="7">
        <v>98.983876933788807</v>
      </c>
      <c r="CZ207" s="7">
        <v>100</v>
      </c>
      <c r="DA207" s="9">
        <v>120</v>
      </c>
      <c r="DB207" s="9">
        <v>0</v>
      </c>
      <c r="DC207" s="9">
        <v>0</v>
      </c>
      <c r="DD207" s="9">
        <v>0</v>
      </c>
      <c r="DE207" s="9">
        <v>0</v>
      </c>
      <c r="DF207" s="9">
        <v>0</v>
      </c>
      <c r="DG207" s="9">
        <v>0</v>
      </c>
      <c r="DH207" s="9">
        <v>0</v>
      </c>
      <c r="DI207" s="9">
        <v>0</v>
      </c>
    </row>
    <row r="208" spans="1:113">
      <c r="A208" s="5" t="s">
        <v>435</v>
      </c>
      <c r="B208" s="5" t="s">
        <v>530</v>
      </c>
      <c r="C208" s="5" t="s">
        <v>531</v>
      </c>
      <c r="D208" s="6">
        <v>98278</v>
      </c>
      <c r="E208" s="7">
        <v>6.4680521565600602</v>
      </c>
      <c r="F208" s="7">
        <v>4.3578420399275499</v>
      </c>
      <c r="G208" s="7">
        <v>9.9538960906815408</v>
      </c>
      <c r="H208" s="7">
        <v>10</v>
      </c>
      <c r="I208" s="7">
        <v>10</v>
      </c>
      <c r="J208" s="7">
        <v>98.745395714198494</v>
      </c>
      <c r="K208" s="7">
        <v>100</v>
      </c>
      <c r="L208" s="7">
        <v>100</v>
      </c>
      <c r="M208" s="7">
        <v>100</v>
      </c>
      <c r="N208" s="7">
        <v>7.2468020236570503</v>
      </c>
      <c r="O208" s="7">
        <v>9.3031095463888196</v>
      </c>
      <c r="P208" s="7">
        <v>10</v>
      </c>
      <c r="Q208" s="7">
        <v>10</v>
      </c>
      <c r="R208" s="7">
        <v>10</v>
      </c>
      <c r="S208" s="7">
        <v>100</v>
      </c>
      <c r="T208" s="7">
        <v>100</v>
      </c>
      <c r="U208" s="7">
        <v>100</v>
      </c>
      <c r="V208" s="7">
        <v>100</v>
      </c>
      <c r="W208" s="7">
        <v>6.4072622649580699</v>
      </c>
      <c r="X208" s="7">
        <v>10</v>
      </c>
      <c r="Y208" s="7">
        <v>10</v>
      </c>
      <c r="Z208" s="7">
        <v>10</v>
      </c>
      <c r="AA208" s="7">
        <v>10</v>
      </c>
      <c r="AB208" s="7">
        <v>100</v>
      </c>
      <c r="AC208" s="7">
        <v>100</v>
      </c>
      <c r="AD208" s="7">
        <v>100</v>
      </c>
      <c r="AE208" s="7">
        <v>100</v>
      </c>
      <c r="AF208" s="6">
        <v>6.6662654071797904</v>
      </c>
      <c r="AG208" s="6">
        <v>3.44168582999247</v>
      </c>
      <c r="AH208" s="6">
        <v>9.2227863814892395</v>
      </c>
      <c r="AI208" s="6">
        <v>9.9750707177598201</v>
      </c>
      <c r="AJ208" s="6">
        <v>10</v>
      </c>
      <c r="AK208" s="6">
        <v>95.960438755367406</v>
      </c>
      <c r="AL208" s="6">
        <v>100</v>
      </c>
      <c r="AM208" s="6">
        <v>100</v>
      </c>
      <c r="AN208" s="6">
        <v>100</v>
      </c>
      <c r="AO208" s="6">
        <v>8.8333711386029901</v>
      </c>
      <c r="AP208" s="7">
        <v>2.3449195140316199</v>
      </c>
      <c r="AQ208" s="7">
        <v>9.6007550011192695</v>
      </c>
      <c r="AR208" s="7">
        <v>10</v>
      </c>
      <c r="AS208" s="7">
        <v>10</v>
      </c>
      <c r="AT208" s="7">
        <v>92.648405543458395</v>
      </c>
      <c r="AU208" s="7">
        <v>100</v>
      </c>
      <c r="AV208" s="7">
        <v>100</v>
      </c>
      <c r="AW208" s="7">
        <v>100</v>
      </c>
      <c r="AX208" s="7">
        <v>8.1268174917129894</v>
      </c>
      <c r="AY208" s="7">
        <v>7.1023321597916098</v>
      </c>
      <c r="AZ208" s="7">
        <v>10</v>
      </c>
      <c r="BA208" s="7">
        <v>10</v>
      </c>
      <c r="BB208" s="7">
        <v>10</v>
      </c>
      <c r="BC208" s="7">
        <v>100</v>
      </c>
      <c r="BD208" s="7">
        <v>100</v>
      </c>
      <c r="BE208" s="7">
        <v>100</v>
      </c>
      <c r="BF208" s="7">
        <v>100</v>
      </c>
      <c r="BG208" s="7">
        <v>6.8535248962217503</v>
      </c>
      <c r="BH208" s="7">
        <v>9.9977411017725206</v>
      </c>
      <c r="BI208" s="7">
        <v>10</v>
      </c>
      <c r="BJ208" s="7">
        <v>10</v>
      </c>
      <c r="BK208" s="7">
        <v>10</v>
      </c>
      <c r="BL208" s="7">
        <v>100</v>
      </c>
      <c r="BM208" s="7">
        <v>100</v>
      </c>
      <c r="BN208" s="7">
        <v>100</v>
      </c>
      <c r="BO208" s="7">
        <v>100</v>
      </c>
      <c r="BP208" s="6">
        <v>9.1891617624667497</v>
      </c>
      <c r="BQ208" s="6">
        <v>1.7314963674474499</v>
      </c>
      <c r="BR208" s="6">
        <v>6.6223366368871996</v>
      </c>
      <c r="BS208" s="6">
        <v>9.5716742302448203</v>
      </c>
      <c r="BT208" s="6">
        <v>10</v>
      </c>
      <c r="BU208" s="6">
        <v>85.881886078267797</v>
      </c>
      <c r="BV208" s="6">
        <v>100</v>
      </c>
      <c r="BW208" s="6">
        <v>100</v>
      </c>
      <c r="BX208" s="6">
        <v>100</v>
      </c>
      <c r="BY208" s="6" t="str">
        <f>TRIM(Table1[[#This Row],[LA_Name]])</f>
        <v>Ipswich</v>
      </c>
      <c r="BZ208" s="7">
        <v>17.271021882395999</v>
      </c>
      <c r="CA208" s="7">
        <v>0.37619813183011502</v>
      </c>
      <c r="CB208" s="7">
        <v>2.35726205254482</v>
      </c>
      <c r="CC208" s="7">
        <v>3.4546287063228802</v>
      </c>
      <c r="CD208" s="7">
        <v>4.4583528358330504</v>
      </c>
      <c r="CE208" s="7">
        <v>30.085064816133801</v>
      </c>
      <c r="CF208" s="7">
        <v>99.590956266916294</v>
      </c>
      <c r="CG208" s="7">
        <v>100</v>
      </c>
      <c r="CH208" s="7">
        <v>100</v>
      </c>
      <c r="CI208" s="7">
        <v>12.264509186620201</v>
      </c>
      <c r="CJ208" s="7">
        <v>1.2640570626182901</v>
      </c>
      <c r="CK208" s="7">
        <v>3.4979039052483798</v>
      </c>
      <c r="CL208" s="7">
        <v>4</v>
      </c>
      <c r="CM208" s="7">
        <v>4</v>
      </c>
      <c r="CN208" s="7">
        <v>78.476362970349399</v>
      </c>
      <c r="CO208" s="7">
        <v>100</v>
      </c>
      <c r="CP208" s="7">
        <v>100</v>
      </c>
      <c r="CQ208" s="7">
        <v>100</v>
      </c>
      <c r="CR208" s="7">
        <v>9.3344032558034105</v>
      </c>
      <c r="CS208" s="7">
        <v>2.9597163149433201</v>
      </c>
      <c r="CT208" s="7">
        <v>4.00649178859969</v>
      </c>
      <c r="CU208" s="7">
        <v>9.0150796719509998</v>
      </c>
      <c r="CV208" s="7">
        <v>10</v>
      </c>
      <c r="CW208" s="7">
        <v>100</v>
      </c>
      <c r="CX208" s="7">
        <v>100</v>
      </c>
      <c r="CY208" s="7">
        <v>100</v>
      </c>
      <c r="CZ208" s="7">
        <v>100</v>
      </c>
      <c r="DA208" s="9">
        <v>22.692917765309499</v>
      </c>
      <c r="DB208" s="9">
        <v>0.28282016321048498</v>
      </c>
      <c r="DC208" s="9">
        <v>1.1555688963959401</v>
      </c>
      <c r="DD208" s="9">
        <v>2.1609312358818902</v>
      </c>
      <c r="DE208" s="9">
        <v>2.9024400170943601</v>
      </c>
      <c r="DF208" s="9">
        <v>24.919107022934899</v>
      </c>
      <c r="DG208" s="9">
        <v>75.447200797736997</v>
      </c>
      <c r="DH208" s="9">
        <v>98.110462158367099</v>
      </c>
      <c r="DI208" s="9">
        <v>100</v>
      </c>
    </row>
    <row r="209" spans="1:113">
      <c r="A209" s="5" t="s">
        <v>435</v>
      </c>
      <c r="B209" s="5" t="s">
        <v>532</v>
      </c>
      <c r="C209" s="5" t="s">
        <v>533</v>
      </c>
      <c r="D209" s="6">
        <v>75048</v>
      </c>
      <c r="E209" s="7">
        <v>19.0953326254484</v>
      </c>
      <c r="F209" s="7">
        <v>0.65712610595885301</v>
      </c>
      <c r="G209" s="7">
        <v>3.59956294638098</v>
      </c>
      <c r="H209" s="7">
        <v>6.4888871122481602</v>
      </c>
      <c r="I209" s="7">
        <v>7.9425834132821702</v>
      </c>
      <c r="J209" s="7">
        <v>50.138577976761503</v>
      </c>
      <c r="K209" s="7">
        <v>78.913495362967694</v>
      </c>
      <c r="L209" s="7">
        <v>91.923835412003001</v>
      </c>
      <c r="M209" s="7">
        <v>97.361688519347595</v>
      </c>
      <c r="N209" s="7">
        <v>15.240975287445799</v>
      </c>
      <c r="O209" s="7">
        <v>1.2316650676900101</v>
      </c>
      <c r="P209" s="7">
        <v>4.9775343779980803</v>
      </c>
      <c r="Q209" s="7">
        <v>8.3683509220765409</v>
      </c>
      <c r="R209" s="7">
        <v>9.5200938066304204</v>
      </c>
      <c r="S209" s="7">
        <v>63.340795224389701</v>
      </c>
      <c r="T209" s="7">
        <v>89.336158192090394</v>
      </c>
      <c r="U209" s="7">
        <v>99.421703443129701</v>
      </c>
      <c r="V209" s="7">
        <v>100</v>
      </c>
      <c r="W209" s="7">
        <v>9.6466007186156499</v>
      </c>
      <c r="X209" s="7">
        <v>4.7064145613474002</v>
      </c>
      <c r="Y209" s="7">
        <v>9.7659631169384902</v>
      </c>
      <c r="Z209" s="7">
        <v>10</v>
      </c>
      <c r="AA209" s="7">
        <v>10</v>
      </c>
      <c r="AB209" s="7">
        <v>86.857744376932104</v>
      </c>
      <c r="AC209" s="7">
        <v>100</v>
      </c>
      <c r="AD209" s="7">
        <v>100</v>
      </c>
      <c r="AE209" s="7">
        <v>100</v>
      </c>
      <c r="AF209" s="6">
        <v>32.4860289321986</v>
      </c>
      <c r="AG209" s="6">
        <v>0.57179405180684395</v>
      </c>
      <c r="AH209" s="6">
        <v>1.15876505703017</v>
      </c>
      <c r="AI209" s="6">
        <v>2.0276223217140998</v>
      </c>
      <c r="AJ209" s="6">
        <v>2.9716448139857201</v>
      </c>
      <c r="AK209" s="6">
        <v>45.766709306044099</v>
      </c>
      <c r="AL209" s="6">
        <v>61.3753864193583</v>
      </c>
      <c r="AM209" s="6">
        <v>72.008581174714806</v>
      </c>
      <c r="AN209" s="6">
        <v>78.289894467540805</v>
      </c>
      <c r="AO209" s="6">
        <v>18.799436210149999</v>
      </c>
      <c r="AP209" s="7">
        <v>0.67412855772305702</v>
      </c>
      <c r="AQ209" s="7">
        <v>3.6653075365099701</v>
      </c>
      <c r="AR209" s="7">
        <v>6.9242085065558001</v>
      </c>
      <c r="AS209" s="7">
        <v>8.1483583839675902</v>
      </c>
      <c r="AT209" s="7">
        <v>52.020040507408602</v>
      </c>
      <c r="AU209" s="7">
        <v>81.076111288775195</v>
      </c>
      <c r="AV209" s="7">
        <v>94.375599616245594</v>
      </c>
      <c r="AW209" s="7">
        <v>96.925967380876202</v>
      </c>
      <c r="AX209" s="7">
        <v>14.145244510350899</v>
      </c>
      <c r="AY209" s="7">
        <v>1.43612088263511</v>
      </c>
      <c r="AZ209" s="7">
        <v>4.49457680417866</v>
      </c>
      <c r="BA209" s="7">
        <v>8.0466767935188095</v>
      </c>
      <c r="BB209" s="7">
        <v>9.6630689691930503</v>
      </c>
      <c r="BC209" s="7">
        <v>63.551327150623599</v>
      </c>
      <c r="BD209" s="7">
        <v>93.80529794265</v>
      </c>
      <c r="BE209" s="7">
        <v>100</v>
      </c>
      <c r="BF209" s="7">
        <v>100</v>
      </c>
      <c r="BG209" s="7">
        <v>9.2462109623655806</v>
      </c>
      <c r="BH209" s="7">
        <v>4.41144334292719</v>
      </c>
      <c r="BI209" s="7">
        <v>9.96578189958427</v>
      </c>
      <c r="BJ209" s="7">
        <v>10</v>
      </c>
      <c r="BK209" s="7">
        <v>10</v>
      </c>
      <c r="BL209" s="7">
        <v>94.121095832000904</v>
      </c>
      <c r="BM209" s="7">
        <v>100</v>
      </c>
      <c r="BN209" s="7">
        <v>100</v>
      </c>
      <c r="BO209" s="7">
        <v>100</v>
      </c>
      <c r="BP209" s="6">
        <v>28.8093794569279</v>
      </c>
      <c r="BQ209" s="6">
        <v>0.59560547916000395</v>
      </c>
      <c r="BR209" s="6">
        <v>1.41067050421064</v>
      </c>
      <c r="BS209" s="6">
        <v>2.1223350389084299</v>
      </c>
      <c r="BT209" s="6">
        <v>2.97480279287922</v>
      </c>
      <c r="BU209" s="6">
        <v>48.499626905447201</v>
      </c>
      <c r="BV209" s="6">
        <v>62.317450165227598</v>
      </c>
      <c r="BW209" s="6">
        <v>74.400383754397197</v>
      </c>
      <c r="BX209" s="6">
        <v>85.769107771026498</v>
      </c>
      <c r="BY209" s="6" t="str">
        <f>TRIM(Table1[[#This Row],[LA_Name]])</f>
        <v>Mid Suffolk</v>
      </c>
      <c r="BZ209" s="7">
        <v>62.044757110250899</v>
      </c>
      <c r="CA209" s="7">
        <v>0</v>
      </c>
      <c r="CB209" s="7">
        <v>0.10377358490565999</v>
      </c>
      <c r="CC209" s="7">
        <v>0.60461304764950397</v>
      </c>
      <c r="CD209" s="7">
        <v>1.8302153288562</v>
      </c>
      <c r="CE209" s="7">
        <v>0</v>
      </c>
      <c r="CF209" s="7">
        <v>7.4299115232917599</v>
      </c>
      <c r="CG209" s="7">
        <v>33.655793625413096</v>
      </c>
      <c r="CH209" s="7">
        <v>62.873094552819502</v>
      </c>
      <c r="CI209" s="7">
        <v>75.2804765690111</v>
      </c>
      <c r="CJ209" s="7">
        <v>0</v>
      </c>
      <c r="CK209" s="7">
        <v>6.6823899371069195E-2</v>
      </c>
      <c r="CL209" s="7">
        <v>0.38186227481078799</v>
      </c>
      <c r="CM209" s="7">
        <v>0.79358543865259601</v>
      </c>
      <c r="CN209" s="7">
        <v>0</v>
      </c>
      <c r="CO209" s="7">
        <v>3.8548662189531999</v>
      </c>
      <c r="CP209" s="7">
        <v>14.801193902569</v>
      </c>
      <c r="CQ209" s="7">
        <v>27.413122268414899</v>
      </c>
      <c r="CR209" s="7">
        <v>28.344042591557599</v>
      </c>
      <c r="CS209" s="7">
        <v>4.0653981451870803E-2</v>
      </c>
      <c r="CT209" s="7">
        <v>2.64024357744377</v>
      </c>
      <c r="CU209" s="7">
        <v>6.6935028248587596</v>
      </c>
      <c r="CV209" s="7">
        <v>9.6946087837117592</v>
      </c>
      <c r="CW209" s="7">
        <v>2.8275237181537101</v>
      </c>
      <c r="CX209" s="7">
        <v>67.085065558042899</v>
      </c>
      <c r="CY209" s="7">
        <v>91.785257435241405</v>
      </c>
      <c r="CZ209" s="7">
        <v>100</v>
      </c>
      <c r="DA209" s="9">
        <v>115.633961833193</v>
      </c>
      <c r="DB209" s="9">
        <v>0</v>
      </c>
      <c r="DC209" s="9">
        <v>0</v>
      </c>
      <c r="DD209" s="9">
        <v>0</v>
      </c>
      <c r="DE209" s="9">
        <v>2.6183242724656199E-2</v>
      </c>
      <c r="DF209" s="9">
        <v>0</v>
      </c>
      <c r="DG209" s="9">
        <v>0</v>
      </c>
      <c r="DH209" s="9">
        <v>0</v>
      </c>
      <c r="DI209" s="9">
        <v>2.1666133674448398</v>
      </c>
    </row>
    <row r="210" spans="1:113">
      <c r="A210" s="5" t="s">
        <v>435</v>
      </c>
      <c r="B210" s="5" t="s">
        <v>534</v>
      </c>
      <c r="C210" s="5" t="s">
        <v>535</v>
      </c>
      <c r="D210" s="6">
        <v>80299</v>
      </c>
      <c r="E210" s="7">
        <v>13.4575398206432</v>
      </c>
      <c r="F210" s="7">
        <v>1.2205257848790101</v>
      </c>
      <c r="G210" s="7">
        <v>5.3606645163700701</v>
      </c>
      <c r="H210" s="7">
        <v>8.5083500417190692</v>
      </c>
      <c r="I210" s="7">
        <v>9.4298559135232107</v>
      </c>
      <c r="J210" s="7">
        <v>69.592398410939097</v>
      </c>
      <c r="K210" s="7">
        <v>95.319991531650501</v>
      </c>
      <c r="L210" s="7">
        <v>98.267724380129295</v>
      </c>
      <c r="M210" s="7">
        <v>99.260264760457801</v>
      </c>
      <c r="N210" s="7">
        <v>12.950029880748501</v>
      </c>
      <c r="O210" s="7">
        <v>2.29946823746248</v>
      </c>
      <c r="P210" s="7">
        <v>7.0526532086327398</v>
      </c>
      <c r="Q210" s="7">
        <v>9.1846722873261193</v>
      </c>
      <c r="R210" s="7">
        <v>9.9260015691353605</v>
      </c>
      <c r="S210" s="7">
        <v>78.155394214124698</v>
      </c>
      <c r="T210" s="7">
        <v>92.921456057983306</v>
      </c>
      <c r="U210" s="7">
        <v>99.378572584963706</v>
      </c>
      <c r="V210" s="7">
        <v>100</v>
      </c>
      <c r="W210" s="7">
        <v>8.7355470200576892</v>
      </c>
      <c r="X210" s="7">
        <v>6.3688713433542103</v>
      </c>
      <c r="Y210" s="7">
        <v>10</v>
      </c>
      <c r="Z210" s="7">
        <v>10</v>
      </c>
      <c r="AA210" s="7">
        <v>10</v>
      </c>
      <c r="AB210" s="7">
        <v>92.6811043724081</v>
      </c>
      <c r="AC210" s="7">
        <v>100</v>
      </c>
      <c r="AD210" s="7">
        <v>100</v>
      </c>
      <c r="AE210" s="7">
        <v>100</v>
      </c>
      <c r="AF210" s="6">
        <v>24.220426643603901</v>
      </c>
      <c r="AG210" s="6">
        <v>0.98463243626944297</v>
      </c>
      <c r="AH210" s="6">
        <v>2.4014495821865798</v>
      </c>
      <c r="AI210" s="6">
        <v>4.05181882713359</v>
      </c>
      <c r="AJ210" s="6">
        <v>5.5391972502770903</v>
      </c>
      <c r="AK210" s="6">
        <v>59.395509284050902</v>
      </c>
      <c r="AL210" s="6">
        <v>77.984781877732004</v>
      </c>
      <c r="AM210" s="6">
        <v>82.345981892676093</v>
      </c>
      <c r="AN210" s="6">
        <v>85.885253863684497</v>
      </c>
      <c r="AO210" s="6">
        <v>13.1052028508961</v>
      </c>
      <c r="AP210" s="7">
        <v>1.59685674790471</v>
      </c>
      <c r="AQ210" s="7">
        <v>6.1819698875453</v>
      </c>
      <c r="AR210" s="7">
        <v>8.3915615387489293</v>
      </c>
      <c r="AS210" s="7">
        <v>9.4115617878180302</v>
      </c>
      <c r="AT210" s="7">
        <v>67.562485211521903</v>
      </c>
      <c r="AU210" s="7">
        <v>93.920223165917406</v>
      </c>
      <c r="AV210" s="7">
        <v>99.089652424065093</v>
      </c>
      <c r="AW210" s="7">
        <v>99.290153052964499</v>
      </c>
      <c r="AX210" s="7">
        <v>12.281173553399601</v>
      </c>
      <c r="AY210" s="7">
        <v>3.5164447876063201</v>
      </c>
      <c r="AZ210" s="7">
        <v>6.4531189678576304</v>
      </c>
      <c r="BA210" s="7">
        <v>8.2320078705836899</v>
      </c>
      <c r="BB210" s="7">
        <v>9.7789636234573294</v>
      </c>
      <c r="BC210" s="7">
        <v>73.919974096813206</v>
      </c>
      <c r="BD210" s="7">
        <v>96.247773944881004</v>
      </c>
      <c r="BE210" s="7">
        <v>100</v>
      </c>
      <c r="BF210" s="7">
        <v>100</v>
      </c>
      <c r="BG210" s="7">
        <v>8.4756102862248994</v>
      </c>
      <c r="BH210" s="7">
        <v>6.4321099889164204</v>
      </c>
      <c r="BI210" s="7">
        <v>10</v>
      </c>
      <c r="BJ210" s="7">
        <v>10</v>
      </c>
      <c r="BK210" s="7">
        <v>10</v>
      </c>
      <c r="BL210" s="7">
        <v>95.849263378124306</v>
      </c>
      <c r="BM210" s="7">
        <v>100</v>
      </c>
      <c r="BN210" s="7">
        <v>100</v>
      </c>
      <c r="BO210" s="7">
        <v>100</v>
      </c>
      <c r="BP210" s="6">
        <v>22.3368502601774</v>
      </c>
      <c r="BQ210" s="6">
        <v>1.30157287139317</v>
      </c>
      <c r="BR210" s="6">
        <v>3.6202069764256102</v>
      </c>
      <c r="BS210" s="6">
        <v>5.2117460989551496</v>
      </c>
      <c r="BT210" s="6">
        <v>5.8131109976462998</v>
      </c>
      <c r="BU210" s="6">
        <v>62.912365035679201</v>
      </c>
      <c r="BV210" s="6">
        <v>73.281111844481202</v>
      </c>
      <c r="BW210" s="6">
        <v>80.870247450155006</v>
      </c>
      <c r="BX210" s="6">
        <v>89.676085629957996</v>
      </c>
      <c r="BY210" s="6" t="str">
        <f>TRIM(Table1[[#This Row],[LA_Name]])</f>
        <v>St Edmundsbury</v>
      </c>
      <c r="BZ210" s="7">
        <v>38.177178802142102</v>
      </c>
      <c r="CA210" s="7">
        <v>0.234187225245644</v>
      </c>
      <c r="CB210" s="7">
        <v>1.01063525075032</v>
      </c>
      <c r="CC210" s="7">
        <v>1.52062914855727</v>
      </c>
      <c r="CD210" s="7">
        <v>2.1845103924083702</v>
      </c>
      <c r="CE210" s="7">
        <v>17.744928330365301</v>
      </c>
      <c r="CF210" s="7">
        <v>46.305682511612801</v>
      </c>
      <c r="CG210" s="7">
        <v>59.716808428498503</v>
      </c>
      <c r="CH210" s="7">
        <v>85.765700693657493</v>
      </c>
      <c r="CI210" s="7">
        <v>45.288865941023801</v>
      </c>
      <c r="CJ210" s="7">
        <v>0.40597018642822502</v>
      </c>
      <c r="CK210" s="7">
        <v>1.26367700718564</v>
      </c>
      <c r="CL210" s="7">
        <v>1.4869425522111099</v>
      </c>
      <c r="CM210" s="7">
        <v>1.7068083039639299</v>
      </c>
      <c r="CN210" s="7">
        <v>26.1871256180027</v>
      </c>
      <c r="CO210" s="7">
        <v>44.989352295794497</v>
      </c>
      <c r="CP210" s="7">
        <v>52.7565723109877</v>
      </c>
      <c r="CQ210" s="7">
        <v>59.106589123152197</v>
      </c>
      <c r="CR210" s="7">
        <v>19.362166299723601</v>
      </c>
      <c r="CS210" s="7">
        <v>1.13379992278858</v>
      </c>
      <c r="CT210" s="7">
        <v>2.0818814680133002</v>
      </c>
      <c r="CU210" s="7">
        <v>6.77755638301847</v>
      </c>
      <c r="CV210" s="7">
        <v>9.95522982851592</v>
      </c>
      <c r="CW210" s="7">
        <v>44.868553780246302</v>
      </c>
      <c r="CX210" s="7">
        <v>81.161658302095901</v>
      </c>
      <c r="CY210" s="7">
        <v>100</v>
      </c>
      <c r="CZ210" s="7">
        <v>100</v>
      </c>
      <c r="DA210" s="9">
        <v>77.239578076110504</v>
      </c>
      <c r="DB210" s="9">
        <v>0.139329256902328</v>
      </c>
      <c r="DC210" s="9">
        <v>0.40755177524003999</v>
      </c>
      <c r="DD210" s="9">
        <v>0.77707069826523401</v>
      </c>
      <c r="DE210" s="9">
        <v>1.01868018281672</v>
      </c>
      <c r="DF210" s="9">
        <v>13.049975715762301</v>
      </c>
      <c r="DG210" s="9">
        <v>26.3303403529309</v>
      </c>
      <c r="DH210" s="9">
        <v>39.359145194834298</v>
      </c>
      <c r="DI210" s="9">
        <v>42.301896661228703</v>
      </c>
    </row>
    <row r="211" spans="1:113">
      <c r="A211" s="5" t="s">
        <v>435</v>
      </c>
      <c r="B211" s="5" t="s">
        <v>536</v>
      </c>
      <c r="C211" s="5" t="s">
        <v>537</v>
      </c>
      <c r="D211" s="6">
        <v>92185</v>
      </c>
      <c r="E211" s="7">
        <v>16.916664412071199</v>
      </c>
      <c r="F211" s="7">
        <v>1.4503769593751701</v>
      </c>
      <c r="G211" s="7">
        <v>5.0807832076802102</v>
      </c>
      <c r="H211" s="7">
        <v>7.0596409394153099</v>
      </c>
      <c r="I211" s="7">
        <v>8.1758637522373494</v>
      </c>
      <c r="J211" s="7">
        <v>59.109399576937697</v>
      </c>
      <c r="K211" s="7">
        <v>86.823235884363001</v>
      </c>
      <c r="L211" s="7">
        <v>94.927591256712006</v>
      </c>
      <c r="M211" s="7">
        <v>96.776048164017993</v>
      </c>
      <c r="N211" s="7">
        <v>13.409147667795599</v>
      </c>
      <c r="O211" s="7">
        <v>2.98217714378695</v>
      </c>
      <c r="P211" s="7">
        <v>5.9270163258664601</v>
      </c>
      <c r="Q211" s="7">
        <v>7.8148831154743199</v>
      </c>
      <c r="R211" s="7">
        <v>9.0632206975104399</v>
      </c>
      <c r="S211" s="7">
        <v>70.634051092910994</v>
      </c>
      <c r="T211" s="7">
        <v>94.777892281824606</v>
      </c>
      <c r="U211" s="7">
        <v>98.901122742311699</v>
      </c>
      <c r="V211" s="7">
        <v>100</v>
      </c>
      <c r="W211" s="7">
        <v>8.8704051334997498</v>
      </c>
      <c r="X211" s="7">
        <v>5.80807072734176</v>
      </c>
      <c r="Y211" s="7">
        <v>9.6223246732114802</v>
      </c>
      <c r="Z211" s="7">
        <v>10</v>
      </c>
      <c r="AA211" s="7">
        <v>10</v>
      </c>
      <c r="AB211" s="7">
        <v>93.754949286760294</v>
      </c>
      <c r="AC211" s="7">
        <v>100</v>
      </c>
      <c r="AD211" s="7">
        <v>100</v>
      </c>
      <c r="AE211" s="7">
        <v>100</v>
      </c>
      <c r="AF211" s="6">
        <v>26.290561312481302</v>
      </c>
      <c r="AG211" s="6">
        <v>1.21224711178608</v>
      </c>
      <c r="AH211" s="6">
        <v>3.1092477084124299</v>
      </c>
      <c r="AI211" s="6">
        <v>4.3757335792157104</v>
      </c>
      <c r="AJ211" s="6">
        <v>5.0837446439225502</v>
      </c>
      <c r="AK211" s="6">
        <v>52.893637793567301</v>
      </c>
      <c r="AL211" s="6">
        <v>70.971416173997895</v>
      </c>
      <c r="AM211" s="6">
        <v>77.272875196615502</v>
      </c>
      <c r="AN211" s="6">
        <v>85.318652709226001</v>
      </c>
      <c r="AO211" s="6">
        <v>16.2829998378776</v>
      </c>
      <c r="AP211" s="7">
        <v>0.90261973206053003</v>
      </c>
      <c r="AQ211" s="7">
        <v>4.5933286326408904</v>
      </c>
      <c r="AR211" s="7">
        <v>7.6919889352931596</v>
      </c>
      <c r="AS211" s="7">
        <v>8.6549872538916297</v>
      </c>
      <c r="AT211" s="7">
        <v>59.362152193957797</v>
      </c>
      <c r="AU211" s="7">
        <v>91.537668818137405</v>
      </c>
      <c r="AV211" s="7">
        <v>93.780983891088596</v>
      </c>
      <c r="AW211" s="7">
        <v>96.106741877745804</v>
      </c>
      <c r="AX211" s="7">
        <v>12.3185012798348</v>
      </c>
      <c r="AY211" s="7">
        <v>1.8877366165862099</v>
      </c>
      <c r="AZ211" s="7">
        <v>5.4567988284428104</v>
      </c>
      <c r="BA211" s="7">
        <v>7.2134620599880703</v>
      </c>
      <c r="BB211" s="7">
        <v>9.0155231328307206</v>
      </c>
      <c r="BC211" s="7">
        <v>74.680262515593597</v>
      </c>
      <c r="BD211" s="7">
        <v>97.4844063567826</v>
      </c>
      <c r="BE211" s="7">
        <v>100</v>
      </c>
      <c r="BF211" s="7">
        <v>100</v>
      </c>
      <c r="BG211" s="7">
        <v>8.5460914541313695</v>
      </c>
      <c r="BH211" s="7">
        <v>5.1029451646146304</v>
      </c>
      <c r="BI211" s="7">
        <v>9.7726636654553296</v>
      </c>
      <c r="BJ211" s="7">
        <v>10</v>
      </c>
      <c r="BK211" s="7">
        <v>10</v>
      </c>
      <c r="BL211" s="7">
        <v>97.164397678581096</v>
      </c>
      <c r="BM211" s="7">
        <v>100</v>
      </c>
      <c r="BN211" s="7">
        <v>100</v>
      </c>
      <c r="BO211" s="7">
        <v>100</v>
      </c>
      <c r="BP211" s="6">
        <v>21.969545515743398</v>
      </c>
      <c r="BQ211" s="6">
        <v>0.71535499267776803</v>
      </c>
      <c r="BR211" s="6">
        <v>1.9608179204859799</v>
      </c>
      <c r="BS211" s="6">
        <v>3.0809242284536502</v>
      </c>
      <c r="BT211" s="6">
        <v>4.2302760752833999</v>
      </c>
      <c r="BU211" s="6">
        <v>51.291424852199398</v>
      </c>
      <c r="BV211" s="6">
        <v>76.157726311222007</v>
      </c>
      <c r="BW211" s="6">
        <v>84.354287573900294</v>
      </c>
      <c r="BX211" s="6">
        <v>92.477084124315198</v>
      </c>
      <c r="BY211" s="6" t="str">
        <f>TRIM(Table1[[#This Row],[LA_Name]])</f>
        <v>Suffolk Coastal</v>
      </c>
      <c r="BZ211" s="7">
        <v>56.854162770007697</v>
      </c>
      <c r="CA211" s="7">
        <v>2.18039811249119E-2</v>
      </c>
      <c r="CB211" s="7">
        <v>0.172186364375983</v>
      </c>
      <c r="CC211" s="7">
        <v>1.04508325649509</v>
      </c>
      <c r="CD211" s="7">
        <v>2.11374952541086</v>
      </c>
      <c r="CE211" s="7">
        <v>2.18039811249119</v>
      </c>
      <c r="CF211" s="7">
        <v>13.2125616965884</v>
      </c>
      <c r="CG211" s="7">
        <v>44.175299669143598</v>
      </c>
      <c r="CH211" s="7">
        <v>63.552638715626202</v>
      </c>
      <c r="CI211" s="7">
        <v>63.0644601791588</v>
      </c>
      <c r="CJ211" s="7">
        <v>6.7874383034116206E-2</v>
      </c>
      <c r="CK211" s="7">
        <v>0.48215002440744198</v>
      </c>
      <c r="CL211" s="7">
        <v>1.07900417638444</v>
      </c>
      <c r="CM211" s="7">
        <v>1.75314855996095</v>
      </c>
      <c r="CN211" s="7">
        <v>6.2992894722568797</v>
      </c>
      <c r="CO211" s="7">
        <v>21.318001844117799</v>
      </c>
      <c r="CP211" s="7">
        <v>34.649888810543999</v>
      </c>
      <c r="CQ211" s="7">
        <v>57.685089765146202</v>
      </c>
      <c r="CR211" s="7">
        <v>26.334319715809698</v>
      </c>
      <c r="CS211" s="7">
        <v>0.270130715409231</v>
      </c>
      <c r="CT211" s="7">
        <v>2.4824537614579398</v>
      </c>
      <c r="CU211" s="7">
        <v>4.1788902749905104</v>
      </c>
      <c r="CV211" s="7">
        <v>7.9053316700113898</v>
      </c>
      <c r="CW211" s="7">
        <v>18.7763735965721</v>
      </c>
      <c r="CX211" s="7">
        <v>64.782773770136103</v>
      </c>
      <c r="CY211" s="7">
        <v>86.9599175570863</v>
      </c>
      <c r="CZ211" s="7">
        <v>99.370830395400603</v>
      </c>
      <c r="DA211" s="9">
        <v>101.24440275038</v>
      </c>
      <c r="DB211" s="9">
        <v>1.1965070239192899E-2</v>
      </c>
      <c r="DC211" s="9">
        <v>8.1097792482507994E-2</v>
      </c>
      <c r="DD211" s="9">
        <v>0.14478494332049699</v>
      </c>
      <c r="DE211" s="9">
        <v>0.27107446981613098</v>
      </c>
      <c r="DF211" s="9">
        <v>1.1965070239192901</v>
      </c>
      <c r="DG211" s="9">
        <v>7.6216304170960596</v>
      </c>
      <c r="DH211" s="9">
        <v>11.8717795736834</v>
      </c>
      <c r="DI211" s="9">
        <v>18.7405760156208</v>
      </c>
    </row>
    <row r="212" spans="1:113">
      <c r="A212" s="5" t="s">
        <v>435</v>
      </c>
      <c r="B212" s="5" t="s">
        <v>538</v>
      </c>
      <c r="C212" s="5" t="s">
        <v>539</v>
      </c>
      <c r="D212" s="6">
        <v>83017</v>
      </c>
      <c r="E212" s="7">
        <v>10.7120012476072</v>
      </c>
      <c r="F212" s="7">
        <v>2.8160376790295998</v>
      </c>
      <c r="G212" s="7">
        <v>8.0884879000686603</v>
      </c>
      <c r="H212" s="7">
        <v>9.2568871435970905</v>
      </c>
      <c r="I212" s="7">
        <v>9.6978691111459092</v>
      </c>
      <c r="J212" s="7">
        <v>84.935615596805505</v>
      </c>
      <c r="K212" s="7">
        <v>95.928544755893398</v>
      </c>
      <c r="L212" s="7">
        <v>97.635424069768803</v>
      </c>
      <c r="M212" s="7">
        <v>98.4533288362625</v>
      </c>
      <c r="N212" s="7">
        <v>10.210531600302801</v>
      </c>
      <c r="O212" s="7">
        <v>5.9672717636146801</v>
      </c>
      <c r="P212" s="7">
        <v>7.8089186552151997</v>
      </c>
      <c r="Q212" s="7">
        <v>8.9274606405916899</v>
      </c>
      <c r="R212" s="7">
        <v>9.4746979534312192</v>
      </c>
      <c r="S212" s="7">
        <v>87.207439440114698</v>
      </c>
      <c r="T212" s="7">
        <v>93.329077176963807</v>
      </c>
      <c r="U212" s="7">
        <v>99.685606562511296</v>
      </c>
      <c r="V212" s="7">
        <v>100</v>
      </c>
      <c r="W212" s="7">
        <v>7.50096294451623</v>
      </c>
      <c r="X212" s="7">
        <v>7.8727730464844603</v>
      </c>
      <c r="Y212" s="7">
        <v>9.9513111772287601</v>
      </c>
      <c r="Z212" s="7">
        <v>10</v>
      </c>
      <c r="AA212" s="7">
        <v>10</v>
      </c>
      <c r="AB212" s="7">
        <v>92.947227676259104</v>
      </c>
      <c r="AC212" s="7">
        <v>100</v>
      </c>
      <c r="AD212" s="7">
        <v>100</v>
      </c>
      <c r="AE212" s="7">
        <v>100</v>
      </c>
      <c r="AF212" s="6">
        <v>15.7868799411302</v>
      </c>
      <c r="AG212" s="6">
        <v>2.11625329751738</v>
      </c>
      <c r="AH212" s="6">
        <v>5.7719864606044498</v>
      </c>
      <c r="AI212" s="6">
        <v>6.9688256622137601</v>
      </c>
      <c r="AJ212" s="6">
        <v>7.2739197995591303</v>
      </c>
      <c r="AK212" s="6">
        <v>83.208258549453703</v>
      </c>
      <c r="AL212" s="6">
        <v>87.068913596010503</v>
      </c>
      <c r="AM212" s="6">
        <v>89.167278991049997</v>
      </c>
      <c r="AN212" s="6">
        <v>91.831793488080805</v>
      </c>
      <c r="AO212" s="6">
        <v>11.4819732129115</v>
      </c>
      <c r="AP212" s="7">
        <v>1.5586446149583799</v>
      </c>
      <c r="AQ212" s="7">
        <v>7.3163207535805901</v>
      </c>
      <c r="AR212" s="7">
        <v>9.3815844947420395</v>
      </c>
      <c r="AS212" s="7">
        <v>9.7154438247587809</v>
      </c>
      <c r="AT212" s="7">
        <v>74.232988424057694</v>
      </c>
      <c r="AU212" s="7">
        <v>97.101798426828196</v>
      </c>
      <c r="AV212" s="7">
        <v>99.077297421010201</v>
      </c>
      <c r="AW212" s="7">
        <v>99.9036341954058</v>
      </c>
      <c r="AX212" s="7">
        <v>10.290017634259399</v>
      </c>
      <c r="AY212" s="7">
        <v>3.5907464736138399</v>
      </c>
      <c r="AZ212" s="7">
        <v>7.6688630039630397</v>
      </c>
      <c r="BA212" s="7">
        <v>8.9687413421347397</v>
      </c>
      <c r="BB212" s="7">
        <v>9.8551862871460099</v>
      </c>
      <c r="BC212" s="7">
        <v>86.263054555091102</v>
      </c>
      <c r="BD212" s="7">
        <v>99.374826842694901</v>
      </c>
      <c r="BE212" s="7">
        <v>100</v>
      </c>
      <c r="BF212" s="7">
        <v>100</v>
      </c>
      <c r="BG212" s="7">
        <v>7.59609814019423</v>
      </c>
      <c r="BH212" s="7">
        <v>7.6678150258380802</v>
      </c>
      <c r="BI212" s="7">
        <v>10</v>
      </c>
      <c r="BJ212" s="7">
        <v>10</v>
      </c>
      <c r="BK212" s="7">
        <v>10</v>
      </c>
      <c r="BL212" s="7">
        <v>99.403736584073101</v>
      </c>
      <c r="BM212" s="7">
        <v>100</v>
      </c>
      <c r="BN212" s="7">
        <v>100</v>
      </c>
      <c r="BO212" s="7">
        <v>100</v>
      </c>
      <c r="BP212" s="6">
        <v>16.266582793477902</v>
      </c>
      <c r="BQ212" s="6">
        <v>1.18160135875784</v>
      </c>
      <c r="BR212" s="6">
        <v>3.3977859956394498</v>
      </c>
      <c r="BS212" s="6">
        <v>5.7997879952298899</v>
      </c>
      <c r="BT212" s="6">
        <v>6.9852078489947802</v>
      </c>
      <c r="BU212" s="6">
        <v>61.445246154402099</v>
      </c>
      <c r="BV212" s="6">
        <v>84.347784188780594</v>
      </c>
      <c r="BW212" s="6">
        <v>94.887794066275603</v>
      </c>
      <c r="BX212" s="6">
        <v>97.029524073382603</v>
      </c>
      <c r="BY212" s="6" t="str">
        <f>TRIM(Table1[[#This Row],[LA_Name]])</f>
        <v>Waveney</v>
      </c>
      <c r="BZ212" s="7">
        <v>76.376000312858395</v>
      </c>
      <c r="CA212" s="7">
        <v>0</v>
      </c>
      <c r="CB212" s="7">
        <v>0</v>
      </c>
      <c r="CC212" s="7">
        <v>0</v>
      </c>
      <c r="CD212" s="7">
        <v>0.20990881385740301</v>
      </c>
      <c r="CE212" s="7">
        <v>0</v>
      </c>
      <c r="CF212" s="7">
        <v>0</v>
      </c>
      <c r="CG212" s="7">
        <v>0</v>
      </c>
      <c r="CH212" s="7">
        <v>11.712058975872401</v>
      </c>
      <c r="CI212" s="7">
        <v>118.77612317811</v>
      </c>
      <c r="CJ212" s="7">
        <v>0</v>
      </c>
      <c r="CK212" s="7">
        <v>0</v>
      </c>
      <c r="CL212" s="7">
        <v>0</v>
      </c>
      <c r="CM212" s="7">
        <v>0</v>
      </c>
      <c r="CN212" s="7">
        <v>0</v>
      </c>
      <c r="CO212" s="7">
        <v>0</v>
      </c>
      <c r="CP212" s="7">
        <v>0</v>
      </c>
      <c r="CQ212" s="7">
        <v>0</v>
      </c>
      <c r="CR212" s="7">
        <v>52.067372532525702</v>
      </c>
      <c r="CS212" s="7">
        <v>0</v>
      </c>
      <c r="CT212" s="7">
        <v>0</v>
      </c>
      <c r="CU212" s="7">
        <v>0.76163918233614802</v>
      </c>
      <c r="CV212" s="7">
        <v>5.3354975486948497</v>
      </c>
      <c r="CW212" s="7">
        <v>0</v>
      </c>
      <c r="CX212" s="7">
        <v>0</v>
      </c>
      <c r="CY212" s="7">
        <v>17.789127528096699</v>
      </c>
      <c r="CZ212" s="7">
        <v>94.826360865846794</v>
      </c>
      <c r="DA212" s="9">
        <v>120</v>
      </c>
      <c r="DB212" s="9">
        <v>0</v>
      </c>
      <c r="DC212" s="9">
        <v>0</v>
      </c>
      <c r="DD212" s="9">
        <v>0</v>
      </c>
      <c r="DE212" s="9">
        <v>0</v>
      </c>
      <c r="DF212" s="9">
        <v>0</v>
      </c>
      <c r="DG212" s="9">
        <v>0</v>
      </c>
      <c r="DH212" s="9">
        <v>0</v>
      </c>
      <c r="DI212" s="9">
        <v>0</v>
      </c>
    </row>
    <row r="213" spans="1:113">
      <c r="A213" s="5" t="s">
        <v>540</v>
      </c>
      <c r="B213" s="5" t="s">
        <v>541</v>
      </c>
      <c r="C213" s="5" t="s">
        <v>542</v>
      </c>
      <c r="D213" s="6">
        <v>2795032</v>
      </c>
      <c r="E213" s="7">
        <v>4.8507901216554501</v>
      </c>
      <c r="F213" s="7">
        <v>8.0475822817055391</v>
      </c>
      <c r="G213" s="7">
        <v>10</v>
      </c>
      <c r="H213" s="7">
        <v>10</v>
      </c>
      <c r="I213" s="7">
        <v>10</v>
      </c>
      <c r="J213" s="7">
        <v>97.305433354609207</v>
      </c>
      <c r="K213" s="7">
        <v>100</v>
      </c>
      <c r="L213" s="7">
        <v>100</v>
      </c>
      <c r="M213" s="7">
        <v>100</v>
      </c>
      <c r="N213" s="7">
        <v>6.6873763336540097</v>
      </c>
      <c r="O213" s="7">
        <v>9.8815963466607908</v>
      </c>
      <c r="P213" s="7">
        <v>10</v>
      </c>
      <c r="Q213" s="7">
        <v>10</v>
      </c>
      <c r="R213" s="7">
        <v>10</v>
      </c>
      <c r="S213" s="7">
        <v>99.9718428983997</v>
      </c>
      <c r="T213" s="7">
        <v>100</v>
      </c>
      <c r="U213" s="7">
        <v>100</v>
      </c>
      <c r="V213" s="7">
        <v>100</v>
      </c>
      <c r="W213" s="7">
        <v>6.29687204870761</v>
      </c>
      <c r="X213" s="7">
        <v>9.9835189722335897</v>
      </c>
      <c r="Y213" s="7">
        <v>10</v>
      </c>
      <c r="Z213" s="7">
        <v>10</v>
      </c>
      <c r="AA213" s="7">
        <v>10</v>
      </c>
      <c r="AB213" s="7">
        <v>99.988837337103803</v>
      </c>
      <c r="AC213" s="7">
        <v>100</v>
      </c>
      <c r="AD213" s="7">
        <v>100</v>
      </c>
      <c r="AE213" s="7">
        <v>100</v>
      </c>
      <c r="AF213" s="6">
        <v>4.9757041710360399</v>
      </c>
      <c r="AG213" s="6">
        <v>7.5618157502311201</v>
      </c>
      <c r="AH213" s="6">
        <v>9.8475055026203595</v>
      </c>
      <c r="AI213" s="6">
        <v>10</v>
      </c>
      <c r="AJ213" s="6">
        <v>10</v>
      </c>
      <c r="AK213" s="6">
        <v>96.862790837457297</v>
      </c>
      <c r="AL213" s="6">
        <v>99.914598473291207</v>
      </c>
      <c r="AM213" s="6">
        <v>100</v>
      </c>
      <c r="AN213" s="6">
        <v>100</v>
      </c>
      <c r="AO213" s="6">
        <v>5.9069966993935097</v>
      </c>
      <c r="AP213" s="7">
        <v>6.3730479651038001</v>
      </c>
      <c r="AQ213" s="7">
        <v>9.9958100658597093</v>
      </c>
      <c r="AR213" s="7">
        <v>10</v>
      </c>
      <c r="AS213" s="7">
        <v>10</v>
      </c>
      <c r="AT213" s="7">
        <v>98.177516393372201</v>
      </c>
      <c r="AU213" s="7">
        <v>100</v>
      </c>
      <c r="AV213" s="7">
        <v>100</v>
      </c>
      <c r="AW213" s="7">
        <v>100</v>
      </c>
      <c r="AX213" s="7">
        <v>7.0176144518799601</v>
      </c>
      <c r="AY213" s="7">
        <v>9.7691758090783907</v>
      </c>
      <c r="AZ213" s="7">
        <v>10</v>
      </c>
      <c r="BA213" s="7">
        <v>10</v>
      </c>
      <c r="BB213" s="7">
        <v>10</v>
      </c>
      <c r="BC213" s="7">
        <v>100</v>
      </c>
      <c r="BD213" s="7">
        <v>100</v>
      </c>
      <c r="BE213" s="7">
        <v>100</v>
      </c>
      <c r="BF213" s="7">
        <v>100</v>
      </c>
      <c r="BG213" s="7">
        <v>6.50354988284007</v>
      </c>
      <c r="BH213" s="7">
        <v>9.9978876807134895</v>
      </c>
      <c r="BI213" s="7">
        <v>10</v>
      </c>
      <c r="BJ213" s="7">
        <v>10</v>
      </c>
      <c r="BK213" s="7">
        <v>10</v>
      </c>
      <c r="BL213" s="7">
        <v>100</v>
      </c>
      <c r="BM213" s="7">
        <v>100</v>
      </c>
      <c r="BN213" s="7">
        <v>100</v>
      </c>
      <c r="BO213" s="7">
        <v>100</v>
      </c>
      <c r="BP213" s="6">
        <v>5.9809047106824504</v>
      </c>
      <c r="BQ213" s="6">
        <v>5.7322284682250499</v>
      </c>
      <c r="BR213" s="6">
        <v>9.7463234767974001</v>
      </c>
      <c r="BS213" s="6">
        <v>9.99993166446753</v>
      </c>
      <c r="BT213" s="6">
        <v>10</v>
      </c>
      <c r="BU213" s="6">
        <v>97.133020301735399</v>
      </c>
      <c r="BV213" s="6">
        <v>100</v>
      </c>
      <c r="BW213" s="6">
        <v>100</v>
      </c>
      <c r="BX213" s="6">
        <v>100</v>
      </c>
      <c r="BY213" s="6" t="str">
        <f>TRIM(Table1[[#This Row],[LA_Name]])</f>
        <v>Inner London</v>
      </c>
      <c r="BZ213" s="7">
        <v>18.212008653909901</v>
      </c>
      <c r="CA213" s="7">
        <v>1.20395938221816</v>
      </c>
      <c r="CB213" s="7">
        <v>6.4148202954384796</v>
      </c>
      <c r="CC213" s="7">
        <v>9.9139290712950707</v>
      </c>
      <c r="CD213" s="7">
        <v>10</v>
      </c>
      <c r="CE213" s="7">
        <v>36.306954625206401</v>
      </c>
      <c r="CF213" s="7">
        <v>90.005731598064003</v>
      </c>
      <c r="CG213" s="7">
        <v>100</v>
      </c>
      <c r="CH213" s="7">
        <v>100</v>
      </c>
      <c r="CI213" s="7">
        <v>13.465473769043401</v>
      </c>
      <c r="CJ213" s="7">
        <v>3.2208772565036798</v>
      </c>
      <c r="CK213" s="7">
        <v>8.5911349136611008</v>
      </c>
      <c r="CL213" s="7">
        <v>9.9831504612469608</v>
      </c>
      <c r="CM213" s="7">
        <v>10</v>
      </c>
      <c r="CN213" s="7">
        <v>62.141649898820503</v>
      </c>
      <c r="CO213" s="7">
        <v>100</v>
      </c>
      <c r="CP213" s="7">
        <v>100</v>
      </c>
      <c r="CQ213" s="7">
        <v>100</v>
      </c>
      <c r="CR213" s="7">
        <v>10.870122821337199</v>
      </c>
      <c r="CS213" s="7">
        <v>5.0909524470560603</v>
      </c>
      <c r="CT213" s="7">
        <v>9.9513318631056809</v>
      </c>
      <c r="CU213" s="7">
        <v>10</v>
      </c>
      <c r="CV213" s="7">
        <v>10</v>
      </c>
      <c r="CW213" s="7">
        <v>84.0397176132509</v>
      </c>
      <c r="CX213" s="7">
        <v>100</v>
      </c>
      <c r="CY213" s="7">
        <v>100</v>
      </c>
      <c r="CZ213" s="7">
        <v>100</v>
      </c>
      <c r="DA213" s="9">
        <v>27.026538836790401</v>
      </c>
      <c r="DB213" s="9">
        <v>1.06611087100255</v>
      </c>
      <c r="DC213" s="9">
        <v>2.9532012513631298</v>
      </c>
      <c r="DD213" s="9">
        <v>5.0798327174787303</v>
      </c>
      <c r="DE213" s="9">
        <v>6.9240459501000302</v>
      </c>
      <c r="DF213" s="9">
        <v>33.434500928790797</v>
      </c>
      <c r="DG213" s="9">
        <v>58.776500591048702</v>
      </c>
      <c r="DH213" s="9">
        <v>80.611062771374407</v>
      </c>
      <c r="DI213" s="9">
        <v>94.8910781701247</v>
      </c>
    </row>
    <row r="214" spans="1:113">
      <c r="A214" s="5" t="s">
        <v>540</v>
      </c>
      <c r="B214" s="5" t="s">
        <v>543</v>
      </c>
      <c r="C214" s="5" t="s">
        <v>544</v>
      </c>
      <c r="D214" s="6">
        <v>208148</v>
      </c>
      <c r="E214" s="7">
        <v>6.7316440329255096</v>
      </c>
      <c r="F214" s="7">
        <v>6.9106549186155997</v>
      </c>
      <c r="G214" s="7">
        <v>10</v>
      </c>
      <c r="H214" s="7">
        <v>10</v>
      </c>
      <c r="I214" s="7">
        <v>10</v>
      </c>
      <c r="J214" s="7">
        <v>86.567730653189102</v>
      </c>
      <c r="K214" s="7">
        <v>100</v>
      </c>
      <c r="L214" s="7">
        <v>100</v>
      </c>
      <c r="M214" s="7">
        <v>100</v>
      </c>
      <c r="N214" s="7">
        <v>7.3407866965822501</v>
      </c>
      <c r="O214" s="7">
        <v>9.4779724042508207</v>
      </c>
      <c r="P214" s="7">
        <v>10</v>
      </c>
      <c r="Q214" s="7">
        <v>10</v>
      </c>
      <c r="R214" s="7">
        <v>10</v>
      </c>
      <c r="S214" s="7">
        <v>100</v>
      </c>
      <c r="T214" s="7">
        <v>100</v>
      </c>
      <c r="U214" s="7">
        <v>100</v>
      </c>
      <c r="V214" s="7">
        <v>100</v>
      </c>
      <c r="W214" s="7">
        <v>6.8734049774057899</v>
      </c>
      <c r="X214" s="7">
        <v>9.9513182927532302</v>
      </c>
      <c r="Y214" s="7">
        <v>10</v>
      </c>
      <c r="Z214" s="7">
        <v>10</v>
      </c>
      <c r="AA214" s="7">
        <v>10</v>
      </c>
      <c r="AB214" s="7">
        <v>100</v>
      </c>
      <c r="AC214" s="7">
        <v>100</v>
      </c>
      <c r="AD214" s="7">
        <v>100</v>
      </c>
      <c r="AE214" s="7">
        <v>100</v>
      </c>
      <c r="AF214" s="6">
        <v>7.26625280931614</v>
      </c>
      <c r="AG214" s="6">
        <v>6.5338893479639504</v>
      </c>
      <c r="AH214" s="6">
        <v>9.2010060149509005</v>
      </c>
      <c r="AI214" s="6">
        <v>10</v>
      </c>
      <c r="AJ214" s="6">
        <v>10</v>
      </c>
      <c r="AK214" s="6">
        <v>85.947498895017006</v>
      </c>
      <c r="AL214" s="6">
        <v>100</v>
      </c>
      <c r="AM214" s="6">
        <v>100</v>
      </c>
      <c r="AN214" s="6">
        <v>100</v>
      </c>
      <c r="AO214" s="6">
        <v>5.7300533859623801</v>
      </c>
      <c r="AP214" s="7">
        <v>7.6666362395987502</v>
      </c>
      <c r="AQ214" s="7">
        <v>10</v>
      </c>
      <c r="AR214" s="7">
        <v>10</v>
      </c>
      <c r="AS214" s="7">
        <v>10</v>
      </c>
      <c r="AT214" s="7">
        <v>99.663220400868596</v>
      </c>
      <c r="AU214" s="7">
        <v>100</v>
      </c>
      <c r="AV214" s="7">
        <v>100</v>
      </c>
      <c r="AW214" s="7">
        <v>100</v>
      </c>
      <c r="AX214" s="7">
        <v>6.9221179584240202</v>
      </c>
      <c r="AY214" s="7">
        <v>10</v>
      </c>
      <c r="AZ214" s="7">
        <v>10</v>
      </c>
      <c r="BA214" s="7">
        <v>10</v>
      </c>
      <c r="BB214" s="7">
        <v>10</v>
      </c>
      <c r="BC214" s="7">
        <v>100</v>
      </c>
      <c r="BD214" s="7">
        <v>100</v>
      </c>
      <c r="BE214" s="7">
        <v>100</v>
      </c>
      <c r="BF214" s="7">
        <v>100</v>
      </c>
      <c r="BG214" s="7">
        <v>6.6573408809739902</v>
      </c>
      <c r="BH214" s="7">
        <v>10</v>
      </c>
      <c r="BI214" s="7">
        <v>10</v>
      </c>
      <c r="BJ214" s="7">
        <v>10</v>
      </c>
      <c r="BK214" s="7">
        <v>10</v>
      </c>
      <c r="BL214" s="7">
        <v>100</v>
      </c>
      <c r="BM214" s="7">
        <v>100</v>
      </c>
      <c r="BN214" s="7">
        <v>100</v>
      </c>
      <c r="BO214" s="7">
        <v>100</v>
      </c>
      <c r="BP214" s="6">
        <v>5.7934786347427103</v>
      </c>
      <c r="BQ214" s="6">
        <v>6.5048955550857999</v>
      </c>
      <c r="BR214" s="6">
        <v>10</v>
      </c>
      <c r="BS214" s="6">
        <v>10</v>
      </c>
      <c r="BT214" s="6">
        <v>10</v>
      </c>
      <c r="BU214" s="6">
        <v>98.469358341180296</v>
      </c>
      <c r="BV214" s="6">
        <v>100</v>
      </c>
      <c r="BW214" s="6">
        <v>100</v>
      </c>
      <c r="BX214" s="6">
        <v>100</v>
      </c>
      <c r="BY214" s="6" t="str">
        <f>TRIM(Table1[[#This Row],[LA_Name]])</f>
        <v>Camden</v>
      </c>
      <c r="BZ214" s="7">
        <v>11.1809441794646</v>
      </c>
      <c r="CA214" s="7">
        <v>3.5558977266176002</v>
      </c>
      <c r="CB214" s="7">
        <v>9.6140102234948195</v>
      </c>
      <c r="CC214" s="7">
        <v>10</v>
      </c>
      <c r="CD214" s="7">
        <v>10</v>
      </c>
      <c r="CE214" s="7">
        <v>67.643695831811996</v>
      </c>
      <c r="CF214" s="7">
        <v>99.628149201529695</v>
      </c>
      <c r="CG214" s="7">
        <v>100</v>
      </c>
      <c r="CH214" s="7">
        <v>100</v>
      </c>
      <c r="CI214" s="7">
        <v>9.4133961952916803</v>
      </c>
      <c r="CJ214" s="7">
        <v>5.7714799085266204</v>
      </c>
      <c r="CK214" s="7">
        <v>10</v>
      </c>
      <c r="CL214" s="7">
        <v>10</v>
      </c>
      <c r="CM214" s="7">
        <v>10</v>
      </c>
      <c r="CN214" s="7">
        <v>89.358052923881104</v>
      </c>
      <c r="CO214" s="7">
        <v>100</v>
      </c>
      <c r="CP214" s="7">
        <v>100</v>
      </c>
      <c r="CQ214" s="7">
        <v>100</v>
      </c>
      <c r="CR214" s="7">
        <v>8.4902056311952592</v>
      </c>
      <c r="CS214" s="7">
        <v>6.9555508580433196</v>
      </c>
      <c r="CT214" s="7">
        <v>10</v>
      </c>
      <c r="CU214" s="7">
        <v>10</v>
      </c>
      <c r="CV214" s="7">
        <v>10</v>
      </c>
      <c r="CW214" s="7">
        <v>99.8640390491381</v>
      </c>
      <c r="CX214" s="7">
        <v>100</v>
      </c>
      <c r="CY214" s="7">
        <v>100</v>
      </c>
      <c r="CZ214" s="7">
        <v>100</v>
      </c>
      <c r="DA214" s="9">
        <v>14.000429159865</v>
      </c>
      <c r="DB214" s="9">
        <v>3.1470107807905898</v>
      </c>
      <c r="DC214" s="9">
        <v>5.4520245210138896</v>
      </c>
      <c r="DD214" s="9">
        <v>7.7291062128869799</v>
      </c>
      <c r="DE214" s="9">
        <v>9.4307560005380804</v>
      </c>
      <c r="DF214" s="9">
        <v>63.614351326940401</v>
      </c>
      <c r="DG214" s="9">
        <v>85.486769029728805</v>
      </c>
      <c r="DH214" s="9">
        <v>99.168380191017903</v>
      </c>
      <c r="DI214" s="9">
        <v>100</v>
      </c>
    </row>
    <row r="215" spans="1:113">
      <c r="A215" s="5" t="s">
        <v>540</v>
      </c>
      <c r="B215" s="5" t="s">
        <v>545</v>
      </c>
      <c r="C215" s="5" t="s">
        <v>546</v>
      </c>
      <c r="D215" s="6">
        <v>7515</v>
      </c>
      <c r="E215" s="7">
        <v>17.455588721594498</v>
      </c>
      <c r="F215" s="7">
        <v>0.883033932135729</v>
      </c>
      <c r="G215" s="7">
        <v>10</v>
      </c>
      <c r="H215" s="7">
        <v>10</v>
      </c>
      <c r="I215" s="7">
        <v>10</v>
      </c>
      <c r="J215" s="7">
        <v>22.634730538922199</v>
      </c>
      <c r="K215" s="7">
        <v>100</v>
      </c>
      <c r="L215" s="7">
        <v>100</v>
      </c>
      <c r="M215" s="7">
        <v>100</v>
      </c>
      <c r="N215" s="7">
        <v>11.929932155469499</v>
      </c>
      <c r="O215" s="7">
        <v>7.6660013306719899</v>
      </c>
      <c r="P215" s="7">
        <v>10</v>
      </c>
      <c r="Q215" s="7">
        <v>10</v>
      </c>
      <c r="R215" s="7">
        <v>10</v>
      </c>
      <c r="S215" s="7">
        <v>93.506320691949398</v>
      </c>
      <c r="T215" s="7">
        <v>100</v>
      </c>
      <c r="U215" s="7">
        <v>100</v>
      </c>
      <c r="V215" s="7">
        <v>100</v>
      </c>
      <c r="W215" s="7">
        <v>9.5015648200364407</v>
      </c>
      <c r="X215" s="7">
        <v>9.8264803725881595</v>
      </c>
      <c r="Y215" s="7">
        <v>10</v>
      </c>
      <c r="Z215" s="7">
        <v>10</v>
      </c>
      <c r="AA215" s="7">
        <v>10</v>
      </c>
      <c r="AB215" s="7">
        <v>100</v>
      </c>
      <c r="AC215" s="7">
        <v>100</v>
      </c>
      <c r="AD215" s="7">
        <v>100</v>
      </c>
      <c r="AE215" s="7">
        <v>100</v>
      </c>
      <c r="AF215" s="6">
        <v>22.1197842825752</v>
      </c>
      <c r="AG215" s="6">
        <v>0.409181636726547</v>
      </c>
      <c r="AH215" s="6">
        <v>6.3940119760479002</v>
      </c>
      <c r="AI215" s="6">
        <v>10</v>
      </c>
      <c r="AJ215" s="6">
        <v>10</v>
      </c>
      <c r="AK215" s="6">
        <v>22.634730538922199</v>
      </c>
      <c r="AL215" s="6">
        <v>82.475049900199593</v>
      </c>
      <c r="AM215" s="6">
        <v>100</v>
      </c>
      <c r="AN215" s="6">
        <v>100</v>
      </c>
      <c r="AO215" s="6">
        <v>7.8518310172511798</v>
      </c>
      <c r="AP215" s="7">
        <v>4.8351297405189602</v>
      </c>
      <c r="AQ215" s="7">
        <v>10</v>
      </c>
      <c r="AR215" s="7">
        <v>10</v>
      </c>
      <c r="AS215" s="7">
        <v>10</v>
      </c>
      <c r="AT215" s="7">
        <v>84.138389886892895</v>
      </c>
      <c r="AU215" s="7">
        <v>100</v>
      </c>
      <c r="AV215" s="7">
        <v>100</v>
      </c>
      <c r="AW215" s="7">
        <v>100</v>
      </c>
      <c r="AX215" s="7">
        <v>7.69353425418704</v>
      </c>
      <c r="AY215" s="7">
        <v>10</v>
      </c>
      <c r="AZ215" s="7">
        <v>10</v>
      </c>
      <c r="BA215" s="7">
        <v>10</v>
      </c>
      <c r="BB215" s="7">
        <v>10</v>
      </c>
      <c r="BC215" s="7">
        <v>100</v>
      </c>
      <c r="BD215" s="7">
        <v>100</v>
      </c>
      <c r="BE215" s="7">
        <v>100</v>
      </c>
      <c r="BF215" s="7">
        <v>100</v>
      </c>
      <c r="BG215" s="7">
        <v>6.9979015490569401</v>
      </c>
      <c r="BH215" s="7">
        <v>10</v>
      </c>
      <c r="BI215" s="7">
        <v>10</v>
      </c>
      <c r="BJ215" s="7">
        <v>10</v>
      </c>
      <c r="BK215" s="7">
        <v>10</v>
      </c>
      <c r="BL215" s="7">
        <v>100</v>
      </c>
      <c r="BM215" s="7">
        <v>100</v>
      </c>
      <c r="BN215" s="7">
        <v>100</v>
      </c>
      <c r="BO215" s="7">
        <v>100</v>
      </c>
      <c r="BP215" s="6">
        <v>7.8577924505044701</v>
      </c>
      <c r="BQ215" s="6">
        <v>4.3036593479707204</v>
      </c>
      <c r="BR215" s="6">
        <v>10</v>
      </c>
      <c r="BS215" s="6">
        <v>10</v>
      </c>
      <c r="BT215" s="6">
        <v>10</v>
      </c>
      <c r="BU215" s="6">
        <v>84.138389886892895</v>
      </c>
      <c r="BV215" s="6">
        <v>100</v>
      </c>
      <c r="BW215" s="6">
        <v>100</v>
      </c>
      <c r="BX215" s="6">
        <v>100</v>
      </c>
      <c r="BY215" s="6" t="str">
        <f>TRIM(Table1[[#This Row],[LA_Name]])</f>
        <v>City of London</v>
      </c>
      <c r="BZ215" s="7">
        <v>4.1253173761302797</v>
      </c>
      <c r="CA215" s="7">
        <v>7.29993346640053</v>
      </c>
      <c r="CB215" s="7">
        <v>10</v>
      </c>
      <c r="CC215" s="7">
        <v>10</v>
      </c>
      <c r="CD215" s="7">
        <v>10</v>
      </c>
      <c r="CE215" s="7">
        <v>100</v>
      </c>
      <c r="CF215" s="7">
        <v>100</v>
      </c>
      <c r="CG215" s="7">
        <v>100</v>
      </c>
      <c r="CH215" s="7">
        <v>100</v>
      </c>
      <c r="CI215" s="7">
        <v>6.5071523572473797</v>
      </c>
      <c r="CJ215" s="7">
        <v>10</v>
      </c>
      <c r="CK215" s="7">
        <v>10</v>
      </c>
      <c r="CL215" s="7">
        <v>10</v>
      </c>
      <c r="CM215" s="7">
        <v>10</v>
      </c>
      <c r="CN215" s="7">
        <v>100</v>
      </c>
      <c r="CO215" s="7">
        <v>100</v>
      </c>
      <c r="CP215" s="7">
        <v>100</v>
      </c>
      <c r="CQ215" s="7">
        <v>100</v>
      </c>
      <c r="CR215" s="7">
        <v>6.6121915949874097</v>
      </c>
      <c r="CS215" s="7">
        <v>10</v>
      </c>
      <c r="CT215" s="7">
        <v>10</v>
      </c>
      <c r="CU215" s="7">
        <v>10</v>
      </c>
      <c r="CV215" s="7">
        <v>10</v>
      </c>
      <c r="CW215" s="7">
        <v>100</v>
      </c>
      <c r="CX215" s="7">
        <v>100</v>
      </c>
      <c r="CY215" s="7">
        <v>100</v>
      </c>
      <c r="CZ215" s="7">
        <v>100</v>
      </c>
      <c r="DA215" s="9">
        <v>4.1253173761302797</v>
      </c>
      <c r="DB215" s="9">
        <v>6.73373253493014</v>
      </c>
      <c r="DC215" s="9">
        <v>10</v>
      </c>
      <c r="DD215" s="9">
        <v>10</v>
      </c>
      <c r="DE215" s="9">
        <v>10</v>
      </c>
      <c r="DF215" s="9">
        <v>100</v>
      </c>
      <c r="DG215" s="9">
        <v>100</v>
      </c>
      <c r="DH215" s="9">
        <v>100</v>
      </c>
      <c r="DI215" s="9">
        <v>100</v>
      </c>
    </row>
    <row r="216" spans="1:113">
      <c r="A216" s="5" t="s">
        <v>540</v>
      </c>
      <c r="B216" s="5" t="s">
        <v>547</v>
      </c>
      <c r="C216" s="5" t="s">
        <v>548</v>
      </c>
      <c r="D216" s="6">
        <v>213806</v>
      </c>
      <c r="E216" s="7">
        <v>3.9428284064010901</v>
      </c>
      <c r="F216" s="7">
        <v>9.4323452101437795</v>
      </c>
      <c r="G216" s="7">
        <v>10</v>
      </c>
      <c r="H216" s="7">
        <v>10</v>
      </c>
      <c r="I216" s="7">
        <v>10</v>
      </c>
      <c r="J216" s="7">
        <v>100</v>
      </c>
      <c r="K216" s="7">
        <v>100</v>
      </c>
      <c r="L216" s="7">
        <v>100</v>
      </c>
      <c r="M216" s="7">
        <v>100</v>
      </c>
      <c r="N216" s="7">
        <v>6.39472680575685</v>
      </c>
      <c r="O216" s="7">
        <v>10</v>
      </c>
      <c r="P216" s="7">
        <v>10</v>
      </c>
      <c r="Q216" s="7">
        <v>10</v>
      </c>
      <c r="R216" s="7">
        <v>10</v>
      </c>
      <c r="S216" s="7">
        <v>100</v>
      </c>
      <c r="T216" s="7">
        <v>100</v>
      </c>
      <c r="U216" s="7">
        <v>100</v>
      </c>
      <c r="V216" s="7">
        <v>100</v>
      </c>
      <c r="W216" s="7">
        <v>6.0201805260768397</v>
      </c>
      <c r="X216" s="7">
        <v>10</v>
      </c>
      <c r="Y216" s="7">
        <v>10</v>
      </c>
      <c r="Z216" s="7">
        <v>10</v>
      </c>
      <c r="AA216" s="7">
        <v>10</v>
      </c>
      <c r="AB216" s="7">
        <v>100</v>
      </c>
      <c r="AC216" s="7">
        <v>100</v>
      </c>
      <c r="AD216" s="7">
        <v>100</v>
      </c>
      <c r="AE216" s="7">
        <v>100</v>
      </c>
      <c r="AF216" s="6">
        <v>3.9428284064010901</v>
      </c>
      <c r="AG216" s="6">
        <v>9.1432934529433201</v>
      </c>
      <c r="AH216" s="6">
        <v>10</v>
      </c>
      <c r="AI216" s="6">
        <v>10</v>
      </c>
      <c r="AJ216" s="6">
        <v>10</v>
      </c>
      <c r="AK216" s="6">
        <v>100</v>
      </c>
      <c r="AL216" s="6">
        <v>100</v>
      </c>
      <c r="AM216" s="6">
        <v>100</v>
      </c>
      <c r="AN216" s="6">
        <v>100</v>
      </c>
      <c r="AO216" s="6">
        <v>4.8018461529603496</v>
      </c>
      <c r="AP216" s="7">
        <v>8.0942209292536198</v>
      </c>
      <c r="AQ216" s="7">
        <v>10</v>
      </c>
      <c r="AR216" s="7">
        <v>10</v>
      </c>
      <c r="AS216" s="7">
        <v>10</v>
      </c>
      <c r="AT216" s="7">
        <v>100</v>
      </c>
      <c r="AU216" s="7">
        <v>100</v>
      </c>
      <c r="AV216" s="7">
        <v>100</v>
      </c>
      <c r="AW216" s="7">
        <v>100</v>
      </c>
      <c r="AX216" s="7">
        <v>6.6208013891454502</v>
      </c>
      <c r="AY216" s="7">
        <v>10</v>
      </c>
      <c r="AZ216" s="7">
        <v>10</v>
      </c>
      <c r="BA216" s="7">
        <v>10</v>
      </c>
      <c r="BB216" s="7">
        <v>10</v>
      </c>
      <c r="BC216" s="7">
        <v>100</v>
      </c>
      <c r="BD216" s="7">
        <v>100</v>
      </c>
      <c r="BE216" s="7">
        <v>100</v>
      </c>
      <c r="BF216" s="7">
        <v>100</v>
      </c>
      <c r="BG216" s="7">
        <v>6.1076988017914902</v>
      </c>
      <c r="BH216" s="7">
        <v>10</v>
      </c>
      <c r="BI216" s="7">
        <v>10</v>
      </c>
      <c r="BJ216" s="7">
        <v>10</v>
      </c>
      <c r="BK216" s="7">
        <v>10</v>
      </c>
      <c r="BL216" s="7">
        <v>100</v>
      </c>
      <c r="BM216" s="7">
        <v>100</v>
      </c>
      <c r="BN216" s="7">
        <v>100</v>
      </c>
      <c r="BO216" s="7">
        <v>100</v>
      </c>
      <c r="BP216" s="6">
        <v>4.8019410044588504</v>
      </c>
      <c r="BQ216" s="6">
        <v>7.21210349569236</v>
      </c>
      <c r="BR216" s="6">
        <v>10</v>
      </c>
      <c r="BS216" s="6">
        <v>10</v>
      </c>
      <c r="BT216" s="6">
        <v>10</v>
      </c>
      <c r="BU216" s="6">
        <v>100</v>
      </c>
      <c r="BV216" s="6">
        <v>100</v>
      </c>
      <c r="BW216" s="6">
        <v>100</v>
      </c>
      <c r="BX216" s="6">
        <v>100</v>
      </c>
      <c r="BY216" s="6" t="str">
        <f>TRIM(Table1[[#This Row],[LA_Name]])</f>
        <v>Hackney</v>
      </c>
      <c r="BZ216" s="7">
        <v>22.390329527616601</v>
      </c>
      <c r="CA216" s="7">
        <v>0.59191977774243898</v>
      </c>
      <c r="CB216" s="7">
        <v>5.4070231892463303</v>
      </c>
      <c r="CC216" s="7">
        <v>10</v>
      </c>
      <c r="CD216" s="7">
        <v>10</v>
      </c>
      <c r="CE216" s="7">
        <v>16.271292667184301</v>
      </c>
      <c r="CF216" s="7">
        <v>86.936288036818397</v>
      </c>
      <c r="CG216" s="7">
        <v>100</v>
      </c>
      <c r="CH216" s="7">
        <v>100</v>
      </c>
      <c r="CI216" s="7">
        <v>16.6896144062021</v>
      </c>
      <c r="CJ216" s="7">
        <v>2.0595867281554301</v>
      </c>
      <c r="CK216" s="7">
        <v>9.9540564811090402</v>
      </c>
      <c r="CL216" s="7">
        <v>10</v>
      </c>
      <c r="CM216" s="7">
        <v>10</v>
      </c>
      <c r="CN216" s="7">
        <v>33.885859143335502</v>
      </c>
      <c r="CO216" s="7">
        <v>100</v>
      </c>
      <c r="CP216" s="7">
        <v>100</v>
      </c>
      <c r="CQ216" s="7">
        <v>100</v>
      </c>
      <c r="CR216" s="7">
        <v>12.3067558170046</v>
      </c>
      <c r="CS216" s="7">
        <v>5.7689681299869999</v>
      </c>
      <c r="CT216" s="7">
        <v>10</v>
      </c>
      <c r="CU216" s="7">
        <v>10</v>
      </c>
      <c r="CV216" s="7">
        <v>10</v>
      </c>
      <c r="CW216" s="7">
        <v>80.286802054198702</v>
      </c>
      <c r="CX216" s="7">
        <v>100</v>
      </c>
      <c r="CY216" s="7">
        <v>100</v>
      </c>
      <c r="CZ216" s="7">
        <v>100</v>
      </c>
      <c r="DA216" s="9">
        <v>37.725420573977701</v>
      </c>
      <c r="DB216" s="9">
        <v>0.55687398856907699</v>
      </c>
      <c r="DC216" s="9">
        <v>1.87637858619496</v>
      </c>
      <c r="DD216" s="9">
        <v>3.9879516945268101</v>
      </c>
      <c r="DE216" s="9">
        <v>7.2829200303078503</v>
      </c>
      <c r="DF216" s="9">
        <v>14.679662871949301</v>
      </c>
      <c r="DG216" s="9">
        <v>31.1020270712702</v>
      </c>
      <c r="DH216" s="9">
        <v>60.864054329625901</v>
      </c>
      <c r="DI216" s="9">
        <v>89.590563407949304</v>
      </c>
    </row>
    <row r="217" spans="1:113">
      <c r="A217" s="5" t="s">
        <v>540</v>
      </c>
      <c r="B217" s="5" t="s">
        <v>549</v>
      </c>
      <c r="C217" s="5" t="s">
        <v>550</v>
      </c>
      <c r="D217" s="6">
        <v>142263</v>
      </c>
      <c r="E217" s="7">
        <v>4.3520627273414396</v>
      </c>
      <c r="F217" s="7">
        <v>8.7177832605807595</v>
      </c>
      <c r="G217" s="7">
        <v>10</v>
      </c>
      <c r="H217" s="7">
        <v>10</v>
      </c>
      <c r="I217" s="7">
        <v>10</v>
      </c>
      <c r="J217" s="7">
        <v>100</v>
      </c>
      <c r="K217" s="7">
        <v>100</v>
      </c>
      <c r="L217" s="7">
        <v>100</v>
      </c>
      <c r="M217" s="7">
        <v>100</v>
      </c>
      <c r="N217" s="7">
        <v>6.4436600478152704</v>
      </c>
      <c r="O217" s="7">
        <v>10</v>
      </c>
      <c r="P217" s="7">
        <v>10</v>
      </c>
      <c r="Q217" s="7">
        <v>10</v>
      </c>
      <c r="R217" s="7">
        <v>10</v>
      </c>
      <c r="S217" s="7">
        <v>100</v>
      </c>
      <c r="T217" s="7">
        <v>100</v>
      </c>
      <c r="U217" s="7">
        <v>100</v>
      </c>
      <c r="V217" s="7">
        <v>100</v>
      </c>
      <c r="W217" s="7">
        <v>6.1901291201692397</v>
      </c>
      <c r="X217" s="7">
        <v>10</v>
      </c>
      <c r="Y217" s="7">
        <v>10</v>
      </c>
      <c r="Z217" s="7">
        <v>10</v>
      </c>
      <c r="AA217" s="7">
        <v>10</v>
      </c>
      <c r="AB217" s="7">
        <v>100</v>
      </c>
      <c r="AC217" s="7">
        <v>100</v>
      </c>
      <c r="AD217" s="7">
        <v>100</v>
      </c>
      <c r="AE217" s="7">
        <v>100</v>
      </c>
      <c r="AF217" s="6">
        <v>4.3578939709099096</v>
      </c>
      <c r="AG217" s="6">
        <v>8.2780062279018392</v>
      </c>
      <c r="AH217" s="6">
        <v>10</v>
      </c>
      <c r="AI217" s="6">
        <v>10</v>
      </c>
      <c r="AJ217" s="6">
        <v>10</v>
      </c>
      <c r="AK217" s="6">
        <v>100</v>
      </c>
      <c r="AL217" s="6">
        <v>100</v>
      </c>
      <c r="AM217" s="6">
        <v>100</v>
      </c>
      <c r="AN217" s="6">
        <v>100</v>
      </c>
      <c r="AO217" s="6">
        <v>5.1102733732983898</v>
      </c>
      <c r="AP217" s="7">
        <v>7.9802337923423501</v>
      </c>
      <c r="AQ217" s="7">
        <v>10</v>
      </c>
      <c r="AR217" s="7">
        <v>10</v>
      </c>
      <c r="AS217" s="7">
        <v>10</v>
      </c>
      <c r="AT217" s="7">
        <v>98.653198653198601</v>
      </c>
      <c r="AU217" s="7">
        <v>100</v>
      </c>
      <c r="AV217" s="7">
        <v>100</v>
      </c>
      <c r="AW217" s="7">
        <v>100</v>
      </c>
      <c r="AX217" s="7">
        <v>6.7381570067254604</v>
      </c>
      <c r="AY217" s="7">
        <v>9.99339954872314</v>
      </c>
      <c r="AZ217" s="7">
        <v>10</v>
      </c>
      <c r="BA217" s="7">
        <v>10</v>
      </c>
      <c r="BB217" s="7">
        <v>10</v>
      </c>
      <c r="BC217" s="7">
        <v>100</v>
      </c>
      <c r="BD217" s="7">
        <v>100</v>
      </c>
      <c r="BE217" s="7">
        <v>100</v>
      </c>
      <c r="BF217" s="7">
        <v>100</v>
      </c>
      <c r="BG217" s="7">
        <v>6.4276279114470602</v>
      </c>
      <c r="BH217" s="7">
        <v>9.9961760963848594</v>
      </c>
      <c r="BI217" s="7">
        <v>10</v>
      </c>
      <c r="BJ217" s="7">
        <v>10</v>
      </c>
      <c r="BK217" s="7">
        <v>10</v>
      </c>
      <c r="BL217" s="7">
        <v>100</v>
      </c>
      <c r="BM217" s="7">
        <v>100</v>
      </c>
      <c r="BN217" s="7">
        <v>100</v>
      </c>
      <c r="BO217" s="7">
        <v>100</v>
      </c>
      <c r="BP217" s="6">
        <v>5.1486320436067903</v>
      </c>
      <c r="BQ217" s="6">
        <v>7.48693616752072</v>
      </c>
      <c r="BR217" s="6">
        <v>9.9736966041767694</v>
      </c>
      <c r="BS217" s="6">
        <v>10</v>
      </c>
      <c r="BT217" s="6">
        <v>10</v>
      </c>
      <c r="BU217" s="6">
        <v>96.848794134806695</v>
      </c>
      <c r="BV217" s="6">
        <v>100</v>
      </c>
      <c r="BW217" s="6">
        <v>100</v>
      </c>
      <c r="BX217" s="6">
        <v>100</v>
      </c>
      <c r="BY217" s="6" t="str">
        <f>TRIM(Table1[[#This Row],[LA_Name]])</f>
        <v>Hammersmith and Fulham</v>
      </c>
      <c r="BZ217" s="7">
        <v>13.558100756402</v>
      </c>
      <c r="CA217" s="7">
        <v>1.0857004280803899</v>
      </c>
      <c r="CB217" s="7">
        <v>7.7071058532436396</v>
      </c>
      <c r="CC217" s="7">
        <v>10</v>
      </c>
      <c r="CD217" s="7">
        <v>10</v>
      </c>
      <c r="CE217" s="7">
        <v>56.999360339652597</v>
      </c>
      <c r="CF217" s="7">
        <v>100</v>
      </c>
      <c r="CG217" s="7">
        <v>100</v>
      </c>
      <c r="CH217" s="7">
        <v>100</v>
      </c>
      <c r="CI217" s="7">
        <v>9.70133437399301</v>
      </c>
      <c r="CJ217" s="7">
        <v>3.9216310635934901</v>
      </c>
      <c r="CK217" s="7">
        <v>10</v>
      </c>
      <c r="CL217" s="7">
        <v>10</v>
      </c>
      <c r="CM217" s="7">
        <v>10</v>
      </c>
      <c r="CN217" s="7">
        <v>99.172659089151793</v>
      </c>
      <c r="CO217" s="7">
        <v>100</v>
      </c>
      <c r="CP217" s="7">
        <v>100</v>
      </c>
      <c r="CQ217" s="7">
        <v>100</v>
      </c>
      <c r="CR217" s="7">
        <v>8.5055886103586502</v>
      </c>
      <c r="CS217" s="7">
        <v>5.2744213182626503</v>
      </c>
      <c r="CT217" s="7">
        <v>10</v>
      </c>
      <c r="CU217" s="7">
        <v>10</v>
      </c>
      <c r="CV217" s="7">
        <v>10</v>
      </c>
      <c r="CW217" s="7">
        <v>100</v>
      </c>
      <c r="CX217" s="7">
        <v>100</v>
      </c>
      <c r="CY217" s="7">
        <v>100</v>
      </c>
      <c r="CZ217" s="7">
        <v>100</v>
      </c>
      <c r="DA217" s="9">
        <v>14.771244777473701</v>
      </c>
      <c r="DB217" s="9">
        <v>0.91016638198266597</v>
      </c>
      <c r="DC217" s="9">
        <v>3.52896396111427</v>
      </c>
      <c r="DD217" s="9">
        <v>6.9814920253333597</v>
      </c>
      <c r="DE217" s="9">
        <v>9.8772765933517501</v>
      </c>
      <c r="DF217" s="9">
        <v>54.7422731138806</v>
      </c>
      <c r="DG217" s="9">
        <v>97.083570570000603</v>
      </c>
      <c r="DH217" s="9">
        <v>100</v>
      </c>
      <c r="DI217" s="9">
        <v>100</v>
      </c>
    </row>
    <row r="218" spans="1:113">
      <c r="A218" s="5" t="s">
        <v>540</v>
      </c>
      <c r="B218" s="5" t="s">
        <v>551</v>
      </c>
      <c r="C218" s="5" t="s">
        <v>552</v>
      </c>
      <c r="D218" s="6">
        <v>202612</v>
      </c>
      <c r="E218" s="7">
        <v>4.4887667556489497</v>
      </c>
      <c r="F218" s="7">
        <v>8.2297642785225005</v>
      </c>
      <c r="G218" s="7">
        <v>10</v>
      </c>
      <c r="H218" s="7">
        <v>10</v>
      </c>
      <c r="I218" s="7">
        <v>10</v>
      </c>
      <c r="J218" s="7">
        <v>99.621937496298301</v>
      </c>
      <c r="K218" s="7">
        <v>100</v>
      </c>
      <c r="L218" s="7">
        <v>100</v>
      </c>
      <c r="M218" s="7">
        <v>100</v>
      </c>
      <c r="N218" s="7">
        <v>6.5510522636414503</v>
      </c>
      <c r="O218" s="7">
        <v>9.9930754348212307</v>
      </c>
      <c r="P218" s="7">
        <v>10</v>
      </c>
      <c r="Q218" s="7">
        <v>10</v>
      </c>
      <c r="R218" s="7">
        <v>10</v>
      </c>
      <c r="S218" s="7">
        <v>100</v>
      </c>
      <c r="T218" s="7">
        <v>100</v>
      </c>
      <c r="U218" s="7">
        <v>100</v>
      </c>
      <c r="V218" s="7">
        <v>100</v>
      </c>
      <c r="W218" s="7">
        <v>6.1415282885767004</v>
      </c>
      <c r="X218" s="7">
        <v>10</v>
      </c>
      <c r="Y218" s="7">
        <v>10</v>
      </c>
      <c r="Z218" s="7">
        <v>10</v>
      </c>
      <c r="AA218" s="7">
        <v>10</v>
      </c>
      <c r="AB218" s="7">
        <v>100</v>
      </c>
      <c r="AC218" s="7">
        <v>100</v>
      </c>
      <c r="AD218" s="7">
        <v>100</v>
      </c>
      <c r="AE218" s="7">
        <v>100</v>
      </c>
      <c r="AF218" s="6">
        <v>4.4894023050470802</v>
      </c>
      <c r="AG218" s="6">
        <v>7.8902434209227499</v>
      </c>
      <c r="AH218" s="6">
        <v>9.9897242019228898</v>
      </c>
      <c r="AI218" s="6">
        <v>10</v>
      </c>
      <c r="AJ218" s="6">
        <v>10</v>
      </c>
      <c r="AK218" s="6">
        <v>99.621937496298301</v>
      </c>
      <c r="AL218" s="6">
        <v>100</v>
      </c>
      <c r="AM218" s="6">
        <v>100</v>
      </c>
      <c r="AN218" s="6">
        <v>100</v>
      </c>
      <c r="AO218" s="6">
        <v>7.4610965846333404</v>
      </c>
      <c r="AP218" s="7">
        <v>4.05765206404359</v>
      </c>
      <c r="AQ218" s="7">
        <v>10</v>
      </c>
      <c r="AR218" s="7">
        <v>10</v>
      </c>
      <c r="AS218" s="7">
        <v>10</v>
      </c>
      <c r="AT218" s="7">
        <v>97.012516534065099</v>
      </c>
      <c r="AU218" s="7">
        <v>100</v>
      </c>
      <c r="AV218" s="7">
        <v>100</v>
      </c>
      <c r="AW218" s="7">
        <v>100</v>
      </c>
      <c r="AX218" s="7">
        <v>7.5280997236608203</v>
      </c>
      <c r="AY218" s="7">
        <v>9.8290229601405592</v>
      </c>
      <c r="AZ218" s="7">
        <v>10</v>
      </c>
      <c r="BA218" s="7">
        <v>10</v>
      </c>
      <c r="BB218" s="7">
        <v>10</v>
      </c>
      <c r="BC218" s="7">
        <v>100</v>
      </c>
      <c r="BD218" s="7">
        <v>100</v>
      </c>
      <c r="BE218" s="7">
        <v>100</v>
      </c>
      <c r="BF218" s="7">
        <v>100</v>
      </c>
      <c r="BG218" s="7">
        <v>6.8049030629201797</v>
      </c>
      <c r="BH218" s="7">
        <v>10</v>
      </c>
      <c r="BI218" s="7">
        <v>10</v>
      </c>
      <c r="BJ218" s="7">
        <v>10</v>
      </c>
      <c r="BK218" s="7">
        <v>10</v>
      </c>
      <c r="BL218" s="7">
        <v>100</v>
      </c>
      <c r="BM218" s="7">
        <v>100</v>
      </c>
      <c r="BN218" s="7">
        <v>100</v>
      </c>
      <c r="BO218" s="7">
        <v>100</v>
      </c>
      <c r="BP218" s="6">
        <v>7.5142720142545301</v>
      </c>
      <c r="BQ218" s="6">
        <v>3.4930162083193501</v>
      </c>
      <c r="BR218" s="6">
        <v>9.7732167887390702</v>
      </c>
      <c r="BS218" s="6">
        <v>10</v>
      </c>
      <c r="BT218" s="6">
        <v>10</v>
      </c>
      <c r="BU218" s="6">
        <v>96.152251594180001</v>
      </c>
      <c r="BV218" s="6">
        <v>100</v>
      </c>
      <c r="BW218" s="6">
        <v>100</v>
      </c>
      <c r="BX218" s="6">
        <v>100</v>
      </c>
      <c r="BY218" s="6" t="str">
        <f>TRIM(Table1[[#This Row],[LA_Name]])</f>
        <v>Haringey</v>
      </c>
      <c r="BZ218" s="7">
        <v>27.571533494425601</v>
      </c>
      <c r="CA218" s="7">
        <v>2.52699741377608E-2</v>
      </c>
      <c r="CB218" s="7">
        <v>2.2931415710816698</v>
      </c>
      <c r="CC218" s="7">
        <v>9.8968718535920903</v>
      </c>
      <c r="CD218" s="7">
        <v>10</v>
      </c>
      <c r="CE218" s="7">
        <v>2.5269974137760798</v>
      </c>
      <c r="CF218" s="7">
        <v>62.074803071881199</v>
      </c>
      <c r="CG218" s="7">
        <v>100</v>
      </c>
      <c r="CH218" s="7">
        <v>100</v>
      </c>
      <c r="CI218" s="7">
        <v>18.9605704636841</v>
      </c>
      <c r="CJ218" s="7">
        <v>0.18212149329753399</v>
      </c>
      <c r="CK218" s="7">
        <v>3.8220983949618001</v>
      </c>
      <c r="CL218" s="7">
        <v>10</v>
      </c>
      <c r="CM218" s="7">
        <v>10</v>
      </c>
      <c r="CN218" s="7">
        <v>18.212149329753402</v>
      </c>
      <c r="CO218" s="7">
        <v>100</v>
      </c>
      <c r="CP218" s="7">
        <v>100</v>
      </c>
      <c r="CQ218" s="7">
        <v>100</v>
      </c>
      <c r="CR218" s="7">
        <v>13.4240429799507</v>
      </c>
      <c r="CS218" s="7">
        <v>0.71771662093064603</v>
      </c>
      <c r="CT218" s="7">
        <v>10</v>
      </c>
      <c r="CU218" s="7">
        <v>10</v>
      </c>
      <c r="CV218" s="7">
        <v>10</v>
      </c>
      <c r="CW218" s="7">
        <v>71.734645529386199</v>
      </c>
      <c r="CX218" s="7">
        <v>100</v>
      </c>
      <c r="CY218" s="7">
        <v>100</v>
      </c>
      <c r="CZ218" s="7">
        <v>100</v>
      </c>
      <c r="DA218" s="9">
        <v>45.407652521482703</v>
      </c>
      <c r="DB218" s="9">
        <v>2.4021282056344101E-2</v>
      </c>
      <c r="DC218" s="9">
        <v>0.14102323653090601</v>
      </c>
      <c r="DD218" s="9">
        <v>0.46629518488539701</v>
      </c>
      <c r="DE218" s="9">
        <v>1.1038536710560101</v>
      </c>
      <c r="DF218" s="9">
        <v>2.4021282056344102</v>
      </c>
      <c r="DG218" s="9">
        <v>14.1023236530906</v>
      </c>
      <c r="DH218" s="9">
        <v>45.2860640041064</v>
      </c>
      <c r="DI218" s="9">
        <v>88.324975815845093</v>
      </c>
    </row>
    <row r="219" spans="1:113">
      <c r="A219" s="5" t="s">
        <v>540</v>
      </c>
      <c r="B219" s="5" t="s">
        <v>553</v>
      </c>
      <c r="C219" s="5" t="s">
        <v>554</v>
      </c>
      <c r="D219" s="6">
        <v>194659</v>
      </c>
      <c r="E219" s="7">
        <v>5.6398713820142303</v>
      </c>
      <c r="F219" s="7">
        <v>8.1931120574954193</v>
      </c>
      <c r="G219" s="7">
        <v>10</v>
      </c>
      <c r="H219" s="7">
        <v>10</v>
      </c>
      <c r="I219" s="7">
        <v>10</v>
      </c>
      <c r="J219" s="7">
        <v>92.388227618553501</v>
      </c>
      <c r="K219" s="7">
        <v>100</v>
      </c>
      <c r="L219" s="7">
        <v>100</v>
      </c>
      <c r="M219" s="7">
        <v>100</v>
      </c>
      <c r="N219" s="7">
        <v>6.9181662233594601</v>
      </c>
      <c r="O219" s="7">
        <v>9.9796464586790208</v>
      </c>
      <c r="P219" s="7">
        <v>10</v>
      </c>
      <c r="Q219" s="7">
        <v>10</v>
      </c>
      <c r="R219" s="7">
        <v>10</v>
      </c>
      <c r="S219" s="7">
        <v>100</v>
      </c>
      <c r="T219" s="7">
        <v>100</v>
      </c>
      <c r="U219" s="7">
        <v>100</v>
      </c>
      <c r="V219" s="7">
        <v>100</v>
      </c>
      <c r="W219" s="7">
        <v>6.35490205347838</v>
      </c>
      <c r="X219" s="7">
        <v>10</v>
      </c>
      <c r="Y219" s="7">
        <v>10</v>
      </c>
      <c r="Z219" s="7">
        <v>10</v>
      </c>
      <c r="AA219" s="7">
        <v>10</v>
      </c>
      <c r="AB219" s="7">
        <v>100</v>
      </c>
      <c r="AC219" s="7">
        <v>100</v>
      </c>
      <c r="AD219" s="7">
        <v>100</v>
      </c>
      <c r="AE219" s="7">
        <v>100</v>
      </c>
      <c r="AF219" s="6">
        <v>5.7819609228855899</v>
      </c>
      <c r="AG219" s="6">
        <v>7.8866890305611399</v>
      </c>
      <c r="AH219" s="6">
        <v>9.9570582403074095</v>
      </c>
      <c r="AI219" s="6">
        <v>10</v>
      </c>
      <c r="AJ219" s="6">
        <v>10</v>
      </c>
      <c r="AK219" s="6">
        <v>92.214590643124595</v>
      </c>
      <c r="AL219" s="6">
        <v>100</v>
      </c>
      <c r="AM219" s="6">
        <v>100</v>
      </c>
      <c r="AN219" s="6">
        <v>100</v>
      </c>
      <c r="AO219" s="6">
        <v>4.8042691592421098</v>
      </c>
      <c r="AP219" s="7">
        <v>8.4758834680133006</v>
      </c>
      <c r="AQ219" s="7">
        <v>10</v>
      </c>
      <c r="AR219" s="7">
        <v>10</v>
      </c>
      <c r="AS219" s="7">
        <v>10</v>
      </c>
      <c r="AT219" s="7">
        <v>100</v>
      </c>
      <c r="AU219" s="7">
        <v>100</v>
      </c>
      <c r="AV219" s="7">
        <v>100</v>
      </c>
      <c r="AW219" s="7">
        <v>100</v>
      </c>
      <c r="AX219" s="7">
        <v>6.6438027494289598</v>
      </c>
      <c r="AY219" s="7">
        <v>10</v>
      </c>
      <c r="AZ219" s="7">
        <v>10</v>
      </c>
      <c r="BA219" s="7">
        <v>10</v>
      </c>
      <c r="BB219" s="7">
        <v>10</v>
      </c>
      <c r="BC219" s="7">
        <v>100</v>
      </c>
      <c r="BD219" s="7">
        <v>100</v>
      </c>
      <c r="BE219" s="7">
        <v>100</v>
      </c>
      <c r="BF219" s="7">
        <v>100</v>
      </c>
      <c r="BG219" s="7">
        <v>6.2091886748306502</v>
      </c>
      <c r="BH219" s="7">
        <v>10</v>
      </c>
      <c r="BI219" s="7">
        <v>10</v>
      </c>
      <c r="BJ219" s="7">
        <v>10</v>
      </c>
      <c r="BK219" s="7">
        <v>10</v>
      </c>
      <c r="BL219" s="7">
        <v>100</v>
      </c>
      <c r="BM219" s="7">
        <v>100</v>
      </c>
      <c r="BN219" s="7">
        <v>100</v>
      </c>
      <c r="BO219" s="7">
        <v>100</v>
      </c>
      <c r="BP219" s="6">
        <v>4.8174441469557898</v>
      </c>
      <c r="BQ219" s="6">
        <v>7.8163198208148597</v>
      </c>
      <c r="BR219" s="6">
        <v>10</v>
      </c>
      <c r="BS219" s="6">
        <v>10</v>
      </c>
      <c r="BT219" s="6">
        <v>10</v>
      </c>
      <c r="BU219" s="6">
        <v>100</v>
      </c>
      <c r="BV219" s="6">
        <v>100</v>
      </c>
      <c r="BW219" s="6">
        <v>100</v>
      </c>
      <c r="BX219" s="6">
        <v>100</v>
      </c>
      <c r="BY219" s="6" t="str">
        <f>TRIM(Table1[[#This Row],[LA_Name]])</f>
        <v>Islington</v>
      </c>
      <c r="BZ219" s="7">
        <v>15.348288402425601</v>
      </c>
      <c r="CA219" s="7">
        <v>1.93494778047766</v>
      </c>
      <c r="CB219" s="7">
        <v>9.5928058810535308</v>
      </c>
      <c r="CC219" s="7">
        <v>10</v>
      </c>
      <c r="CD219" s="7">
        <v>10</v>
      </c>
      <c r="CE219" s="7">
        <v>38.197052281168602</v>
      </c>
      <c r="CF219" s="7">
        <v>99.699988184466207</v>
      </c>
      <c r="CG219" s="7">
        <v>100</v>
      </c>
      <c r="CH219" s="7">
        <v>100</v>
      </c>
      <c r="CI219" s="7">
        <v>11.537751357960101</v>
      </c>
      <c r="CJ219" s="7">
        <v>4.7371814300905699</v>
      </c>
      <c r="CK219" s="7">
        <v>10</v>
      </c>
      <c r="CL219" s="7">
        <v>10</v>
      </c>
      <c r="CM219" s="7">
        <v>10</v>
      </c>
      <c r="CN219" s="7">
        <v>79.505699710776298</v>
      </c>
      <c r="CO219" s="7">
        <v>100</v>
      </c>
      <c r="CP219" s="7">
        <v>100</v>
      </c>
      <c r="CQ219" s="7">
        <v>100</v>
      </c>
      <c r="CR219" s="7">
        <v>9.2823738929608197</v>
      </c>
      <c r="CS219" s="7">
        <v>7.70104644532233</v>
      </c>
      <c r="CT219" s="7">
        <v>10</v>
      </c>
      <c r="CU219" s="7">
        <v>10</v>
      </c>
      <c r="CV219" s="7">
        <v>10</v>
      </c>
      <c r="CW219" s="7">
        <v>100</v>
      </c>
      <c r="CX219" s="7">
        <v>100</v>
      </c>
      <c r="CY219" s="7">
        <v>100</v>
      </c>
      <c r="CZ219" s="7">
        <v>100</v>
      </c>
      <c r="DA219" s="9">
        <v>20.954541152786302</v>
      </c>
      <c r="DB219" s="9">
        <v>1.7677322908265201</v>
      </c>
      <c r="DC219" s="9">
        <v>4.2149451091395704</v>
      </c>
      <c r="DD219" s="9">
        <v>7.4316882342969004</v>
      </c>
      <c r="DE219" s="9">
        <v>9.6971421819695003</v>
      </c>
      <c r="DF219" s="9">
        <v>33.651667788286197</v>
      </c>
      <c r="DG219" s="9">
        <v>72.950133310044706</v>
      </c>
      <c r="DH219" s="9">
        <v>99.129246528544797</v>
      </c>
      <c r="DI219" s="9">
        <v>100</v>
      </c>
    </row>
    <row r="220" spans="1:113">
      <c r="A220" s="5" t="s">
        <v>540</v>
      </c>
      <c r="B220" s="5" t="s">
        <v>555</v>
      </c>
      <c r="C220" s="5" t="s">
        <v>556</v>
      </c>
      <c r="D220" s="6">
        <v>118573</v>
      </c>
      <c r="E220" s="7">
        <v>5.0155974805423096</v>
      </c>
      <c r="F220" s="7">
        <v>7.15836657586466</v>
      </c>
      <c r="G220" s="7">
        <v>10</v>
      </c>
      <c r="H220" s="7">
        <v>10</v>
      </c>
      <c r="I220" s="7">
        <v>10</v>
      </c>
      <c r="J220" s="7">
        <v>99.308442900154304</v>
      </c>
      <c r="K220" s="7">
        <v>100</v>
      </c>
      <c r="L220" s="7">
        <v>100</v>
      </c>
      <c r="M220" s="7">
        <v>100</v>
      </c>
      <c r="N220" s="7">
        <v>6.6759192171069701</v>
      </c>
      <c r="O220" s="7">
        <v>9.9927639513211304</v>
      </c>
      <c r="P220" s="7">
        <v>10</v>
      </c>
      <c r="Q220" s="7">
        <v>10</v>
      </c>
      <c r="R220" s="7">
        <v>10</v>
      </c>
      <c r="S220" s="7">
        <v>100</v>
      </c>
      <c r="T220" s="7">
        <v>100</v>
      </c>
      <c r="U220" s="7">
        <v>100</v>
      </c>
      <c r="V220" s="7">
        <v>100</v>
      </c>
      <c r="W220" s="7">
        <v>6.4354721426659198</v>
      </c>
      <c r="X220" s="7">
        <v>10</v>
      </c>
      <c r="Y220" s="7">
        <v>10</v>
      </c>
      <c r="Z220" s="7">
        <v>10</v>
      </c>
      <c r="AA220" s="7">
        <v>10</v>
      </c>
      <c r="AB220" s="7">
        <v>100</v>
      </c>
      <c r="AC220" s="7">
        <v>100</v>
      </c>
      <c r="AD220" s="7">
        <v>100</v>
      </c>
      <c r="AE220" s="7">
        <v>100</v>
      </c>
      <c r="AF220" s="6">
        <v>5.0192210703157203</v>
      </c>
      <c r="AG220" s="6">
        <v>6.5266544660251498</v>
      </c>
      <c r="AH220" s="6">
        <v>10</v>
      </c>
      <c r="AI220" s="6">
        <v>10</v>
      </c>
      <c r="AJ220" s="6">
        <v>10</v>
      </c>
      <c r="AK220" s="6">
        <v>99.308442900154304</v>
      </c>
      <c r="AL220" s="6">
        <v>100</v>
      </c>
      <c r="AM220" s="6">
        <v>100</v>
      </c>
      <c r="AN220" s="6">
        <v>100</v>
      </c>
      <c r="AO220" s="6">
        <v>3.22467965616833</v>
      </c>
      <c r="AP220" s="7">
        <v>9.7001087937388792</v>
      </c>
      <c r="AQ220" s="7">
        <v>10</v>
      </c>
      <c r="AR220" s="7">
        <v>10</v>
      </c>
      <c r="AS220" s="7">
        <v>10</v>
      </c>
      <c r="AT220" s="7">
        <v>100</v>
      </c>
      <c r="AU220" s="7">
        <v>100</v>
      </c>
      <c r="AV220" s="7">
        <v>100</v>
      </c>
      <c r="AW220" s="7">
        <v>100</v>
      </c>
      <c r="AX220" s="7">
        <v>6.0825113686212902</v>
      </c>
      <c r="AY220" s="7">
        <v>9.9975879837737107</v>
      </c>
      <c r="AZ220" s="7">
        <v>10</v>
      </c>
      <c r="BA220" s="7">
        <v>10</v>
      </c>
      <c r="BB220" s="7">
        <v>10</v>
      </c>
      <c r="BC220" s="7">
        <v>100</v>
      </c>
      <c r="BD220" s="7">
        <v>100</v>
      </c>
      <c r="BE220" s="7">
        <v>100</v>
      </c>
      <c r="BF220" s="7">
        <v>100</v>
      </c>
      <c r="BG220" s="7">
        <v>5.96162067781873</v>
      </c>
      <c r="BH220" s="7">
        <v>10</v>
      </c>
      <c r="BI220" s="7">
        <v>10</v>
      </c>
      <c r="BJ220" s="7">
        <v>10</v>
      </c>
      <c r="BK220" s="7">
        <v>10</v>
      </c>
      <c r="BL220" s="7">
        <v>100</v>
      </c>
      <c r="BM220" s="7">
        <v>100</v>
      </c>
      <c r="BN220" s="7">
        <v>100</v>
      </c>
      <c r="BO220" s="7">
        <v>100</v>
      </c>
      <c r="BP220" s="6">
        <v>3.22467965616833</v>
      </c>
      <c r="BQ220" s="6">
        <v>9.5735369772207797</v>
      </c>
      <c r="BR220" s="6">
        <v>10</v>
      </c>
      <c r="BS220" s="6">
        <v>10</v>
      </c>
      <c r="BT220" s="6">
        <v>10</v>
      </c>
      <c r="BU220" s="6">
        <v>100</v>
      </c>
      <c r="BV220" s="6">
        <v>100</v>
      </c>
      <c r="BW220" s="6">
        <v>100</v>
      </c>
      <c r="BX220" s="6">
        <v>100</v>
      </c>
      <c r="BY220" s="6" t="str">
        <f>TRIM(Table1[[#This Row],[LA_Name]])</f>
        <v>Kensington and Chelsea</v>
      </c>
      <c r="BZ220" s="7">
        <v>11.8558967026365</v>
      </c>
      <c r="CA220" s="7">
        <v>1.24994728985519</v>
      </c>
      <c r="CB220" s="7">
        <v>9.7674344074958004</v>
      </c>
      <c r="CC220" s="7">
        <v>10</v>
      </c>
      <c r="CD220" s="7">
        <v>10</v>
      </c>
      <c r="CE220" s="7">
        <v>71.119057458274696</v>
      </c>
      <c r="CF220" s="7">
        <v>100</v>
      </c>
      <c r="CG220" s="7">
        <v>100</v>
      </c>
      <c r="CH220" s="7">
        <v>100</v>
      </c>
      <c r="CI220" s="7">
        <v>9.2291756122169595</v>
      </c>
      <c r="CJ220" s="7">
        <v>5.87709680956036</v>
      </c>
      <c r="CK220" s="7">
        <v>10</v>
      </c>
      <c r="CL220" s="7">
        <v>10</v>
      </c>
      <c r="CM220" s="7">
        <v>10</v>
      </c>
      <c r="CN220" s="7">
        <v>99.758798377370894</v>
      </c>
      <c r="CO220" s="7">
        <v>100</v>
      </c>
      <c r="CP220" s="7">
        <v>100</v>
      </c>
      <c r="CQ220" s="7">
        <v>100</v>
      </c>
      <c r="CR220" s="7">
        <v>9.2115195587472307</v>
      </c>
      <c r="CS220" s="7">
        <v>7.5851247754547799</v>
      </c>
      <c r="CT220" s="7">
        <v>10</v>
      </c>
      <c r="CU220" s="7">
        <v>10</v>
      </c>
      <c r="CV220" s="7">
        <v>10</v>
      </c>
      <c r="CW220" s="7">
        <v>100</v>
      </c>
      <c r="CX220" s="7">
        <v>100</v>
      </c>
      <c r="CY220" s="7">
        <v>100</v>
      </c>
      <c r="CZ220" s="7">
        <v>100</v>
      </c>
      <c r="DA220" s="9">
        <v>12.995040955271699</v>
      </c>
      <c r="DB220" s="9">
        <v>1.04241269091614</v>
      </c>
      <c r="DC220" s="9">
        <v>5.0818989145927</v>
      </c>
      <c r="DD220" s="9">
        <v>9.4189992662747795</v>
      </c>
      <c r="DE220" s="9">
        <v>10</v>
      </c>
      <c r="DF220" s="9">
        <v>64.6496251254501</v>
      </c>
      <c r="DG220" s="9">
        <v>100</v>
      </c>
      <c r="DH220" s="9">
        <v>100</v>
      </c>
      <c r="DI220" s="9">
        <v>100</v>
      </c>
    </row>
    <row r="221" spans="1:113">
      <c r="A221" s="5" t="s">
        <v>540</v>
      </c>
      <c r="B221" s="5" t="s">
        <v>557</v>
      </c>
      <c r="C221" s="5" t="s">
        <v>558</v>
      </c>
      <c r="D221" s="6">
        <v>257459</v>
      </c>
      <c r="E221" s="7">
        <v>4.5235231216617802</v>
      </c>
      <c r="F221" s="7">
        <v>8.6065198730671693</v>
      </c>
      <c r="G221" s="7">
        <v>10</v>
      </c>
      <c r="H221" s="7">
        <v>10</v>
      </c>
      <c r="I221" s="7">
        <v>10</v>
      </c>
      <c r="J221" s="7">
        <v>98.540738525357398</v>
      </c>
      <c r="K221" s="7">
        <v>100</v>
      </c>
      <c r="L221" s="7">
        <v>100</v>
      </c>
      <c r="M221" s="7">
        <v>100</v>
      </c>
      <c r="N221" s="7">
        <v>6.5991278930194097</v>
      </c>
      <c r="O221" s="7">
        <v>9.9911209163400798</v>
      </c>
      <c r="P221" s="7">
        <v>10</v>
      </c>
      <c r="Q221" s="7">
        <v>10</v>
      </c>
      <c r="R221" s="7">
        <v>10</v>
      </c>
      <c r="S221" s="7">
        <v>100</v>
      </c>
      <c r="T221" s="7">
        <v>100</v>
      </c>
      <c r="U221" s="7">
        <v>100</v>
      </c>
      <c r="V221" s="7">
        <v>100</v>
      </c>
      <c r="W221" s="7">
        <v>6.2226077586452799</v>
      </c>
      <c r="X221" s="7">
        <v>10</v>
      </c>
      <c r="Y221" s="7">
        <v>10</v>
      </c>
      <c r="Z221" s="7">
        <v>10</v>
      </c>
      <c r="AA221" s="7">
        <v>10</v>
      </c>
      <c r="AB221" s="7">
        <v>100</v>
      </c>
      <c r="AC221" s="7">
        <v>100</v>
      </c>
      <c r="AD221" s="7">
        <v>100</v>
      </c>
      <c r="AE221" s="7">
        <v>100</v>
      </c>
      <c r="AF221" s="6">
        <v>4.6507676586607598</v>
      </c>
      <c r="AG221" s="6">
        <v>8.2543395259051007</v>
      </c>
      <c r="AH221" s="6">
        <v>9.9740230483300305</v>
      </c>
      <c r="AI221" s="6">
        <v>10</v>
      </c>
      <c r="AJ221" s="6">
        <v>10</v>
      </c>
      <c r="AK221" s="6">
        <v>97.725851494801105</v>
      </c>
      <c r="AL221" s="6">
        <v>100</v>
      </c>
      <c r="AM221" s="6">
        <v>100</v>
      </c>
      <c r="AN221" s="6">
        <v>100</v>
      </c>
      <c r="AO221" s="6">
        <v>6.1198355834596798</v>
      </c>
      <c r="AP221" s="7">
        <v>5.99083349193464</v>
      </c>
      <c r="AQ221" s="7">
        <v>10</v>
      </c>
      <c r="AR221" s="7">
        <v>10</v>
      </c>
      <c r="AS221" s="7">
        <v>10</v>
      </c>
      <c r="AT221" s="7">
        <v>98.892639216341195</v>
      </c>
      <c r="AU221" s="7">
        <v>100</v>
      </c>
      <c r="AV221" s="7">
        <v>100</v>
      </c>
      <c r="AW221" s="7">
        <v>100</v>
      </c>
      <c r="AX221" s="7">
        <v>7.1062419961062702</v>
      </c>
      <c r="AY221" s="7">
        <v>9.9225663115292093</v>
      </c>
      <c r="AZ221" s="7">
        <v>10</v>
      </c>
      <c r="BA221" s="7">
        <v>10</v>
      </c>
      <c r="BB221" s="7">
        <v>10</v>
      </c>
      <c r="BC221" s="7">
        <v>100</v>
      </c>
      <c r="BD221" s="7">
        <v>100</v>
      </c>
      <c r="BE221" s="7">
        <v>100</v>
      </c>
      <c r="BF221" s="7">
        <v>100</v>
      </c>
      <c r="BG221" s="7">
        <v>6.5226603922052497</v>
      </c>
      <c r="BH221" s="7">
        <v>10</v>
      </c>
      <c r="BI221" s="7">
        <v>10</v>
      </c>
      <c r="BJ221" s="7">
        <v>10</v>
      </c>
      <c r="BK221" s="7">
        <v>10</v>
      </c>
      <c r="BL221" s="7">
        <v>100</v>
      </c>
      <c r="BM221" s="7">
        <v>100</v>
      </c>
      <c r="BN221" s="7">
        <v>100</v>
      </c>
      <c r="BO221" s="7">
        <v>100</v>
      </c>
      <c r="BP221" s="6">
        <v>6.1352371819460103</v>
      </c>
      <c r="BQ221" s="6">
        <v>5.4520797486201698</v>
      </c>
      <c r="BR221" s="6">
        <v>9.8776776108040494</v>
      </c>
      <c r="BS221" s="6">
        <v>10</v>
      </c>
      <c r="BT221" s="6">
        <v>10</v>
      </c>
      <c r="BU221" s="6">
        <v>98.818064235470501</v>
      </c>
      <c r="BV221" s="6">
        <v>100</v>
      </c>
      <c r="BW221" s="6">
        <v>100</v>
      </c>
      <c r="BX221" s="6">
        <v>100</v>
      </c>
      <c r="BY221" s="6" t="str">
        <f>TRIM(Table1[[#This Row],[LA_Name]])</f>
        <v>Lambeth</v>
      </c>
      <c r="BZ221" s="7">
        <v>21.620163587624798</v>
      </c>
      <c r="CA221" s="7">
        <v>0.72145079410702295</v>
      </c>
      <c r="CB221" s="7">
        <v>5.5064612229519998</v>
      </c>
      <c r="CC221" s="7">
        <v>9.9067424327756992</v>
      </c>
      <c r="CD221" s="7">
        <v>10</v>
      </c>
      <c r="CE221" s="7">
        <v>24.016251131248101</v>
      </c>
      <c r="CF221" s="7">
        <v>79.734248948376205</v>
      </c>
      <c r="CG221" s="7">
        <v>100</v>
      </c>
      <c r="CH221" s="7">
        <v>100</v>
      </c>
      <c r="CI221" s="7">
        <v>15.166524233015799</v>
      </c>
      <c r="CJ221" s="7">
        <v>2.2554736870725098</v>
      </c>
      <c r="CK221" s="7">
        <v>8.2321418167552896</v>
      </c>
      <c r="CL221" s="7">
        <v>10</v>
      </c>
      <c r="CM221" s="7">
        <v>10</v>
      </c>
      <c r="CN221" s="7">
        <v>47.357443321072502</v>
      </c>
      <c r="CO221" s="7">
        <v>100</v>
      </c>
      <c r="CP221" s="7">
        <v>100</v>
      </c>
      <c r="CQ221" s="7">
        <v>100</v>
      </c>
      <c r="CR221" s="7">
        <v>12.021570151874201</v>
      </c>
      <c r="CS221" s="7">
        <v>3.1755968911554899</v>
      </c>
      <c r="CT221" s="7">
        <v>10</v>
      </c>
      <c r="CU221" s="7">
        <v>10</v>
      </c>
      <c r="CV221" s="7">
        <v>10</v>
      </c>
      <c r="CW221" s="7">
        <v>77.123347795182895</v>
      </c>
      <c r="CX221" s="7">
        <v>100</v>
      </c>
      <c r="CY221" s="7">
        <v>100</v>
      </c>
      <c r="CZ221" s="7">
        <v>100</v>
      </c>
      <c r="DA221" s="9">
        <v>32.8434766752531</v>
      </c>
      <c r="DB221" s="9">
        <v>0.62661239265281099</v>
      </c>
      <c r="DC221" s="9">
        <v>2.0724464866250498</v>
      </c>
      <c r="DD221" s="9">
        <v>3.77508263451656</v>
      </c>
      <c r="DE221" s="9">
        <v>5.84181170594153</v>
      </c>
      <c r="DF221" s="9">
        <v>22.692156809433701</v>
      </c>
      <c r="DG221" s="9">
        <v>44.6517697963559</v>
      </c>
      <c r="DH221" s="9">
        <v>67.162150089917205</v>
      </c>
      <c r="DI221" s="9">
        <v>93.521298536854403</v>
      </c>
    </row>
    <row r="222" spans="1:113">
      <c r="A222" s="5" t="s">
        <v>540</v>
      </c>
      <c r="B222" s="5" t="s">
        <v>559</v>
      </c>
      <c r="C222" s="5" t="s">
        <v>560</v>
      </c>
      <c r="D222" s="6">
        <v>229958</v>
      </c>
      <c r="E222" s="7">
        <v>4.6424520159076401</v>
      </c>
      <c r="F222" s="7">
        <v>7.7601083676149596</v>
      </c>
      <c r="G222" s="7">
        <v>10</v>
      </c>
      <c r="H222" s="7">
        <v>10</v>
      </c>
      <c r="I222" s="7">
        <v>10</v>
      </c>
      <c r="J222" s="7">
        <v>100</v>
      </c>
      <c r="K222" s="7">
        <v>100</v>
      </c>
      <c r="L222" s="7">
        <v>100</v>
      </c>
      <c r="M222" s="7">
        <v>100</v>
      </c>
      <c r="N222" s="7">
        <v>6.5947191874014797</v>
      </c>
      <c r="O222" s="7">
        <v>10</v>
      </c>
      <c r="P222" s="7">
        <v>10</v>
      </c>
      <c r="Q222" s="7">
        <v>10</v>
      </c>
      <c r="R222" s="7">
        <v>10</v>
      </c>
      <c r="S222" s="7">
        <v>100</v>
      </c>
      <c r="T222" s="7">
        <v>100</v>
      </c>
      <c r="U222" s="7">
        <v>100</v>
      </c>
      <c r="V222" s="7">
        <v>100</v>
      </c>
      <c r="W222" s="7">
        <v>6.1254592498424802</v>
      </c>
      <c r="X222" s="7">
        <v>10</v>
      </c>
      <c r="Y222" s="7">
        <v>10</v>
      </c>
      <c r="Z222" s="7">
        <v>10</v>
      </c>
      <c r="AA222" s="7">
        <v>10</v>
      </c>
      <c r="AB222" s="7">
        <v>100</v>
      </c>
      <c r="AC222" s="7">
        <v>100</v>
      </c>
      <c r="AD222" s="7">
        <v>100</v>
      </c>
      <c r="AE222" s="7">
        <v>100</v>
      </c>
      <c r="AF222" s="6">
        <v>4.6447406090592303</v>
      </c>
      <c r="AG222" s="6">
        <v>7.0907252628740904</v>
      </c>
      <c r="AH222" s="6">
        <v>10</v>
      </c>
      <c r="AI222" s="6">
        <v>10</v>
      </c>
      <c r="AJ222" s="6">
        <v>10</v>
      </c>
      <c r="AK222" s="6">
        <v>100</v>
      </c>
      <c r="AL222" s="6">
        <v>100</v>
      </c>
      <c r="AM222" s="6">
        <v>100</v>
      </c>
      <c r="AN222" s="6">
        <v>100</v>
      </c>
      <c r="AO222" s="6">
        <v>8.7606127243731908</v>
      </c>
      <c r="AP222" s="7">
        <v>2.8078431713617298</v>
      </c>
      <c r="AQ222" s="7">
        <v>9.9508214543525302</v>
      </c>
      <c r="AR222" s="7">
        <v>10</v>
      </c>
      <c r="AS222" s="7">
        <v>10</v>
      </c>
      <c r="AT222" s="7">
        <v>92.548639316744797</v>
      </c>
      <c r="AU222" s="7">
        <v>100</v>
      </c>
      <c r="AV222" s="7">
        <v>100</v>
      </c>
      <c r="AW222" s="7">
        <v>100</v>
      </c>
      <c r="AX222" s="7">
        <v>7.9955536746169198</v>
      </c>
      <c r="AY222" s="7">
        <v>8.6527191922003208</v>
      </c>
      <c r="AZ222" s="7">
        <v>10</v>
      </c>
      <c r="BA222" s="7">
        <v>10</v>
      </c>
      <c r="BB222" s="7">
        <v>10</v>
      </c>
      <c r="BC222" s="7">
        <v>100</v>
      </c>
      <c r="BD222" s="7">
        <v>100</v>
      </c>
      <c r="BE222" s="7">
        <v>100</v>
      </c>
      <c r="BF222" s="7">
        <v>100</v>
      </c>
      <c r="BG222" s="7">
        <v>7.1582554525645499</v>
      </c>
      <c r="BH222" s="7">
        <v>10</v>
      </c>
      <c r="BI222" s="7">
        <v>10</v>
      </c>
      <c r="BJ222" s="7">
        <v>10</v>
      </c>
      <c r="BK222" s="7">
        <v>10</v>
      </c>
      <c r="BL222" s="7">
        <v>100</v>
      </c>
      <c r="BM222" s="7">
        <v>100</v>
      </c>
      <c r="BN222" s="7">
        <v>100</v>
      </c>
      <c r="BO222" s="7">
        <v>100</v>
      </c>
      <c r="BP222" s="6">
        <v>8.8993912305860796</v>
      </c>
      <c r="BQ222" s="6">
        <v>2.3455109193852799</v>
      </c>
      <c r="BR222" s="6">
        <v>8.24007427443272</v>
      </c>
      <c r="BS222" s="6">
        <v>9.9991694135450793</v>
      </c>
      <c r="BT222" s="6">
        <v>10</v>
      </c>
      <c r="BU222" s="6">
        <v>90.006870819888803</v>
      </c>
      <c r="BV222" s="6">
        <v>100</v>
      </c>
      <c r="BW222" s="6">
        <v>100</v>
      </c>
      <c r="BX222" s="6">
        <v>100</v>
      </c>
      <c r="BY222" s="6" t="str">
        <f>TRIM(Table1[[#This Row],[LA_Name]])</f>
        <v>Lewisham</v>
      </c>
      <c r="BZ222" s="7">
        <v>28.334675925167801</v>
      </c>
      <c r="CA222" s="7">
        <v>3.4006209829621102E-3</v>
      </c>
      <c r="CB222" s="7">
        <v>2.2357560945911898</v>
      </c>
      <c r="CC222" s="7">
        <v>9.5110759356056302</v>
      </c>
      <c r="CD222" s="7">
        <v>10</v>
      </c>
      <c r="CE222" s="7">
        <v>0.34006209829621098</v>
      </c>
      <c r="CF222" s="7">
        <v>62.557510501917697</v>
      </c>
      <c r="CG222" s="7">
        <v>100</v>
      </c>
      <c r="CH222" s="7">
        <v>100</v>
      </c>
      <c r="CI222" s="7">
        <v>21.584846258443399</v>
      </c>
      <c r="CJ222" s="7">
        <v>3.7232886005270499E-2</v>
      </c>
      <c r="CK222" s="7">
        <v>4.6198088346567596</v>
      </c>
      <c r="CL222" s="7">
        <v>9.7952017324902805</v>
      </c>
      <c r="CM222" s="7">
        <v>10</v>
      </c>
      <c r="CN222" s="7">
        <v>3.4841144904721699</v>
      </c>
      <c r="CO222" s="7">
        <v>100</v>
      </c>
      <c r="CP222" s="7">
        <v>100</v>
      </c>
      <c r="CQ222" s="7">
        <v>100</v>
      </c>
      <c r="CR222" s="7">
        <v>16.233599930438899</v>
      </c>
      <c r="CS222" s="7">
        <v>0.48559302133433102</v>
      </c>
      <c r="CT222" s="7">
        <v>9.4084615451517202</v>
      </c>
      <c r="CU222" s="7">
        <v>10</v>
      </c>
      <c r="CV222" s="7">
        <v>10</v>
      </c>
      <c r="CW222" s="7">
        <v>30.355543186146999</v>
      </c>
      <c r="CX222" s="7">
        <v>100</v>
      </c>
      <c r="CY222" s="7">
        <v>100</v>
      </c>
      <c r="CZ222" s="7">
        <v>100</v>
      </c>
      <c r="DA222" s="9">
        <v>53.564479966578702</v>
      </c>
      <c r="DB222" s="9">
        <v>0</v>
      </c>
      <c r="DC222" s="9">
        <v>2.2043155706694299E-2</v>
      </c>
      <c r="DD222" s="9">
        <v>0.40489567660181403</v>
      </c>
      <c r="DE222" s="9">
        <v>1.9897329077483701</v>
      </c>
      <c r="DF222" s="9">
        <v>0</v>
      </c>
      <c r="DG222" s="9">
        <v>2.1164734429765399</v>
      </c>
      <c r="DH222" s="9">
        <v>27.769418763426401</v>
      </c>
      <c r="DI222" s="9">
        <v>66.777846389340695</v>
      </c>
    </row>
    <row r="223" spans="1:113">
      <c r="A223" s="5" t="s">
        <v>540</v>
      </c>
      <c r="B223" s="5" t="s">
        <v>561</v>
      </c>
      <c r="C223" s="5" t="s">
        <v>562</v>
      </c>
      <c r="D223" s="6">
        <v>263482</v>
      </c>
      <c r="E223" s="7">
        <v>4.1826144510809504</v>
      </c>
      <c r="F223" s="7">
        <v>8.3261399260670608</v>
      </c>
      <c r="G223" s="7">
        <v>10</v>
      </c>
      <c r="H223" s="7">
        <v>10</v>
      </c>
      <c r="I223" s="7">
        <v>10</v>
      </c>
      <c r="J223" s="7">
        <v>99.995445609187698</v>
      </c>
      <c r="K223" s="7">
        <v>100</v>
      </c>
      <c r="L223" s="7">
        <v>100</v>
      </c>
      <c r="M223" s="7">
        <v>100</v>
      </c>
      <c r="N223" s="7">
        <v>6.4374085810533703</v>
      </c>
      <c r="O223" s="7">
        <v>9.7378416741940601</v>
      </c>
      <c r="P223" s="7">
        <v>10</v>
      </c>
      <c r="Q223" s="7">
        <v>10</v>
      </c>
      <c r="R223" s="7">
        <v>10</v>
      </c>
      <c r="S223" s="7">
        <v>100</v>
      </c>
      <c r="T223" s="7">
        <v>100</v>
      </c>
      <c r="U223" s="7">
        <v>100</v>
      </c>
      <c r="V223" s="7">
        <v>100</v>
      </c>
      <c r="W223" s="7">
        <v>6.05985156196944</v>
      </c>
      <c r="X223" s="7">
        <v>10</v>
      </c>
      <c r="Y223" s="7">
        <v>10</v>
      </c>
      <c r="Z223" s="7">
        <v>10</v>
      </c>
      <c r="AA223" s="7">
        <v>10</v>
      </c>
      <c r="AB223" s="7">
        <v>100</v>
      </c>
      <c r="AC223" s="7">
        <v>100</v>
      </c>
      <c r="AD223" s="7">
        <v>100</v>
      </c>
      <c r="AE223" s="7">
        <v>100</v>
      </c>
      <c r="AF223" s="6">
        <v>4.2087528969392896</v>
      </c>
      <c r="AG223" s="6">
        <v>7.9410358202837399</v>
      </c>
      <c r="AH223" s="6">
        <v>9.8311952998686802</v>
      </c>
      <c r="AI223" s="6">
        <v>10</v>
      </c>
      <c r="AJ223" s="6">
        <v>10</v>
      </c>
      <c r="AK223" s="6">
        <v>99.412483585216407</v>
      </c>
      <c r="AL223" s="6">
        <v>100</v>
      </c>
      <c r="AM223" s="6">
        <v>100</v>
      </c>
      <c r="AN223" s="6">
        <v>100</v>
      </c>
      <c r="AO223" s="6">
        <v>7.0263697852488898</v>
      </c>
      <c r="AP223" s="7">
        <v>3.9305796980438901</v>
      </c>
      <c r="AQ223" s="7">
        <v>10</v>
      </c>
      <c r="AR223" s="7">
        <v>10</v>
      </c>
      <c r="AS223" s="7">
        <v>10</v>
      </c>
      <c r="AT223" s="7">
        <v>98.817756051646796</v>
      </c>
      <c r="AU223" s="7">
        <v>100</v>
      </c>
      <c r="AV223" s="7">
        <v>100</v>
      </c>
      <c r="AW223" s="7">
        <v>100</v>
      </c>
      <c r="AX223" s="7">
        <v>7.3475444666236696</v>
      </c>
      <c r="AY223" s="7">
        <v>9.5846851018285903</v>
      </c>
      <c r="AZ223" s="7">
        <v>10</v>
      </c>
      <c r="BA223" s="7">
        <v>10</v>
      </c>
      <c r="BB223" s="7">
        <v>10</v>
      </c>
      <c r="BC223" s="7">
        <v>100</v>
      </c>
      <c r="BD223" s="7">
        <v>100</v>
      </c>
      <c r="BE223" s="7">
        <v>100</v>
      </c>
      <c r="BF223" s="7">
        <v>100</v>
      </c>
      <c r="BG223" s="7">
        <v>6.6181931243586103</v>
      </c>
      <c r="BH223" s="7">
        <v>10</v>
      </c>
      <c r="BI223" s="7">
        <v>10</v>
      </c>
      <c r="BJ223" s="7">
        <v>10</v>
      </c>
      <c r="BK223" s="7">
        <v>10</v>
      </c>
      <c r="BL223" s="7">
        <v>100</v>
      </c>
      <c r="BM223" s="7">
        <v>100</v>
      </c>
      <c r="BN223" s="7">
        <v>100</v>
      </c>
      <c r="BO223" s="7">
        <v>100</v>
      </c>
      <c r="BP223" s="6">
        <v>7.07303380894305</v>
      </c>
      <c r="BQ223" s="6">
        <v>3.1241640795196601</v>
      </c>
      <c r="BR223" s="6">
        <v>9.7009473132889497</v>
      </c>
      <c r="BS223" s="6">
        <v>10</v>
      </c>
      <c r="BT223" s="6">
        <v>10</v>
      </c>
      <c r="BU223" s="6">
        <v>98.0044177590879</v>
      </c>
      <c r="BV223" s="6">
        <v>100</v>
      </c>
      <c r="BW223" s="6">
        <v>100</v>
      </c>
      <c r="BX223" s="6">
        <v>100</v>
      </c>
      <c r="BY223" s="6" t="str">
        <f>TRIM(Table1[[#This Row],[LA_Name]])</f>
        <v>Newham</v>
      </c>
      <c r="BZ223" s="7">
        <v>18.7025160198497</v>
      </c>
      <c r="CA223" s="7">
        <v>0.42347105305106197</v>
      </c>
      <c r="CB223" s="7">
        <v>4.39238733575728</v>
      </c>
      <c r="CC223" s="7">
        <v>9.8894497536833601</v>
      </c>
      <c r="CD223" s="7">
        <v>10</v>
      </c>
      <c r="CE223" s="7">
        <v>23.896509059442401</v>
      </c>
      <c r="CF223" s="7">
        <v>99.414001715487203</v>
      </c>
      <c r="CG223" s="7">
        <v>100</v>
      </c>
      <c r="CH223" s="7">
        <v>100</v>
      </c>
      <c r="CI223" s="7">
        <v>12.842757539472</v>
      </c>
      <c r="CJ223" s="7">
        <v>1.54189660014726</v>
      </c>
      <c r="CK223" s="7">
        <v>8.8871535816488407</v>
      </c>
      <c r="CL223" s="7">
        <v>10</v>
      </c>
      <c r="CM223" s="7">
        <v>10</v>
      </c>
      <c r="CN223" s="7">
        <v>66.305098640514302</v>
      </c>
      <c r="CO223" s="7">
        <v>100</v>
      </c>
      <c r="CP223" s="7">
        <v>100</v>
      </c>
      <c r="CQ223" s="7">
        <v>100</v>
      </c>
      <c r="CR223" s="7">
        <v>9.7104840213564891</v>
      </c>
      <c r="CS223" s="7">
        <v>5.3625446899598499</v>
      </c>
      <c r="CT223" s="7">
        <v>10</v>
      </c>
      <c r="CU223" s="7">
        <v>10</v>
      </c>
      <c r="CV223" s="7">
        <v>10</v>
      </c>
      <c r="CW223" s="7">
        <v>100</v>
      </c>
      <c r="CX223" s="7">
        <v>100</v>
      </c>
      <c r="CY223" s="7">
        <v>100</v>
      </c>
      <c r="CZ223" s="7">
        <v>100</v>
      </c>
      <c r="DA223" s="9">
        <v>25.203304559302499</v>
      </c>
      <c r="DB223" s="9">
        <v>0.38486879559135001</v>
      </c>
      <c r="DC223" s="9">
        <v>1.4044261088044001</v>
      </c>
      <c r="DD223" s="9">
        <v>3.0919151972430798</v>
      </c>
      <c r="DE223" s="9">
        <v>5.8045559089425502</v>
      </c>
      <c r="DF223" s="9">
        <v>22.042871998846199</v>
      </c>
      <c r="DG223" s="9">
        <v>57.650997032055301</v>
      </c>
      <c r="DH223" s="9">
        <v>100</v>
      </c>
      <c r="DI223" s="9">
        <v>100</v>
      </c>
    </row>
    <row r="224" spans="1:113">
      <c r="A224" s="5" t="s">
        <v>540</v>
      </c>
      <c r="B224" s="5" t="s">
        <v>563</v>
      </c>
      <c r="C224" s="5" t="s">
        <v>564</v>
      </c>
      <c r="D224" s="6">
        <v>247533</v>
      </c>
      <c r="E224" s="7">
        <v>4.67773807439736</v>
      </c>
      <c r="F224" s="7">
        <v>8.1208040948075606</v>
      </c>
      <c r="G224" s="7">
        <v>10</v>
      </c>
      <c r="H224" s="7">
        <v>10</v>
      </c>
      <c r="I224" s="7">
        <v>10</v>
      </c>
      <c r="J224" s="7">
        <v>98.705223141964893</v>
      </c>
      <c r="K224" s="7">
        <v>100</v>
      </c>
      <c r="L224" s="7">
        <v>100</v>
      </c>
      <c r="M224" s="7">
        <v>100</v>
      </c>
      <c r="N224" s="7">
        <v>6.6540048012940698</v>
      </c>
      <c r="O224" s="7">
        <v>9.9959156960890105</v>
      </c>
      <c r="P224" s="7">
        <v>10</v>
      </c>
      <c r="Q224" s="7">
        <v>10</v>
      </c>
      <c r="R224" s="7">
        <v>10</v>
      </c>
      <c r="S224" s="7">
        <v>100</v>
      </c>
      <c r="T224" s="7">
        <v>100</v>
      </c>
      <c r="U224" s="7">
        <v>100</v>
      </c>
      <c r="V224" s="7">
        <v>100</v>
      </c>
      <c r="W224" s="7">
        <v>6.28222135463756</v>
      </c>
      <c r="X224" s="7">
        <v>10</v>
      </c>
      <c r="Y224" s="7">
        <v>10</v>
      </c>
      <c r="Z224" s="7">
        <v>10</v>
      </c>
      <c r="AA224" s="7">
        <v>10</v>
      </c>
      <c r="AB224" s="7">
        <v>100</v>
      </c>
      <c r="AC224" s="7">
        <v>100</v>
      </c>
      <c r="AD224" s="7">
        <v>100</v>
      </c>
      <c r="AE224" s="7">
        <v>100</v>
      </c>
      <c r="AF224" s="6">
        <v>4.7032558025203004</v>
      </c>
      <c r="AG224" s="6">
        <v>7.6090985848351496</v>
      </c>
      <c r="AH224" s="6">
        <v>9.9748639575329392</v>
      </c>
      <c r="AI224" s="6">
        <v>10</v>
      </c>
      <c r="AJ224" s="6">
        <v>10</v>
      </c>
      <c r="AK224" s="6">
        <v>98.571907584039295</v>
      </c>
      <c r="AL224" s="6">
        <v>100</v>
      </c>
      <c r="AM224" s="6">
        <v>100</v>
      </c>
      <c r="AN224" s="6">
        <v>100</v>
      </c>
      <c r="AO224" s="6">
        <v>6.1220634533649898</v>
      </c>
      <c r="AP224" s="7">
        <v>5.8899015484803998</v>
      </c>
      <c r="AQ224" s="7">
        <v>10</v>
      </c>
      <c r="AR224" s="7">
        <v>10</v>
      </c>
      <c r="AS224" s="7">
        <v>10</v>
      </c>
      <c r="AT224" s="7">
        <v>97.440341287828304</v>
      </c>
      <c r="AU224" s="7">
        <v>100</v>
      </c>
      <c r="AV224" s="7">
        <v>100</v>
      </c>
      <c r="AW224" s="7">
        <v>100</v>
      </c>
      <c r="AX224" s="7">
        <v>7.12039215573117</v>
      </c>
      <c r="AY224" s="7">
        <v>9.8559222406709406</v>
      </c>
      <c r="AZ224" s="7">
        <v>10</v>
      </c>
      <c r="BA224" s="7">
        <v>10</v>
      </c>
      <c r="BB224" s="7">
        <v>10</v>
      </c>
      <c r="BC224" s="7">
        <v>100</v>
      </c>
      <c r="BD224" s="7">
        <v>100</v>
      </c>
      <c r="BE224" s="7">
        <v>100</v>
      </c>
      <c r="BF224" s="7">
        <v>100</v>
      </c>
      <c r="BG224" s="7">
        <v>6.5343468010618002</v>
      </c>
      <c r="BH224" s="7">
        <v>10</v>
      </c>
      <c r="BI224" s="7">
        <v>10</v>
      </c>
      <c r="BJ224" s="7">
        <v>10</v>
      </c>
      <c r="BK224" s="7">
        <v>10</v>
      </c>
      <c r="BL224" s="7">
        <v>100</v>
      </c>
      <c r="BM224" s="7">
        <v>100</v>
      </c>
      <c r="BN224" s="7">
        <v>100</v>
      </c>
      <c r="BO224" s="7">
        <v>100</v>
      </c>
      <c r="BP224" s="6">
        <v>6.2381553226464801</v>
      </c>
      <c r="BQ224" s="6">
        <v>5.3599479665337597</v>
      </c>
      <c r="BR224" s="6">
        <v>9.8276149038713996</v>
      </c>
      <c r="BS224" s="6">
        <v>10</v>
      </c>
      <c r="BT224" s="6">
        <v>10</v>
      </c>
      <c r="BU224" s="6">
        <v>95.912464196692994</v>
      </c>
      <c r="BV224" s="6">
        <v>100</v>
      </c>
      <c r="BW224" s="6">
        <v>100</v>
      </c>
      <c r="BX224" s="6">
        <v>100</v>
      </c>
      <c r="BY224" s="6" t="str">
        <f>TRIM(Table1[[#This Row],[LA_Name]])</f>
        <v>Southwark</v>
      </c>
      <c r="BZ224" s="7">
        <v>16.408720891098898</v>
      </c>
      <c r="CA224" s="7">
        <v>1.5889436963960399</v>
      </c>
      <c r="CB224" s="7">
        <v>7.3867928720615001</v>
      </c>
      <c r="CC224" s="7">
        <v>9.9061862458742898</v>
      </c>
      <c r="CD224" s="7">
        <v>10</v>
      </c>
      <c r="CE224" s="7">
        <v>41.2825764645522</v>
      </c>
      <c r="CF224" s="7">
        <v>96.9692929831578</v>
      </c>
      <c r="CG224" s="7">
        <v>100</v>
      </c>
      <c r="CH224" s="7">
        <v>100</v>
      </c>
      <c r="CI224" s="7">
        <v>11.778046335464699</v>
      </c>
      <c r="CJ224" s="7">
        <v>4.5013149761849904</v>
      </c>
      <c r="CK224" s="7">
        <v>9.6648608468365804</v>
      </c>
      <c r="CL224" s="7">
        <v>10</v>
      </c>
      <c r="CM224" s="7">
        <v>10</v>
      </c>
      <c r="CN224" s="7">
        <v>74.984749508146393</v>
      </c>
      <c r="CO224" s="7">
        <v>100</v>
      </c>
      <c r="CP224" s="7">
        <v>100</v>
      </c>
      <c r="CQ224" s="7">
        <v>100</v>
      </c>
      <c r="CR224" s="7">
        <v>10.2809720874791</v>
      </c>
      <c r="CS224" s="7">
        <v>6.1598736330105499</v>
      </c>
      <c r="CT224" s="7">
        <v>10</v>
      </c>
      <c r="CU224" s="7">
        <v>10</v>
      </c>
      <c r="CV224" s="7">
        <v>10</v>
      </c>
      <c r="CW224" s="7">
        <v>94.656066059878896</v>
      </c>
      <c r="CX224" s="7">
        <v>100</v>
      </c>
      <c r="CY224" s="7">
        <v>100</v>
      </c>
      <c r="CZ224" s="7">
        <v>100</v>
      </c>
      <c r="DA224" s="9">
        <v>21.410664578944601</v>
      </c>
      <c r="DB224" s="9">
        <v>1.4719128358643101</v>
      </c>
      <c r="DC224" s="9">
        <v>4.1809334512973999</v>
      </c>
      <c r="DD224" s="9">
        <v>6.7246670140950897</v>
      </c>
      <c r="DE224" s="9">
        <v>8.4390040923836391</v>
      </c>
      <c r="DF224" s="9">
        <v>40.0556693450974</v>
      </c>
      <c r="DG224" s="9">
        <v>70.778845648862998</v>
      </c>
      <c r="DH224" s="9">
        <v>94.134519437812301</v>
      </c>
      <c r="DI224" s="9">
        <v>98.518177374329895</v>
      </c>
    </row>
    <row r="225" spans="1:113">
      <c r="A225" s="5" t="s">
        <v>540</v>
      </c>
      <c r="B225" s="5" t="s">
        <v>565</v>
      </c>
      <c r="C225" s="5" t="s">
        <v>566</v>
      </c>
      <c r="D225" s="6">
        <v>250474</v>
      </c>
      <c r="E225" s="7">
        <v>4.2176986882558296</v>
      </c>
      <c r="F225" s="7">
        <v>8.0688694235729095</v>
      </c>
      <c r="G225" s="7">
        <v>10</v>
      </c>
      <c r="H225" s="7">
        <v>10</v>
      </c>
      <c r="I225" s="7">
        <v>10</v>
      </c>
      <c r="J225" s="7">
        <v>100</v>
      </c>
      <c r="K225" s="7">
        <v>100</v>
      </c>
      <c r="L225" s="7">
        <v>100</v>
      </c>
      <c r="M225" s="7">
        <v>100</v>
      </c>
      <c r="N225" s="7">
        <v>6.5140852476765998</v>
      </c>
      <c r="O225" s="7">
        <v>10</v>
      </c>
      <c r="P225" s="7">
        <v>10</v>
      </c>
      <c r="Q225" s="7">
        <v>10</v>
      </c>
      <c r="R225" s="7">
        <v>10</v>
      </c>
      <c r="S225" s="7">
        <v>100</v>
      </c>
      <c r="T225" s="7">
        <v>100</v>
      </c>
      <c r="U225" s="7">
        <v>100</v>
      </c>
      <c r="V225" s="7">
        <v>100</v>
      </c>
      <c r="W225" s="7">
        <v>6.0776727985418004</v>
      </c>
      <c r="X225" s="7">
        <v>9.9657928567436098</v>
      </c>
      <c r="Y225" s="7">
        <v>10</v>
      </c>
      <c r="Z225" s="7">
        <v>10</v>
      </c>
      <c r="AA225" s="7">
        <v>10</v>
      </c>
      <c r="AB225" s="7">
        <v>100</v>
      </c>
      <c r="AC225" s="7">
        <v>100</v>
      </c>
      <c r="AD225" s="7">
        <v>100</v>
      </c>
      <c r="AE225" s="7">
        <v>100</v>
      </c>
      <c r="AF225" s="6">
        <v>4.2181478761616003</v>
      </c>
      <c r="AG225" s="6">
        <v>7.2222466204077103</v>
      </c>
      <c r="AH225" s="6">
        <v>10</v>
      </c>
      <c r="AI225" s="6">
        <v>10</v>
      </c>
      <c r="AJ225" s="6">
        <v>10</v>
      </c>
      <c r="AK225" s="6">
        <v>100</v>
      </c>
      <c r="AL225" s="6">
        <v>100</v>
      </c>
      <c r="AM225" s="6">
        <v>100</v>
      </c>
      <c r="AN225" s="6">
        <v>100</v>
      </c>
      <c r="AO225" s="6">
        <v>4.3508914288632203</v>
      </c>
      <c r="AP225" s="7">
        <v>8.0736962718685401</v>
      </c>
      <c r="AQ225" s="7">
        <v>10</v>
      </c>
      <c r="AR225" s="7">
        <v>10</v>
      </c>
      <c r="AS225" s="7">
        <v>10</v>
      </c>
      <c r="AT225" s="7">
        <v>100</v>
      </c>
      <c r="AU225" s="7">
        <v>100</v>
      </c>
      <c r="AV225" s="7">
        <v>100</v>
      </c>
      <c r="AW225" s="7">
        <v>100</v>
      </c>
      <c r="AX225" s="7">
        <v>6.5787285348551698</v>
      </c>
      <c r="AY225" s="7">
        <v>9.7460694523183999</v>
      </c>
      <c r="AZ225" s="7">
        <v>10</v>
      </c>
      <c r="BA225" s="7">
        <v>10</v>
      </c>
      <c r="BB225" s="7">
        <v>10</v>
      </c>
      <c r="BC225" s="7">
        <v>100</v>
      </c>
      <c r="BD225" s="7">
        <v>100</v>
      </c>
      <c r="BE225" s="7">
        <v>100</v>
      </c>
      <c r="BF225" s="7">
        <v>100</v>
      </c>
      <c r="BG225" s="7">
        <v>6.15065956304002</v>
      </c>
      <c r="BH225" s="7">
        <v>9.9786005733130008</v>
      </c>
      <c r="BI225" s="7">
        <v>10</v>
      </c>
      <c r="BJ225" s="7">
        <v>10</v>
      </c>
      <c r="BK225" s="7">
        <v>10</v>
      </c>
      <c r="BL225" s="7">
        <v>100</v>
      </c>
      <c r="BM225" s="7">
        <v>100</v>
      </c>
      <c r="BN225" s="7">
        <v>100</v>
      </c>
      <c r="BO225" s="7">
        <v>100</v>
      </c>
      <c r="BP225" s="6">
        <v>4.4658651631046302</v>
      </c>
      <c r="BQ225" s="6">
        <v>7.33058121801065</v>
      </c>
      <c r="BR225" s="6">
        <v>9.9401614538834409</v>
      </c>
      <c r="BS225" s="6">
        <v>10</v>
      </c>
      <c r="BT225" s="6">
        <v>10</v>
      </c>
      <c r="BU225" s="6">
        <v>98.312399690187405</v>
      </c>
      <c r="BV225" s="6">
        <v>100</v>
      </c>
      <c r="BW225" s="6">
        <v>100</v>
      </c>
      <c r="BX225" s="6">
        <v>100</v>
      </c>
      <c r="BY225" s="6" t="str">
        <f>TRIM(Table1[[#This Row],[LA_Name]])</f>
        <v>Tower Hamlets</v>
      </c>
      <c r="BZ225" s="7">
        <v>11.3857679613954</v>
      </c>
      <c r="CA225" s="7">
        <v>1.3984645112866001</v>
      </c>
      <c r="CB225" s="7">
        <v>9.0640226131255108</v>
      </c>
      <c r="CC225" s="7">
        <v>10</v>
      </c>
      <c r="CD225" s="7">
        <v>10</v>
      </c>
      <c r="CE225" s="7">
        <v>72.926930539696698</v>
      </c>
      <c r="CF225" s="7">
        <v>100</v>
      </c>
      <c r="CG225" s="7">
        <v>100</v>
      </c>
      <c r="CH225" s="7">
        <v>100</v>
      </c>
      <c r="CI225" s="7">
        <v>9.1361890635354204</v>
      </c>
      <c r="CJ225" s="7">
        <v>5.2812307864289298</v>
      </c>
      <c r="CK225" s="7">
        <v>9.9965265855937204</v>
      </c>
      <c r="CL225" s="7">
        <v>10</v>
      </c>
      <c r="CM225" s="7">
        <v>10</v>
      </c>
      <c r="CN225" s="7">
        <v>99.358416442425195</v>
      </c>
      <c r="CO225" s="7">
        <v>100</v>
      </c>
      <c r="CP225" s="7">
        <v>100</v>
      </c>
      <c r="CQ225" s="7">
        <v>100</v>
      </c>
      <c r="CR225" s="7">
        <v>8.0554667281536396</v>
      </c>
      <c r="CS225" s="7">
        <v>8.8683416242803705</v>
      </c>
      <c r="CT225" s="7">
        <v>10</v>
      </c>
      <c r="CU225" s="7">
        <v>10</v>
      </c>
      <c r="CV225" s="7">
        <v>10</v>
      </c>
      <c r="CW225" s="7">
        <v>100</v>
      </c>
      <c r="CX225" s="7">
        <v>100</v>
      </c>
      <c r="CY225" s="7">
        <v>100</v>
      </c>
      <c r="CZ225" s="7">
        <v>100</v>
      </c>
      <c r="DA225" s="9">
        <v>12.600870242536899</v>
      </c>
      <c r="DB225" s="9">
        <v>1.2093989795347999</v>
      </c>
      <c r="DC225" s="9">
        <v>4.7915432340282802</v>
      </c>
      <c r="DD225" s="9">
        <v>8.2792425561136103</v>
      </c>
      <c r="DE225" s="9">
        <v>9.6122671414997196</v>
      </c>
      <c r="DF225" s="9">
        <v>65.782875667734004</v>
      </c>
      <c r="DG225" s="9">
        <v>100</v>
      </c>
      <c r="DH225" s="9">
        <v>100</v>
      </c>
      <c r="DI225" s="9">
        <v>100</v>
      </c>
    </row>
    <row r="226" spans="1:113">
      <c r="A226" s="5" t="s">
        <v>540</v>
      </c>
      <c r="B226" s="5" t="s">
        <v>567</v>
      </c>
      <c r="C226" s="5" t="s">
        <v>568</v>
      </c>
      <c r="D226" s="6">
        <v>255973</v>
      </c>
      <c r="E226" s="7">
        <v>4.1841706281996904</v>
      </c>
      <c r="F226" s="7">
        <v>8.2733374223062608</v>
      </c>
      <c r="G226" s="7">
        <v>10</v>
      </c>
      <c r="H226" s="7">
        <v>10</v>
      </c>
      <c r="I226" s="7">
        <v>10</v>
      </c>
      <c r="J226" s="7">
        <v>99.875768147421795</v>
      </c>
      <c r="K226" s="7">
        <v>100</v>
      </c>
      <c r="L226" s="7">
        <v>100</v>
      </c>
      <c r="M226" s="7">
        <v>100</v>
      </c>
      <c r="N226" s="7">
        <v>6.4395895310858897</v>
      </c>
      <c r="O226" s="7">
        <v>9.9771460271200496</v>
      </c>
      <c r="P226" s="7">
        <v>10</v>
      </c>
      <c r="Q226" s="7">
        <v>10</v>
      </c>
      <c r="R226" s="7">
        <v>10</v>
      </c>
      <c r="S226" s="7">
        <v>100</v>
      </c>
      <c r="T226" s="7">
        <v>100</v>
      </c>
      <c r="U226" s="7">
        <v>100</v>
      </c>
      <c r="V226" s="7">
        <v>100</v>
      </c>
      <c r="W226" s="7">
        <v>6.1484425644777101</v>
      </c>
      <c r="X226" s="7">
        <v>10</v>
      </c>
      <c r="Y226" s="7">
        <v>10</v>
      </c>
      <c r="Z226" s="7">
        <v>10</v>
      </c>
      <c r="AA226" s="7">
        <v>10</v>
      </c>
      <c r="AB226" s="7">
        <v>100</v>
      </c>
      <c r="AC226" s="7">
        <v>100</v>
      </c>
      <c r="AD226" s="7">
        <v>100</v>
      </c>
      <c r="AE226" s="7">
        <v>100</v>
      </c>
      <c r="AF226" s="6">
        <v>4.1995739334973301</v>
      </c>
      <c r="AG226" s="6">
        <v>7.7533567993499304</v>
      </c>
      <c r="AH226" s="6">
        <v>9.9817168216960397</v>
      </c>
      <c r="AI226" s="6">
        <v>10</v>
      </c>
      <c r="AJ226" s="6">
        <v>10</v>
      </c>
      <c r="AK226" s="6">
        <v>99.641759091779207</v>
      </c>
      <c r="AL226" s="6">
        <v>100</v>
      </c>
      <c r="AM226" s="6">
        <v>100</v>
      </c>
      <c r="AN226" s="6">
        <v>100</v>
      </c>
      <c r="AO226" s="6">
        <v>6.2478459478572299</v>
      </c>
      <c r="AP226" s="7">
        <v>5.3859586753290403</v>
      </c>
      <c r="AQ226" s="7">
        <v>9.9984295218636294</v>
      </c>
      <c r="AR226" s="7">
        <v>10</v>
      </c>
      <c r="AS226" s="7">
        <v>10</v>
      </c>
      <c r="AT226" s="7">
        <v>97.6513147871065</v>
      </c>
      <c r="AU226" s="7">
        <v>100</v>
      </c>
      <c r="AV226" s="7">
        <v>100</v>
      </c>
      <c r="AW226" s="7">
        <v>100</v>
      </c>
      <c r="AX226" s="7">
        <v>7.1214230037953197</v>
      </c>
      <c r="AY226" s="7">
        <v>9.7232325284307297</v>
      </c>
      <c r="AZ226" s="7">
        <v>10</v>
      </c>
      <c r="BA226" s="7">
        <v>10</v>
      </c>
      <c r="BB226" s="7">
        <v>10</v>
      </c>
      <c r="BC226" s="7">
        <v>100</v>
      </c>
      <c r="BD226" s="7">
        <v>100</v>
      </c>
      <c r="BE226" s="7">
        <v>100</v>
      </c>
      <c r="BF226" s="7">
        <v>100</v>
      </c>
      <c r="BG226" s="7">
        <v>6.5959657829748704</v>
      </c>
      <c r="BH226" s="7">
        <v>10</v>
      </c>
      <c r="BI226" s="7">
        <v>10</v>
      </c>
      <c r="BJ226" s="7">
        <v>10</v>
      </c>
      <c r="BK226" s="7">
        <v>10</v>
      </c>
      <c r="BL226" s="7">
        <v>100</v>
      </c>
      <c r="BM226" s="7">
        <v>100</v>
      </c>
      <c r="BN226" s="7">
        <v>100</v>
      </c>
      <c r="BO226" s="7">
        <v>100</v>
      </c>
      <c r="BP226" s="6">
        <v>6.3076193174744803</v>
      </c>
      <c r="BQ226" s="6">
        <v>4.7814027260687704</v>
      </c>
      <c r="BR226" s="6">
        <v>9.7061604153563099</v>
      </c>
      <c r="BS226" s="6">
        <v>10</v>
      </c>
      <c r="BT226" s="6">
        <v>10</v>
      </c>
      <c r="BU226" s="6">
        <v>96.715669230739195</v>
      </c>
      <c r="BV226" s="6">
        <v>100</v>
      </c>
      <c r="BW226" s="6">
        <v>100</v>
      </c>
      <c r="BX226" s="6">
        <v>100</v>
      </c>
      <c r="BY226" s="6" t="str">
        <f>TRIM(Table1[[#This Row],[LA_Name]])</f>
        <v>Wandsworth</v>
      </c>
      <c r="BZ226" s="7">
        <v>23.3179362826207</v>
      </c>
      <c r="CA226" s="7">
        <v>8.6083297847819901E-2</v>
      </c>
      <c r="CB226" s="7">
        <v>3.5931719361026402</v>
      </c>
      <c r="CC226" s="7">
        <v>9.8793466498419793</v>
      </c>
      <c r="CD226" s="7">
        <v>10</v>
      </c>
      <c r="CE226" s="7">
        <v>8.3778367249670893</v>
      </c>
      <c r="CF226" s="7">
        <v>89.886042668562695</v>
      </c>
      <c r="CG226" s="7">
        <v>100</v>
      </c>
      <c r="CH226" s="7">
        <v>100</v>
      </c>
      <c r="CI226" s="7">
        <v>16.641529660509299</v>
      </c>
      <c r="CJ226" s="7">
        <v>0.53642767010583103</v>
      </c>
      <c r="CK226" s="7">
        <v>7.6291601067300103</v>
      </c>
      <c r="CL226" s="7">
        <v>10</v>
      </c>
      <c r="CM226" s="7">
        <v>10</v>
      </c>
      <c r="CN226" s="7">
        <v>32.821039719032903</v>
      </c>
      <c r="CO226" s="7">
        <v>100</v>
      </c>
      <c r="CP226" s="7">
        <v>100</v>
      </c>
      <c r="CQ226" s="7">
        <v>100</v>
      </c>
      <c r="CR226" s="7">
        <v>13.7911315029699</v>
      </c>
      <c r="CS226" s="7">
        <v>1.0040863684841801</v>
      </c>
      <c r="CT226" s="7">
        <v>10</v>
      </c>
      <c r="CU226" s="7">
        <v>10</v>
      </c>
      <c r="CV226" s="7">
        <v>10</v>
      </c>
      <c r="CW226" s="7">
        <v>55.418735569767101</v>
      </c>
      <c r="CX226" s="7">
        <v>100</v>
      </c>
      <c r="CY226" s="7">
        <v>100</v>
      </c>
      <c r="CZ226" s="7">
        <v>100</v>
      </c>
      <c r="DA226" s="9">
        <v>36.662914193403999</v>
      </c>
      <c r="DB226" s="9">
        <v>7.1027022381266805E-2</v>
      </c>
      <c r="DC226" s="9">
        <v>0.42693956003172201</v>
      </c>
      <c r="DD226" s="9">
        <v>1.8185668019673999</v>
      </c>
      <c r="DE226" s="9">
        <v>4.07137080863997</v>
      </c>
      <c r="DF226" s="9">
        <v>7.10270223812668</v>
      </c>
      <c r="DG226" s="9">
        <v>28.887421720259599</v>
      </c>
      <c r="DH226" s="9">
        <v>69.213159200384396</v>
      </c>
      <c r="DI226" s="9">
        <v>99.945306731569303</v>
      </c>
    </row>
    <row r="227" spans="1:113">
      <c r="A227" s="5" t="s">
        <v>540</v>
      </c>
      <c r="B227" s="5" t="s">
        <v>569</v>
      </c>
      <c r="C227" s="5" t="s">
        <v>570</v>
      </c>
      <c r="D227" s="6">
        <v>202577</v>
      </c>
      <c r="E227" s="7">
        <v>6.6245779702467402</v>
      </c>
      <c r="F227" s="7">
        <v>6.6004087334692496</v>
      </c>
      <c r="G227" s="7">
        <v>10</v>
      </c>
      <c r="H227" s="7">
        <v>10</v>
      </c>
      <c r="I227" s="7">
        <v>10</v>
      </c>
      <c r="J227" s="7">
        <v>91.190510275105297</v>
      </c>
      <c r="K227" s="7">
        <v>100</v>
      </c>
      <c r="L227" s="7">
        <v>100</v>
      </c>
      <c r="M227" s="7">
        <v>100</v>
      </c>
      <c r="N227" s="7">
        <v>7.3334222551169601</v>
      </c>
      <c r="O227" s="7">
        <v>9.4061566712904199</v>
      </c>
      <c r="P227" s="7">
        <v>10</v>
      </c>
      <c r="Q227" s="7">
        <v>10</v>
      </c>
      <c r="R227" s="7">
        <v>10</v>
      </c>
      <c r="S227" s="7">
        <v>99.852401802771297</v>
      </c>
      <c r="T227" s="7">
        <v>100</v>
      </c>
      <c r="U227" s="7">
        <v>100</v>
      </c>
      <c r="V227" s="7">
        <v>100</v>
      </c>
      <c r="W227" s="7">
        <v>7.0448010966768804</v>
      </c>
      <c r="X227" s="7">
        <v>9.8713575578668795</v>
      </c>
      <c r="Y227" s="7">
        <v>10</v>
      </c>
      <c r="Z227" s="7">
        <v>10</v>
      </c>
      <c r="AA227" s="7">
        <v>10</v>
      </c>
      <c r="AB227" s="7">
        <v>99.845984489848306</v>
      </c>
      <c r="AC227" s="7">
        <v>100</v>
      </c>
      <c r="AD227" s="7">
        <v>100</v>
      </c>
      <c r="AE227" s="7">
        <v>100</v>
      </c>
      <c r="AF227" s="6">
        <v>7.23282677713767</v>
      </c>
      <c r="AG227" s="6">
        <v>5.9579419183816498</v>
      </c>
      <c r="AH227" s="6">
        <v>9.2086416523099892</v>
      </c>
      <c r="AI227" s="6">
        <v>10</v>
      </c>
      <c r="AJ227" s="6">
        <v>10</v>
      </c>
      <c r="AK227" s="6">
        <v>88.139818439408202</v>
      </c>
      <c r="AL227" s="6">
        <v>99.471805782492595</v>
      </c>
      <c r="AM227" s="6">
        <v>100</v>
      </c>
      <c r="AN227" s="6">
        <v>100</v>
      </c>
      <c r="AO227" s="6">
        <v>5.0826670703800296</v>
      </c>
      <c r="AP227" s="7">
        <v>7.9479753377728004</v>
      </c>
      <c r="AQ227" s="7">
        <v>10</v>
      </c>
      <c r="AR227" s="7">
        <v>10</v>
      </c>
      <c r="AS227" s="7">
        <v>10</v>
      </c>
      <c r="AT227" s="7">
        <v>97.221797143802107</v>
      </c>
      <c r="AU227" s="7">
        <v>100</v>
      </c>
      <c r="AV227" s="7">
        <v>100</v>
      </c>
      <c r="AW227" s="7">
        <v>100</v>
      </c>
      <c r="AX227" s="7">
        <v>6.7357048951551501</v>
      </c>
      <c r="AY227" s="7">
        <v>10</v>
      </c>
      <c r="AZ227" s="7">
        <v>10</v>
      </c>
      <c r="BA227" s="7">
        <v>10</v>
      </c>
      <c r="BB227" s="7">
        <v>10</v>
      </c>
      <c r="BC227" s="7">
        <v>100</v>
      </c>
      <c r="BD227" s="7">
        <v>100</v>
      </c>
      <c r="BE227" s="7">
        <v>100</v>
      </c>
      <c r="BF227" s="7">
        <v>100</v>
      </c>
      <c r="BG227" s="7">
        <v>6.4622795327871803</v>
      </c>
      <c r="BH227" s="7">
        <v>10</v>
      </c>
      <c r="BI227" s="7">
        <v>10</v>
      </c>
      <c r="BJ227" s="7">
        <v>10</v>
      </c>
      <c r="BK227" s="7">
        <v>10</v>
      </c>
      <c r="BL227" s="7">
        <v>100</v>
      </c>
      <c r="BM227" s="7">
        <v>100</v>
      </c>
      <c r="BN227" s="7">
        <v>100</v>
      </c>
      <c r="BO227" s="7">
        <v>100</v>
      </c>
      <c r="BP227" s="6">
        <v>5.34678492010603</v>
      </c>
      <c r="BQ227" s="6">
        <v>7.4584775171909898</v>
      </c>
      <c r="BR227" s="6">
        <v>9.9433696816519195</v>
      </c>
      <c r="BS227" s="6">
        <v>10</v>
      </c>
      <c r="BT227" s="6">
        <v>10</v>
      </c>
      <c r="BU227" s="6">
        <v>95.338562620633098</v>
      </c>
      <c r="BV227" s="6">
        <v>100</v>
      </c>
      <c r="BW227" s="6">
        <v>100</v>
      </c>
      <c r="BX227" s="6">
        <v>100</v>
      </c>
      <c r="BY227" s="6" t="str">
        <f>TRIM(Table1[[#This Row],[LA_Name]])</f>
        <v>Westminster</v>
      </c>
      <c r="BZ227" s="7">
        <v>9.6599693818958006</v>
      </c>
      <c r="CA227" s="7">
        <v>3.43259106413857</v>
      </c>
      <c r="CB227" s="7">
        <v>9.8880326986775398</v>
      </c>
      <c r="CC227" s="7">
        <v>10</v>
      </c>
      <c r="CD227" s="7">
        <v>10</v>
      </c>
      <c r="CE227" s="7">
        <v>76.476599021606603</v>
      </c>
      <c r="CF227" s="7">
        <v>100</v>
      </c>
      <c r="CG227" s="7">
        <v>100</v>
      </c>
      <c r="CH227" s="7">
        <v>100</v>
      </c>
      <c r="CI227" s="7">
        <v>8.7964300444867405</v>
      </c>
      <c r="CJ227" s="7">
        <v>7.4142967859134998</v>
      </c>
      <c r="CK227" s="7">
        <v>10</v>
      </c>
      <c r="CL227" s="7">
        <v>10</v>
      </c>
      <c r="CM227" s="7">
        <v>10</v>
      </c>
      <c r="CN227" s="7">
        <v>97.122081973768005</v>
      </c>
      <c r="CO227" s="7">
        <v>100</v>
      </c>
      <c r="CP227" s="7">
        <v>100</v>
      </c>
      <c r="CQ227" s="7">
        <v>100</v>
      </c>
      <c r="CR227" s="7">
        <v>8.0254302420454007</v>
      </c>
      <c r="CS227" s="7">
        <v>9.0508448639282797</v>
      </c>
      <c r="CT227" s="7">
        <v>10</v>
      </c>
      <c r="CU227" s="7">
        <v>10</v>
      </c>
      <c r="CV227" s="7">
        <v>10</v>
      </c>
      <c r="CW227" s="7">
        <v>100</v>
      </c>
      <c r="CX227" s="7">
        <v>100</v>
      </c>
      <c r="CY227" s="7">
        <v>100</v>
      </c>
      <c r="CZ227" s="7">
        <v>100</v>
      </c>
      <c r="DA227" s="9">
        <v>11.614199299589499</v>
      </c>
      <c r="DB227" s="9">
        <v>2.9858374840184201</v>
      </c>
      <c r="DC227" s="9">
        <v>7.0907605503092697</v>
      </c>
      <c r="DD227" s="9">
        <v>9.5124915464243198</v>
      </c>
      <c r="DE227" s="9">
        <v>10</v>
      </c>
      <c r="DF227" s="9">
        <v>68.952052799676196</v>
      </c>
      <c r="DG227" s="9">
        <v>94.907121736426106</v>
      </c>
      <c r="DH227" s="9">
        <v>100</v>
      </c>
      <c r="DI227" s="9">
        <v>100</v>
      </c>
    </row>
    <row r="228" spans="1:113">
      <c r="A228" s="5" t="s">
        <v>540</v>
      </c>
      <c r="B228" s="5" t="s">
        <v>541</v>
      </c>
      <c r="C228" s="5" t="s">
        <v>571</v>
      </c>
      <c r="D228" s="6">
        <v>3828333</v>
      </c>
      <c r="E228" s="7">
        <v>5.7733525393422198</v>
      </c>
      <c r="F228" s="7">
        <v>5.5905311789752901</v>
      </c>
      <c r="G228" s="7">
        <v>9.9631803189534391</v>
      </c>
      <c r="H228" s="7">
        <v>9.9993864170123103</v>
      </c>
      <c r="I228" s="7">
        <v>10</v>
      </c>
      <c r="J228" s="7">
        <v>98.408602386469497</v>
      </c>
      <c r="K228" s="7">
        <v>100</v>
      </c>
      <c r="L228" s="7">
        <v>100</v>
      </c>
      <c r="M228" s="7">
        <v>100</v>
      </c>
      <c r="N228" s="7">
        <v>7.0127267027724098</v>
      </c>
      <c r="O228" s="7">
        <v>9.6395835994413197</v>
      </c>
      <c r="P228" s="7">
        <v>9.9940825419314407</v>
      </c>
      <c r="Q228" s="7">
        <v>10</v>
      </c>
      <c r="R228" s="7">
        <v>10</v>
      </c>
      <c r="S228" s="7">
        <v>99.840060935138098</v>
      </c>
      <c r="T228" s="7">
        <v>100</v>
      </c>
      <c r="U228" s="7">
        <v>100</v>
      </c>
      <c r="V228" s="7">
        <v>100</v>
      </c>
      <c r="W228" s="7">
        <v>6.3881796105083302</v>
      </c>
      <c r="X228" s="7">
        <v>9.9882343045915807</v>
      </c>
      <c r="Y228" s="7">
        <v>10</v>
      </c>
      <c r="Z228" s="7">
        <v>10</v>
      </c>
      <c r="AA228" s="7">
        <v>10</v>
      </c>
      <c r="AB228" s="7">
        <v>100</v>
      </c>
      <c r="AC228" s="7">
        <v>100</v>
      </c>
      <c r="AD228" s="7">
        <v>100</v>
      </c>
      <c r="AE228" s="7">
        <v>100</v>
      </c>
      <c r="AF228" s="6">
        <v>5.8842494501313496</v>
      </c>
      <c r="AG228" s="6">
        <v>4.95470744054919</v>
      </c>
      <c r="AH228" s="6">
        <v>9.6160033622989403</v>
      </c>
      <c r="AI228" s="6">
        <v>9.9474711316909996</v>
      </c>
      <c r="AJ228" s="6">
        <v>9.9791170203845905</v>
      </c>
      <c r="AK228" s="6">
        <v>97.669560093126705</v>
      </c>
      <c r="AL228" s="6">
        <v>99.833373951534497</v>
      </c>
      <c r="AM228" s="6">
        <v>99.985528949545397</v>
      </c>
      <c r="AN228" s="6">
        <v>100</v>
      </c>
      <c r="AO228" s="6">
        <v>8.4853586149297193</v>
      </c>
      <c r="AP228" s="7">
        <v>2.98827766550089</v>
      </c>
      <c r="AQ228" s="7">
        <v>9.8846364723235904</v>
      </c>
      <c r="AR228" s="7">
        <v>10</v>
      </c>
      <c r="AS228" s="7">
        <v>10</v>
      </c>
      <c r="AT228" s="7">
        <v>90.214017432652795</v>
      </c>
      <c r="AU228" s="7">
        <v>100</v>
      </c>
      <c r="AV228" s="7">
        <v>100</v>
      </c>
      <c r="AW228" s="7">
        <v>100</v>
      </c>
      <c r="AX228" s="7">
        <v>7.9623910948441301</v>
      </c>
      <c r="AY228" s="7">
        <v>8.3207761707249599</v>
      </c>
      <c r="AZ228" s="7">
        <v>9.9980999562995194</v>
      </c>
      <c r="BA228" s="7">
        <v>10</v>
      </c>
      <c r="BB228" s="7">
        <v>10</v>
      </c>
      <c r="BC228" s="7">
        <v>99.733565497045305</v>
      </c>
      <c r="BD228" s="7">
        <v>100</v>
      </c>
      <c r="BE228" s="7">
        <v>100</v>
      </c>
      <c r="BF228" s="7">
        <v>100</v>
      </c>
      <c r="BG228" s="7">
        <v>6.9809837128907803</v>
      </c>
      <c r="BH228" s="7">
        <v>9.9542563303662508</v>
      </c>
      <c r="BI228" s="7">
        <v>10</v>
      </c>
      <c r="BJ228" s="7">
        <v>10</v>
      </c>
      <c r="BK228" s="7">
        <v>10</v>
      </c>
      <c r="BL228" s="7">
        <v>100</v>
      </c>
      <c r="BM228" s="7">
        <v>100</v>
      </c>
      <c r="BN228" s="7">
        <v>100</v>
      </c>
      <c r="BO228" s="7">
        <v>100</v>
      </c>
      <c r="BP228" s="6">
        <v>8.8516398218999193</v>
      </c>
      <c r="BQ228" s="6">
        <v>2.4521529344495399</v>
      </c>
      <c r="BR228" s="6">
        <v>8.0757974815670401</v>
      </c>
      <c r="BS228" s="6">
        <v>9.7704160009069199</v>
      </c>
      <c r="BT228" s="6">
        <v>9.9669036105270905</v>
      </c>
      <c r="BU228" s="6">
        <v>87.301183047556194</v>
      </c>
      <c r="BV228" s="6">
        <v>99.725885914313096</v>
      </c>
      <c r="BW228" s="6">
        <v>99.982185457743597</v>
      </c>
      <c r="BX228" s="6">
        <v>100</v>
      </c>
      <c r="BY228" s="6" t="str">
        <f>TRIM(Table1[[#This Row],[LA_Name]])</f>
        <v>Outer London</v>
      </c>
      <c r="BZ228" s="7">
        <v>24.588827347141802</v>
      </c>
      <c r="CA228" s="7">
        <v>0.16803867375173501</v>
      </c>
      <c r="CB228" s="7">
        <v>1.9153887605911</v>
      </c>
      <c r="CC228" s="7">
        <v>7.17696187870804</v>
      </c>
      <c r="CD228" s="7">
        <v>9.8235017695691607</v>
      </c>
      <c r="CE228" s="7">
        <v>14.1748902198424</v>
      </c>
      <c r="CF228" s="7">
        <v>73.150271932979706</v>
      </c>
      <c r="CG228" s="7">
        <v>98.571780459014406</v>
      </c>
      <c r="CH228" s="7">
        <v>99.994018284198404</v>
      </c>
      <c r="CI228" s="7">
        <v>18.154321846987401</v>
      </c>
      <c r="CJ228" s="7">
        <v>0.59035303355272395</v>
      </c>
      <c r="CK228" s="7">
        <v>3.7418664990741402</v>
      </c>
      <c r="CL228" s="7">
        <v>7.9814386575044498</v>
      </c>
      <c r="CM228" s="7">
        <v>9.5832499419460095</v>
      </c>
      <c r="CN228" s="7">
        <v>38.771522748935404</v>
      </c>
      <c r="CO228" s="7">
        <v>92.616890954888206</v>
      </c>
      <c r="CP228" s="7">
        <v>99.405250274727905</v>
      </c>
      <c r="CQ228" s="7">
        <v>100</v>
      </c>
      <c r="CR228" s="7">
        <v>13.119939415146501</v>
      </c>
      <c r="CS228" s="7">
        <v>1.4631188039284999</v>
      </c>
      <c r="CT228" s="7">
        <v>8.6690039764043494</v>
      </c>
      <c r="CU228" s="7">
        <v>10</v>
      </c>
      <c r="CV228" s="7">
        <v>10</v>
      </c>
      <c r="CW228" s="7">
        <v>71.062940449537706</v>
      </c>
      <c r="CX228" s="7">
        <v>99.976229862971707</v>
      </c>
      <c r="CY228" s="7">
        <v>100</v>
      </c>
      <c r="CZ228" s="7">
        <v>100</v>
      </c>
      <c r="DA228" s="9">
        <v>41.670226465829302</v>
      </c>
      <c r="DB228" s="9">
        <v>0.135256781476429</v>
      </c>
      <c r="DC228" s="9">
        <v>0.54077793128236196</v>
      </c>
      <c r="DD228" s="9">
        <v>1.23075735574727</v>
      </c>
      <c r="DE228" s="9">
        <v>2.1878472954155201</v>
      </c>
      <c r="DF228" s="9">
        <v>11.8600706887306</v>
      </c>
      <c r="DG228" s="9">
        <v>36.416189500756602</v>
      </c>
      <c r="DH228" s="9">
        <v>61.624106366922597</v>
      </c>
      <c r="DI228" s="9">
        <v>79.463202391223504</v>
      </c>
    </row>
    <row r="229" spans="1:113">
      <c r="A229" s="5" t="s">
        <v>540</v>
      </c>
      <c r="B229" s="5" t="s">
        <v>572</v>
      </c>
      <c r="C229" s="5" t="s">
        <v>573</v>
      </c>
      <c r="D229" s="6">
        <v>145901</v>
      </c>
      <c r="E229" s="7">
        <v>5.2702338490514498</v>
      </c>
      <c r="F229" s="7">
        <v>6.56252527398716</v>
      </c>
      <c r="G229" s="7">
        <v>9.9823853160704896</v>
      </c>
      <c r="H229" s="7">
        <v>10</v>
      </c>
      <c r="I229" s="7">
        <v>10</v>
      </c>
      <c r="J229" s="7">
        <v>98.699117895011</v>
      </c>
      <c r="K229" s="7">
        <v>100</v>
      </c>
      <c r="L229" s="7">
        <v>100</v>
      </c>
      <c r="M229" s="7">
        <v>100</v>
      </c>
      <c r="N229" s="7">
        <v>6.8626770068168996</v>
      </c>
      <c r="O229" s="7">
        <v>9.73882975442252</v>
      </c>
      <c r="P229" s="7">
        <v>10</v>
      </c>
      <c r="Q229" s="7">
        <v>10</v>
      </c>
      <c r="R229" s="7">
        <v>10</v>
      </c>
      <c r="S229" s="7">
        <v>100</v>
      </c>
      <c r="T229" s="7">
        <v>100</v>
      </c>
      <c r="U229" s="7">
        <v>100</v>
      </c>
      <c r="V229" s="7">
        <v>100</v>
      </c>
      <c r="W229" s="7">
        <v>6.3548218286313398</v>
      </c>
      <c r="X229" s="7">
        <v>10</v>
      </c>
      <c r="Y229" s="7">
        <v>10</v>
      </c>
      <c r="Z229" s="7">
        <v>10</v>
      </c>
      <c r="AA229" s="7">
        <v>10</v>
      </c>
      <c r="AB229" s="7">
        <v>100</v>
      </c>
      <c r="AC229" s="7">
        <v>100</v>
      </c>
      <c r="AD229" s="7">
        <v>100</v>
      </c>
      <c r="AE229" s="7">
        <v>100</v>
      </c>
      <c r="AF229" s="6">
        <v>5.4114162326765998</v>
      </c>
      <c r="AG229" s="6">
        <v>6.0502738158066096</v>
      </c>
      <c r="AH229" s="6">
        <v>9.7045667952927008</v>
      </c>
      <c r="AI229" s="6">
        <v>10</v>
      </c>
      <c r="AJ229" s="6">
        <v>10</v>
      </c>
      <c r="AK229" s="6">
        <v>96.378366152390996</v>
      </c>
      <c r="AL229" s="6">
        <v>100</v>
      </c>
      <c r="AM229" s="6">
        <v>100</v>
      </c>
      <c r="AN229" s="6">
        <v>100</v>
      </c>
      <c r="AO229" s="6">
        <v>8.3810602966382408</v>
      </c>
      <c r="AP229" s="7">
        <v>2.5410929328791401</v>
      </c>
      <c r="AQ229" s="7">
        <v>9.9216386453828296</v>
      </c>
      <c r="AR229" s="7">
        <v>10</v>
      </c>
      <c r="AS229" s="7">
        <v>10</v>
      </c>
      <c r="AT229" s="7">
        <v>90.163192849946199</v>
      </c>
      <c r="AU229" s="7">
        <v>100</v>
      </c>
      <c r="AV229" s="7">
        <v>100</v>
      </c>
      <c r="AW229" s="7">
        <v>100</v>
      </c>
      <c r="AX229" s="7">
        <v>7.9328129334724</v>
      </c>
      <c r="AY229" s="7">
        <v>8.5068505356371809</v>
      </c>
      <c r="AZ229" s="7">
        <v>10</v>
      </c>
      <c r="BA229" s="7">
        <v>10</v>
      </c>
      <c r="BB229" s="7">
        <v>10</v>
      </c>
      <c r="BC229" s="7">
        <v>100</v>
      </c>
      <c r="BD229" s="7">
        <v>100</v>
      </c>
      <c r="BE229" s="7">
        <v>100</v>
      </c>
      <c r="BF229" s="7">
        <v>100</v>
      </c>
      <c r="BG229" s="7">
        <v>7.0183836944814004</v>
      </c>
      <c r="BH229" s="7">
        <v>9.9950377310642207</v>
      </c>
      <c r="BI229" s="7">
        <v>10</v>
      </c>
      <c r="BJ229" s="7">
        <v>10</v>
      </c>
      <c r="BK229" s="7">
        <v>10</v>
      </c>
      <c r="BL229" s="7">
        <v>100</v>
      </c>
      <c r="BM229" s="7">
        <v>100</v>
      </c>
      <c r="BN229" s="7">
        <v>100</v>
      </c>
      <c r="BO229" s="7">
        <v>100</v>
      </c>
      <c r="BP229" s="6">
        <v>8.6141134599538898</v>
      </c>
      <c r="BQ229" s="6">
        <v>2.13466665752805</v>
      </c>
      <c r="BR229" s="6">
        <v>8.3313342609029402</v>
      </c>
      <c r="BS229" s="6">
        <v>9.9421251396494892</v>
      </c>
      <c r="BT229" s="6">
        <v>10</v>
      </c>
      <c r="BU229" s="6">
        <v>87.884250279298996</v>
      </c>
      <c r="BV229" s="6">
        <v>100</v>
      </c>
      <c r="BW229" s="6">
        <v>100</v>
      </c>
      <c r="BX229" s="6">
        <v>100</v>
      </c>
      <c r="BY229" s="6" t="str">
        <f>TRIM(Table1[[#This Row],[LA_Name]])</f>
        <v>Barking and Dagenham</v>
      </c>
      <c r="BZ229" s="7">
        <v>23.884422392537299</v>
      </c>
      <c r="CA229" s="7">
        <v>9.8374925463156501E-2</v>
      </c>
      <c r="CB229" s="7">
        <v>1.68591716300779</v>
      </c>
      <c r="CC229" s="7">
        <v>7.1889294795786203</v>
      </c>
      <c r="CD229" s="7">
        <v>9.9900274843900991</v>
      </c>
      <c r="CE229" s="7">
        <v>9.8374925463156497</v>
      </c>
      <c r="CF229" s="7">
        <v>80.196160410141104</v>
      </c>
      <c r="CG229" s="7">
        <v>100</v>
      </c>
      <c r="CH229" s="7">
        <v>100</v>
      </c>
      <c r="CI229" s="7">
        <v>16.684623257857201</v>
      </c>
      <c r="CJ229" s="7">
        <v>0.39387666979664299</v>
      </c>
      <c r="CK229" s="7">
        <v>3.88327701660715</v>
      </c>
      <c r="CL229" s="7">
        <v>8.0309113714093794</v>
      </c>
      <c r="CM229" s="7">
        <v>9.9921042350635005</v>
      </c>
      <c r="CN229" s="7">
        <v>33.129313712722997</v>
      </c>
      <c r="CO229" s="7">
        <v>100</v>
      </c>
      <c r="CP229" s="7">
        <v>100</v>
      </c>
      <c r="CQ229" s="7">
        <v>100</v>
      </c>
      <c r="CR229" s="7">
        <v>12.4545850220051</v>
      </c>
      <c r="CS229" s="7">
        <v>1.5505171314795601</v>
      </c>
      <c r="CT229" s="7">
        <v>9.6093926703723795</v>
      </c>
      <c r="CU229" s="7">
        <v>10</v>
      </c>
      <c r="CV229" s="7">
        <v>10</v>
      </c>
      <c r="CW229" s="7">
        <v>89.197469517001295</v>
      </c>
      <c r="CX229" s="7">
        <v>100</v>
      </c>
      <c r="CY229" s="7">
        <v>100</v>
      </c>
      <c r="CZ229" s="7">
        <v>100</v>
      </c>
      <c r="DA229" s="9">
        <v>36.508476947158101</v>
      </c>
      <c r="DB229" s="9">
        <v>6.7628049156619893E-2</v>
      </c>
      <c r="DC229" s="9">
        <v>0.37812626369935798</v>
      </c>
      <c r="DD229" s="9">
        <v>1.1542210128785999</v>
      </c>
      <c r="DE229" s="9">
        <v>2.2630139615218501</v>
      </c>
      <c r="DF229" s="9">
        <v>6.7628049156619898</v>
      </c>
      <c r="DG229" s="9">
        <v>32.822256187414801</v>
      </c>
      <c r="DH229" s="9">
        <v>69.989924674950799</v>
      </c>
      <c r="DI229" s="9">
        <v>96.9116044441094</v>
      </c>
    </row>
    <row r="230" spans="1:113">
      <c r="A230" s="5" t="s">
        <v>540</v>
      </c>
      <c r="B230" s="5" t="s">
        <v>574</v>
      </c>
      <c r="C230" s="5" t="s">
        <v>575</v>
      </c>
      <c r="D230" s="6">
        <v>284115</v>
      </c>
      <c r="E230" s="7">
        <v>5.8773964837000499</v>
      </c>
      <c r="F230" s="7">
        <v>5.3508720060538897</v>
      </c>
      <c r="G230" s="7">
        <v>10</v>
      </c>
      <c r="H230" s="7">
        <v>10</v>
      </c>
      <c r="I230" s="7">
        <v>10</v>
      </c>
      <c r="J230" s="7">
        <v>99.211938827587403</v>
      </c>
      <c r="K230" s="7">
        <v>100</v>
      </c>
      <c r="L230" s="7">
        <v>100</v>
      </c>
      <c r="M230" s="7">
        <v>100</v>
      </c>
      <c r="N230" s="7">
        <v>7.0453405803522502</v>
      </c>
      <c r="O230" s="7">
        <v>9.8512151769529908</v>
      </c>
      <c r="P230" s="7">
        <v>10</v>
      </c>
      <c r="Q230" s="7">
        <v>10</v>
      </c>
      <c r="R230" s="7">
        <v>10</v>
      </c>
      <c r="S230" s="7">
        <v>100</v>
      </c>
      <c r="T230" s="7">
        <v>100</v>
      </c>
      <c r="U230" s="7">
        <v>100</v>
      </c>
      <c r="V230" s="7">
        <v>100</v>
      </c>
      <c r="W230" s="7">
        <v>6.43294785659534</v>
      </c>
      <c r="X230" s="7">
        <v>10</v>
      </c>
      <c r="Y230" s="7">
        <v>10</v>
      </c>
      <c r="Z230" s="7">
        <v>10</v>
      </c>
      <c r="AA230" s="7">
        <v>10</v>
      </c>
      <c r="AB230" s="7">
        <v>100</v>
      </c>
      <c r="AC230" s="7">
        <v>100</v>
      </c>
      <c r="AD230" s="7">
        <v>100</v>
      </c>
      <c r="AE230" s="7">
        <v>100</v>
      </c>
      <c r="AF230" s="6">
        <v>5.9160904253438096</v>
      </c>
      <c r="AG230" s="6">
        <v>4.5448392376326501</v>
      </c>
      <c r="AH230" s="6">
        <v>9.8527427274167092</v>
      </c>
      <c r="AI230" s="6">
        <v>10</v>
      </c>
      <c r="AJ230" s="6">
        <v>10</v>
      </c>
      <c r="AK230" s="6">
        <v>98.660401597944499</v>
      </c>
      <c r="AL230" s="6">
        <v>100</v>
      </c>
      <c r="AM230" s="6">
        <v>100</v>
      </c>
      <c r="AN230" s="6">
        <v>100</v>
      </c>
      <c r="AO230" s="6">
        <v>7.5215749664939899</v>
      </c>
      <c r="AP230" s="7">
        <v>3.9238336589057199</v>
      </c>
      <c r="AQ230" s="7">
        <v>9.9896626366084096</v>
      </c>
      <c r="AR230" s="7">
        <v>10</v>
      </c>
      <c r="AS230" s="7">
        <v>10</v>
      </c>
      <c r="AT230" s="7">
        <v>94.119986625134203</v>
      </c>
      <c r="AU230" s="7">
        <v>100</v>
      </c>
      <c r="AV230" s="7">
        <v>100</v>
      </c>
      <c r="AW230" s="7">
        <v>100</v>
      </c>
      <c r="AX230" s="7">
        <v>7.6110796306015898</v>
      </c>
      <c r="AY230" s="7">
        <v>9.3199866251341899</v>
      </c>
      <c r="AZ230" s="7">
        <v>10</v>
      </c>
      <c r="BA230" s="7">
        <v>10</v>
      </c>
      <c r="BB230" s="7">
        <v>10</v>
      </c>
      <c r="BC230" s="7">
        <v>99.820847192158098</v>
      </c>
      <c r="BD230" s="7">
        <v>100</v>
      </c>
      <c r="BE230" s="7">
        <v>100</v>
      </c>
      <c r="BF230" s="7">
        <v>100</v>
      </c>
      <c r="BG230" s="7">
        <v>6.7889126232445198</v>
      </c>
      <c r="BH230" s="7">
        <v>9.9990672790947297</v>
      </c>
      <c r="BI230" s="7">
        <v>10</v>
      </c>
      <c r="BJ230" s="7">
        <v>10</v>
      </c>
      <c r="BK230" s="7">
        <v>10</v>
      </c>
      <c r="BL230" s="7">
        <v>100</v>
      </c>
      <c r="BM230" s="7">
        <v>100</v>
      </c>
      <c r="BN230" s="7">
        <v>100</v>
      </c>
      <c r="BO230" s="7">
        <v>100</v>
      </c>
      <c r="BP230" s="6">
        <v>7.7896497596402003</v>
      </c>
      <c r="BQ230" s="6">
        <v>2.9931752987346698</v>
      </c>
      <c r="BR230" s="6">
        <v>9.1063266634989404</v>
      </c>
      <c r="BS230" s="6">
        <v>9.9881491649508103</v>
      </c>
      <c r="BT230" s="6">
        <v>10</v>
      </c>
      <c r="BU230" s="6">
        <v>91.052918712493195</v>
      </c>
      <c r="BV230" s="6">
        <v>99.916583073755305</v>
      </c>
      <c r="BW230" s="6">
        <v>100</v>
      </c>
      <c r="BX230" s="6">
        <v>100</v>
      </c>
      <c r="BY230" s="6" t="str">
        <f>TRIM(Table1[[#This Row],[LA_Name]])</f>
        <v>Barnet</v>
      </c>
      <c r="BZ230" s="7">
        <v>33.004478819054803</v>
      </c>
      <c r="CA230" s="7">
        <v>0</v>
      </c>
      <c r="CB230" s="7">
        <v>0.99776498952888804</v>
      </c>
      <c r="CC230" s="7">
        <v>8.2324974042201209</v>
      </c>
      <c r="CD230" s="7">
        <v>9.9941643348644007</v>
      </c>
      <c r="CE230" s="7">
        <v>0</v>
      </c>
      <c r="CF230" s="7">
        <v>32.467134786970099</v>
      </c>
      <c r="CG230" s="7">
        <v>96.916037520018307</v>
      </c>
      <c r="CH230" s="7">
        <v>100</v>
      </c>
      <c r="CI230" s="7">
        <v>31.0292160353229</v>
      </c>
      <c r="CJ230" s="7">
        <v>7.6377523186033796E-4</v>
      </c>
      <c r="CK230" s="7">
        <v>1.4775671823029399</v>
      </c>
      <c r="CL230" s="7">
        <v>6.8039596642204696</v>
      </c>
      <c r="CM230" s="7">
        <v>9.6833148549002992</v>
      </c>
      <c r="CN230" s="7">
        <v>7.6377523186033802E-2</v>
      </c>
      <c r="CO230" s="7">
        <v>50.259929957939598</v>
      </c>
      <c r="CP230" s="7">
        <v>93.673688471217602</v>
      </c>
      <c r="CQ230" s="7">
        <v>100</v>
      </c>
      <c r="CR230" s="7">
        <v>21.4147498833496</v>
      </c>
      <c r="CS230" s="7">
        <v>1.6567235098463699E-2</v>
      </c>
      <c r="CT230" s="7">
        <v>7.1121552892314703</v>
      </c>
      <c r="CU230" s="7">
        <v>10</v>
      </c>
      <c r="CV230" s="7">
        <v>10</v>
      </c>
      <c r="CW230" s="7">
        <v>1.65672350984637</v>
      </c>
      <c r="CX230" s="7">
        <v>99.679707160832805</v>
      </c>
      <c r="CY230" s="7">
        <v>100</v>
      </c>
      <c r="CZ230" s="7">
        <v>100</v>
      </c>
      <c r="DA230" s="9">
        <v>83.405239009211002</v>
      </c>
      <c r="DB230" s="9">
        <v>0</v>
      </c>
      <c r="DC230" s="9">
        <v>0</v>
      </c>
      <c r="DD230" s="9">
        <v>2.69573940129877E-2</v>
      </c>
      <c r="DE230" s="9">
        <v>0.17557327138658599</v>
      </c>
      <c r="DF230" s="9">
        <v>0</v>
      </c>
      <c r="DG230" s="9">
        <v>0</v>
      </c>
      <c r="DH230" s="9">
        <v>2.6957394012987699</v>
      </c>
      <c r="DI230" s="9">
        <v>13.866568115023799</v>
      </c>
    </row>
    <row r="231" spans="1:113">
      <c r="A231" s="5" t="s">
        <v>540</v>
      </c>
      <c r="B231" s="5" t="s">
        <v>576</v>
      </c>
      <c r="C231" s="5" t="s">
        <v>577</v>
      </c>
      <c r="D231" s="6">
        <v>176603</v>
      </c>
      <c r="E231" s="7">
        <v>6.3961493870450798</v>
      </c>
      <c r="F231" s="7">
        <v>4.8481452749953302</v>
      </c>
      <c r="G231" s="7">
        <v>9.9972254151967999</v>
      </c>
      <c r="H231" s="7">
        <v>10</v>
      </c>
      <c r="I231" s="7">
        <v>10</v>
      </c>
      <c r="J231" s="7">
        <v>97.3420610068912</v>
      </c>
      <c r="K231" s="7">
        <v>100</v>
      </c>
      <c r="L231" s="7">
        <v>100</v>
      </c>
      <c r="M231" s="7">
        <v>100</v>
      </c>
      <c r="N231" s="7">
        <v>7.2769942792617002</v>
      </c>
      <c r="O231" s="7">
        <v>9.5383317384189397</v>
      </c>
      <c r="P231" s="7">
        <v>10</v>
      </c>
      <c r="Q231" s="7">
        <v>10</v>
      </c>
      <c r="R231" s="7">
        <v>10</v>
      </c>
      <c r="S231" s="7">
        <v>99.866933177805606</v>
      </c>
      <c r="T231" s="7">
        <v>100</v>
      </c>
      <c r="U231" s="7">
        <v>100</v>
      </c>
      <c r="V231" s="7">
        <v>100</v>
      </c>
      <c r="W231" s="7">
        <v>6.5002505481437201</v>
      </c>
      <c r="X231" s="7">
        <v>10</v>
      </c>
      <c r="Y231" s="7">
        <v>10</v>
      </c>
      <c r="Z231" s="7">
        <v>10</v>
      </c>
      <c r="AA231" s="7">
        <v>10</v>
      </c>
      <c r="AB231" s="7">
        <v>100</v>
      </c>
      <c r="AC231" s="7">
        <v>100</v>
      </c>
      <c r="AD231" s="7">
        <v>100</v>
      </c>
      <c r="AE231" s="7">
        <v>100</v>
      </c>
      <c r="AF231" s="6">
        <v>6.4966432098544296</v>
      </c>
      <c r="AG231" s="6">
        <v>3.9729506293777601</v>
      </c>
      <c r="AH231" s="6">
        <v>9.5217238665254804</v>
      </c>
      <c r="AI231" s="6">
        <v>10</v>
      </c>
      <c r="AJ231" s="6">
        <v>10</v>
      </c>
      <c r="AK231" s="6">
        <v>96.361896457025097</v>
      </c>
      <c r="AL231" s="6">
        <v>100</v>
      </c>
      <c r="AM231" s="6">
        <v>100</v>
      </c>
      <c r="AN231" s="6">
        <v>100</v>
      </c>
      <c r="AO231" s="6">
        <v>10.313561248312199</v>
      </c>
      <c r="AP231" s="7">
        <v>1.8994524441827101</v>
      </c>
      <c r="AQ231" s="7">
        <v>9.9167454686500207</v>
      </c>
      <c r="AR231" s="7">
        <v>10</v>
      </c>
      <c r="AS231" s="7">
        <v>10</v>
      </c>
      <c r="AT231" s="7">
        <v>79.721182539368002</v>
      </c>
      <c r="AU231" s="7">
        <v>100</v>
      </c>
      <c r="AV231" s="7">
        <v>100</v>
      </c>
      <c r="AW231" s="7">
        <v>100</v>
      </c>
      <c r="AX231" s="7">
        <v>8.6826842147693792</v>
      </c>
      <c r="AY231" s="7">
        <v>6.4360118457783804</v>
      </c>
      <c r="AZ231" s="7">
        <v>10</v>
      </c>
      <c r="BA231" s="7">
        <v>10</v>
      </c>
      <c r="BB231" s="7">
        <v>10</v>
      </c>
      <c r="BC231" s="7">
        <v>99.866933177805606</v>
      </c>
      <c r="BD231" s="7">
        <v>100</v>
      </c>
      <c r="BE231" s="7">
        <v>100</v>
      </c>
      <c r="BF231" s="7">
        <v>100</v>
      </c>
      <c r="BG231" s="7">
        <v>7.29576151522327</v>
      </c>
      <c r="BH231" s="7">
        <v>9.9748305521423806</v>
      </c>
      <c r="BI231" s="7">
        <v>10</v>
      </c>
      <c r="BJ231" s="7">
        <v>10</v>
      </c>
      <c r="BK231" s="7">
        <v>10</v>
      </c>
      <c r="BL231" s="7">
        <v>100</v>
      </c>
      <c r="BM231" s="7">
        <v>100</v>
      </c>
      <c r="BN231" s="7">
        <v>100</v>
      </c>
      <c r="BO231" s="7">
        <v>100</v>
      </c>
      <c r="BP231" s="6">
        <v>11.044935913711001</v>
      </c>
      <c r="BQ231" s="6">
        <v>1.4883722247073901</v>
      </c>
      <c r="BR231" s="6">
        <v>6.0426833066255998</v>
      </c>
      <c r="BS231" s="6">
        <v>9.69233251983262</v>
      </c>
      <c r="BT231" s="6">
        <v>10</v>
      </c>
      <c r="BU231" s="6">
        <v>73.849255108916594</v>
      </c>
      <c r="BV231" s="6">
        <v>100</v>
      </c>
      <c r="BW231" s="6">
        <v>100</v>
      </c>
      <c r="BX231" s="6">
        <v>100</v>
      </c>
      <c r="BY231" s="6" t="str">
        <f>TRIM(Table1[[#This Row],[LA_Name]])</f>
        <v>Bexley</v>
      </c>
      <c r="BZ231" s="7">
        <v>37.547367811859097</v>
      </c>
      <c r="CA231" s="7">
        <v>1.6704132998873199E-2</v>
      </c>
      <c r="CB231" s="7">
        <v>0.148225115088645</v>
      </c>
      <c r="CC231" s="7">
        <v>1.9372151095961001</v>
      </c>
      <c r="CD231" s="7">
        <v>8.4679365582691108</v>
      </c>
      <c r="CE231" s="7">
        <v>1.67041329988732</v>
      </c>
      <c r="CF231" s="7">
        <v>13.866695356251</v>
      </c>
      <c r="CG231" s="7">
        <v>83.992910652706897</v>
      </c>
      <c r="CH231" s="7">
        <v>100</v>
      </c>
      <c r="CI231" s="7">
        <v>27.115534020158201</v>
      </c>
      <c r="CJ231" s="7">
        <v>3.8277945448265301E-2</v>
      </c>
      <c r="CK231" s="7">
        <v>0.77699133083809402</v>
      </c>
      <c r="CL231" s="7">
        <v>4.0484929474584197</v>
      </c>
      <c r="CM231" s="7">
        <v>9.2125841576870204</v>
      </c>
      <c r="CN231" s="7">
        <v>3.82779454482653</v>
      </c>
      <c r="CO231" s="7">
        <v>64.522120235783106</v>
      </c>
      <c r="CP231" s="7">
        <v>100</v>
      </c>
      <c r="CQ231" s="7">
        <v>100</v>
      </c>
      <c r="CR231" s="7">
        <v>16.474677092054201</v>
      </c>
      <c r="CS231" s="7">
        <v>0.29999490382383098</v>
      </c>
      <c r="CT231" s="7">
        <v>6.9578036613194598</v>
      </c>
      <c r="CU231" s="7">
        <v>10</v>
      </c>
      <c r="CV231" s="7">
        <v>10</v>
      </c>
      <c r="CW231" s="7">
        <v>29.999490382383101</v>
      </c>
      <c r="CX231" s="7">
        <v>100</v>
      </c>
      <c r="CY231" s="7">
        <v>100</v>
      </c>
      <c r="CZ231" s="7">
        <v>100</v>
      </c>
      <c r="DA231" s="9">
        <v>69.900254353760999</v>
      </c>
      <c r="DB231" s="9">
        <v>1.6704132998873199E-2</v>
      </c>
      <c r="DC231" s="9">
        <v>4.1120479267056601E-2</v>
      </c>
      <c r="DD231" s="9">
        <v>0.14073373611999801</v>
      </c>
      <c r="DE231" s="9">
        <v>0.33068520919803202</v>
      </c>
      <c r="DF231" s="9">
        <v>1.67041329988732</v>
      </c>
      <c r="DG231" s="9">
        <v>4.1120479267056602</v>
      </c>
      <c r="DH231" s="9">
        <v>14.0733736119998</v>
      </c>
      <c r="DI231" s="9">
        <v>33.068520919803198</v>
      </c>
    </row>
    <row r="232" spans="1:113">
      <c r="A232" s="5" t="s">
        <v>540</v>
      </c>
      <c r="B232" s="5" t="s">
        <v>578</v>
      </c>
      <c r="C232" s="5" t="s">
        <v>579</v>
      </c>
      <c r="D232" s="6">
        <v>240828</v>
      </c>
      <c r="E232" s="7">
        <v>5.44084696710184</v>
      </c>
      <c r="F232" s="7">
        <v>6.7285074825186397</v>
      </c>
      <c r="G232" s="7">
        <v>10</v>
      </c>
      <c r="H232" s="7">
        <v>10</v>
      </c>
      <c r="I232" s="7">
        <v>10</v>
      </c>
      <c r="J232" s="7">
        <v>99.299915292241806</v>
      </c>
      <c r="K232" s="7">
        <v>100</v>
      </c>
      <c r="L232" s="7">
        <v>100</v>
      </c>
      <c r="M232" s="7">
        <v>100</v>
      </c>
      <c r="N232" s="7">
        <v>6.8344233690606302</v>
      </c>
      <c r="O232" s="7">
        <v>9.9725987011477102</v>
      </c>
      <c r="P232" s="7">
        <v>10</v>
      </c>
      <c r="Q232" s="7">
        <v>10</v>
      </c>
      <c r="R232" s="7">
        <v>10</v>
      </c>
      <c r="S232" s="7">
        <v>100</v>
      </c>
      <c r="T232" s="7">
        <v>100</v>
      </c>
      <c r="U232" s="7">
        <v>100</v>
      </c>
      <c r="V232" s="7">
        <v>100</v>
      </c>
      <c r="W232" s="7">
        <v>6.3007602985025599</v>
      </c>
      <c r="X232" s="7">
        <v>10</v>
      </c>
      <c r="Y232" s="7">
        <v>10</v>
      </c>
      <c r="Z232" s="7">
        <v>10</v>
      </c>
      <c r="AA232" s="7">
        <v>10</v>
      </c>
      <c r="AB232" s="7">
        <v>100</v>
      </c>
      <c r="AC232" s="7">
        <v>100</v>
      </c>
      <c r="AD232" s="7">
        <v>100</v>
      </c>
      <c r="AE232" s="7">
        <v>100</v>
      </c>
      <c r="AF232" s="6">
        <v>5.4671997564790198</v>
      </c>
      <c r="AG232" s="6">
        <v>6.0577549122195098</v>
      </c>
      <c r="AH232" s="6">
        <v>9.9466756357234196</v>
      </c>
      <c r="AI232" s="6">
        <v>10</v>
      </c>
      <c r="AJ232" s="6">
        <v>10</v>
      </c>
      <c r="AK232" s="6">
        <v>99.299915292241806</v>
      </c>
      <c r="AL232" s="6">
        <v>100</v>
      </c>
      <c r="AM232" s="6">
        <v>100</v>
      </c>
      <c r="AN232" s="6">
        <v>100</v>
      </c>
      <c r="AO232" s="6">
        <v>7.5244878563464201</v>
      </c>
      <c r="AP232" s="7">
        <v>3.9664158652648398</v>
      </c>
      <c r="AQ232" s="7">
        <v>9.9680684970186206</v>
      </c>
      <c r="AR232" s="7">
        <v>10</v>
      </c>
      <c r="AS232" s="7">
        <v>10</v>
      </c>
      <c r="AT232" s="7">
        <v>93.830866842725897</v>
      </c>
      <c r="AU232" s="7">
        <v>100</v>
      </c>
      <c r="AV232" s="7">
        <v>100</v>
      </c>
      <c r="AW232" s="7">
        <v>100</v>
      </c>
      <c r="AX232" s="7">
        <v>7.5261371989424202</v>
      </c>
      <c r="AY232" s="7">
        <v>9.6693656883751107</v>
      </c>
      <c r="AZ232" s="7">
        <v>10</v>
      </c>
      <c r="BA232" s="7">
        <v>10</v>
      </c>
      <c r="BB232" s="7">
        <v>10</v>
      </c>
      <c r="BC232" s="7">
        <v>100</v>
      </c>
      <c r="BD232" s="7">
        <v>100</v>
      </c>
      <c r="BE232" s="7">
        <v>100</v>
      </c>
      <c r="BF232" s="7">
        <v>100</v>
      </c>
      <c r="BG232" s="7">
        <v>6.87042639234219</v>
      </c>
      <c r="BH232" s="7">
        <v>10</v>
      </c>
      <c r="BI232" s="7">
        <v>10</v>
      </c>
      <c r="BJ232" s="7">
        <v>10</v>
      </c>
      <c r="BK232" s="7">
        <v>10</v>
      </c>
      <c r="BL232" s="7">
        <v>100</v>
      </c>
      <c r="BM232" s="7">
        <v>100</v>
      </c>
      <c r="BN232" s="7">
        <v>100</v>
      </c>
      <c r="BO232" s="7">
        <v>100</v>
      </c>
      <c r="BP232" s="6">
        <v>7.6742048321281402</v>
      </c>
      <c r="BQ232" s="6">
        <v>3.2016418356669498</v>
      </c>
      <c r="BR232" s="6">
        <v>9.4608641852276296</v>
      </c>
      <c r="BS232" s="6">
        <v>10</v>
      </c>
      <c r="BT232" s="6">
        <v>10</v>
      </c>
      <c r="BU232" s="6">
        <v>91.606042486754006</v>
      </c>
      <c r="BV232" s="6">
        <v>100</v>
      </c>
      <c r="BW232" s="6">
        <v>100</v>
      </c>
      <c r="BX232" s="6">
        <v>100</v>
      </c>
      <c r="BY232" s="6" t="str">
        <f>TRIM(Table1[[#This Row],[LA_Name]])</f>
        <v>Brent</v>
      </c>
      <c r="BZ232" s="7">
        <v>20.408481861524098</v>
      </c>
      <c r="CA232" s="7">
        <v>0.230048001062999</v>
      </c>
      <c r="CB232" s="7">
        <v>4.5372340425531901</v>
      </c>
      <c r="CC232" s="7">
        <v>9.9115842011726194</v>
      </c>
      <c r="CD232" s="7">
        <v>10</v>
      </c>
      <c r="CE232" s="7">
        <v>17.7728503330178</v>
      </c>
      <c r="CF232" s="7">
        <v>94.101184247678802</v>
      </c>
      <c r="CG232" s="7">
        <v>100</v>
      </c>
      <c r="CH232" s="7">
        <v>100</v>
      </c>
      <c r="CI232" s="7">
        <v>14.5964986485672</v>
      </c>
      <c r="CJ232" s="7">
        <v>0.92258790506087296</v>
      </c>
      <c r="CK232" s="7">
        <v>7.77750095503845</v>
      </c>
      <c r="CL232" s="7">
        <v>9.8427176241965206</v>
      </c>
      <c r="CM232" s="7">
        <v>10</v>
      </c>
      <c r="CN232" s="7">
        <v>52.753002142607997</v>
      </c>
      <c r="CO232" s="7">
        <v>100</v>
      </c>
      <c r="CP232" s="7">
        <v>100</v>
      </c>
      <c r="CQ232" s="7">
        <v>100</v>
      </c>
      <c r="CR232" s="7">
        <v>11.6092529770707</v>
      </c>
      <c r="CS232" s="7">
        <v>2.46642416994702</v>
      </c>
      <c r="CT232" s="7">
        <v>9.8499759164216805</v>
      </c>
      <c r="CU232" s="7">
        <v>10</v>
      </c>
      <c r="CV232" s="7">
        <v>10</v>
      </c>
      <c r="CW232" s="7">
        <v>89.585098078296497</v>
      </c>
      <c r="CX232" s="7">
        <v>100</v>
      </c>
      <c r="CY232" s="7">
        <v>100</v>
      </c>
      <c r="CZ232" s="7">
        <v>100</v>
      </c>
      <c r="DA232" s="9">
        <v>30.404374794624299</v>
      </c>
      <c r="DB232" s="9">
        <v>0.179011576726959</v>
      </c>
      <c r="DC232" s="9">
        <v>0.85667364259969803</v>
      </c>
      <c r="DD232" s="9">
        <v>2.5409711495341099</v>
      </c>
      <c r="DE232" s="9">
        <v>5.2395361004534404</v>
      </c>
      <c r="DF232" s="9">
        <v>14.5257196007109</v>
      </c>
      <c r="DG232" s="9">
        <v>49.903665686714199</v>
      </c>
      <c r="DH232" s="9">
        <v>83.526832428123001</v>
      </c>
      <c r="DI232" s="9">
        <v>99.279984055010203</v>
      </c>
    </row>
    <row r="233" spans="1:113">
      <c r="A233" s="5" t="s">
        <v>540</v>
      </c>
      <c r="B233" s="5" t="s">
        <v>580</v>
      </c>
      <c r="C233" s="5" t="s">
        <v>581</v>
      </c>
      <c r="D233" s="6">
        <v>236452</v>
      </c>
      <c r="E233" s="7">
        <v>6.8948932205112499</v>
      </c>
      <c r="F233" s="7">
        <v>4.1443887131426296</v>
      </c>
      <c r="G233" s="7">
        <v>9.8204286705124098</v>
      </c>
      <c r="H233" s="7">
        <v>9.9971579855530894</v>
      </c>
      <c r="I233" s="7">
        <v>10</v>
      </c>
      <c r="J233" s="7">
        <v>95.433322619389997</v>
      </c>
      <c r="K233" s="7">
        <v>100</v>
      </c>
      <c r="L233" s="7">
        <v>100</v>
      </c>
      <c r="M233" s="7">
        <v>100</v>
      </c>
      <c r="N233" s="7">
        <v>7.4709129139193404</v>
      </c>
      <c r="O233" s="7">
        <v>9.0778255206130591</v>
      </c>
      <c r="P233" s="7">
        <v>9.9041919713091904</v>
      </c>
      <c r="Q233" s="7">
        <v>10</v>
      </c>
      <c r="R233" s="7">
        <v>10</v>
      </c>
      <c r="S233" s="7">
        <v>99.068732766058204</v>
      </c>
      <c r="T233" s="7">
        <v>100</v>
      </c>
      <c r="U233" s="7">
        <v>100</v>
      </c>
      <c r="V233" s="7">
        <v>100</v>
      </c>
      <c r="W233" s="7">
        <v>6.6208523043180501</v>
      </c>
      <c r="X233" s="7">
        <v>9.8529257523725704</v>
      </c>
      <c r="Y233" s="7">
        <v>10</v>
      </c>
      <c r="Z233" s="7">
        <v>10</v>
      </c>
      <c r="AA233" s="7">
        <v>10</v>
      </c>
      <c r="AB233" s="7">
        <v>100</v>
      </c>
      <c r="AC233" s="7">
        <v>100</v>
      </c>
      <c r="AD233" s="7">
        <v>100</v>
      </c>
      <c r="AE233" s="7">
        <v>100</v>
      </c>
      <c r="AF233" s="6">
        <v>7.2360548009965404</v>
      </c>
      <c r="AG233" s="6">
        <v>3.3911364674437099</v>
      </c>
      <c r="AH233" s="6">
        <v>9.0476206587383494</v>
      </c>
      <c r="AI233" s="6">
        <v>9.6989959907296193</v>
      </c>
      <c r="AJ233" s="6">
        <v>9.7821545176187996</v>
      </c>
      <c r="AK233" s="6">
        <v>94.223774804188594</v>
      </c>
      <c r="AL233" s="6">
        <v>99.068732766058204</v>
      </c>
      <c r="AM233" s="6">
        <v>99.765702975656794</v>
      </c>
      <c r="AN233" s="6">
        <v>100</v>
      </c>
      <c r="AO233" s="6">
        <v>9.7814380748447896</v>
      </c>
      <c r="AP233" s="7">
        <v>2.2659567269466998</v>
      </c>
      <c r="AQ233" s="7">
        <v>9.7220196911000993</v>
      </c>
      <c r="AR233" s="7">
        <v>10</v>
      </c>
      <c r="AS233" s="7">
        <v>10</v>
      </c>
      <c r="AT233" s="7">
        <v>83.896520223977802</v>
      </c>
      <c r="AU233" s="7">
        <v>100</v>
      </c>
      <c r="AV233" s="7">
        <v>100</v>
      </c>
      <c r="AW233" s="7">
        <v>100</v>
      </c>
      <c r="AX233" s="7">
        <v>8.4746421140175094</v>
      </c>
      <c r="AY233" s="7">
        <v>6.4574416794951999</v>
      </c>
      <c r="AZ233" s="7">
        <v>9.9692368852875006</v>
      </c>
      <c r="BA233" s="7">
        <v>10</v>
      </c>
      <c r="BB233" s="7">
        <v>10</v>
      </c>
      <c r="BC233" s="7">
        <v>99.483616125048599</v>
      </c>
      <c r="BD233" s="7">
        <v>100</v>
      </c>
      <c r="BE233" s="7">
        <v>100</v>
      </c>
      <c r="BF233" s="7">
        <v>100</v>
      </c>
      <c r="BG233" s="7">
        <v>7.2218819451199403</v>
      </c>
      <c r="BH233" s="7">
        <v>9.9197511545683703</v>
      </c>
      <c r="BI233" s="7">
        <v>10</v>
      </c>
      <c r="BJ233" s="7">
        <v>10</v>
      </c>
      <c r="BK233" s="7">
        <v>10</v>
      </c>
      <c r="BL233" s="7">
        <v>100</v>
      </c>
      <c r="BM233" s="7">
        <v>100</v>
      </c>
      <c r="BN233" s="7">
        <v>100</v>
      </c>
      <c r="BO233" s="7">
        <v>100</v>
      </c>
      <c r="BP233" s="6">
        <v>10.5146596477293</v>
      </c>
      <c r="BQ233" s="6">
        <v>1.73971038519446</v>
      </c>
      <c r="BR233" s="6">
        <v>6.1984461962681596</v>
      </c>
      <c r="BS233" s="6">
        <v>9.2143817772740295</v>
      </c>
      <c r="BT233" s="6">
        <v>9.8299950941417293</v>
      </c>
      <c r="BU233" s="6">
        <v>79.274017559589296</v>
      </c>
      <c r="BV233" s="6">
        <v>99.497995364809796</v>
      </c>
      <c r="BW233" s="6">
        <v>99.711569367144307</v>
      </c>
      <c r="BX233" s="6">
        <v>100</v>
      </c>
      <c r="BY233" s="6" t="str">
        <f>TRIM(Table1[[#This Row],[LA_Name]])</f>
        <v>Bromley</v>
      </c>
      <c r="BZ233" s="7">
        <v>23.299309901147101</v>
      </c>
      <c r="CA233" s="7">
        <v>0.19041919713091901</v>
      </c>
      <c r="CB233" s="7">
        <v>1.3409867541826701</v>
      </c>
      <c r="CC233" s="7">
        <v>5.9758809398947799</v>
      </c>
      <c r="CD233" s="7">
        <v>9.6806455432815106</v>
      </c>
      <c r="CE233" s="7">
        <v>15.176864649062001</v>
      </c>
      <c r="CF233" s="7">
        <v>80.505134234432404</v>
      </c>
      <c r="CG233" s="7">
        <v>99.395649011215795</v>
      </c>
      <c r="CH233" s="7">
        <v>100</v>
      </c>
      <c r="CI233" s="7">
        <v>18.558241841087799</v>
      </c>
      <c r="CJ233" s="7">
        <v>0.51810515453453598</v>
      </c>
      <c r="CK233" s="7">
        <v>2.3399632906467298</v>
      </c>
      <c r="CL233" s="7">
        <v>5.7910019792600602</v>
      </c>
      <c r="CM233" s="7">
        <v>8.5978761017035197</v>
      </c>
      <c r="CN233" s="7">
        <v>36.134183682100399</v>
      </c>
      <c r="CO233" s="7">
        <v>95.810143284895005</v>
      </c>
      <c r="CP233" s="7">
        <v>98.450425456329398</v>
      </c>
      <c r="CQ233" s="7">
        <v>100</v>
      </c>
      <c r="CR233" s="7">
        <v>12.9938938381054</v>
      </c>
      <c r="CS233" s="7">
        <v>1.1430184561771499</v>
      </c>
      <c r="CT233" s="7">
        <v>7.26482330451846</v>
      </c>
      <c r="CU233" s="7">
        <v>10</v>
      </c>
      <c r="CV233" s="7">
        <v>10</v>
      </c>
      <c r="CW233" s="7">
        <v>70.2159423477069</v>
      </c>
      <c r="CX233" s="7">
        <v>100</v>
      </c>
      <c r="CY233" s="7">
        <v>100</v>
      </c>
      <c r="CZ233" s="7">
        <v>100</v>
      </c>
      <c r="DA233" s="9">
        <v>42.817867977124699</v>
      </c>
      <c r="DB233" s="9">
        <v>0.13625598430125399</v>
      </c>
      <c r="DC233" s="9">
        <v>0.48133659262767903</v>
      </c>
      <c r="DD233" s="9">
        <v>0.85725221186541001</v>
      </c>
      <c r="DE233" s="9">
        <v>1.29761642955018</v>
      </c>
      <c r="DF233" s="9">
        <v>10.8237612707865</v>
      </c>
      <c r="DG233" s="9">
        <v>34.047502241469701</v>
      </c>
      <c r="DH233" s="9">
        <v>58.322619389981902</v>
      </c>
      <c r="DI233" s="9">
        <v>76.672643919273298</v>
      </c>
    </row>
    <row r="234" spans="1:113">
      <c r="A234" s="5" t="s">
        <v>540</v>
      </c>
      <c r="B234" s="5" t="s">
        <v>582</v>
      </c>
      <c r="C234" s="5" t="s">
        <v>583</v>
      </c>
      <c r="D234" s="6">
        <v>276779</v>
      </c>
      <c r="E234" s="7">
        <v>5.5479730667141904</v>
      </c>
      <c r="F234" s="7">
        <v>5.9261576925995101</v>
      </c>
      <c r="G234" s="7">
        <v>9.9800960332973201</v>
      </c>
      <c r="H234" s="7">
        <v>10</v>
      </c>
      <c r="I234" s="7">
        <v>10</v>
      </c>
      <c r="J234" s="7">
        <v>99.790085230454594</v>
      </c>
      <c r="K234" s="7">
        <v>100</v>
      </c>
      <c r="L234" s="7">
        <v>100</v>
      </c>
      <c r="M234" s="7">
        <v>100</v>
      </c>
      <c r="N234" s="7">
        <v>6.9262677147312699</v>
      </c>
      <c r="O234" s="7">
        <v>9.3960741241206893</v>
      </c>
      <c r="P234" s="7">
        <v>10</v>
      </c>
      <c r="Q234" s="7">
        <v>10</v>
      </c>
      <c r="R234" s="7">
        <v>10</v>
      </c>
      <c r="S234" s="7">
        <v>100</v>
      </c>
      <c r="T234" s="7">
        <v>100</v>
      </c>
      <c r="U234" s="7">
        <v>100</v>
      </c>
      <c r="V234" s="7">
        <v>100</v>
      </c>
      <c r="W234" s="7">
        <v>6.3576648447080002</v>
      </c>
      <c r="X234" s="7">
        <v>10</v>
      </c>
      <c r="Y234" s="7">
        <v>10</v>
      </c>
      <c r="Z234" s="7">
        <v>10</v>
      </c>
      <c r="AA234" s="7">
        <v>10</v>
      </c>
      <c r="AB234" s="7">
        <v>100</v>
      </c>
      <c r="AC234" s="7">
        <v>100</v>
      </c>
      <c r="AD234" s="7">
        <v>100</v>
      </c>
      <c r="AE234" s="7">
        <v>100</v>
      </c>
      <c r="AF234" s="6">
        <v>5.58956014828824</v>
      </c>
      <c r="AG234" s="6">
        <v>5.3010343992860696</v>
      </c>
      <c r="AH234" s="6">
        <v>9.4233594311707201</v>
      </c>
      <c r="AI234" s="6">
        <v>9.9400062866041097</v>
      </c>
      <c r="AJ234" s="6">
        <v>10</v>
      </c>
      <c r="AK234" s="6">
        <v>99.5234465042507</v>
      </c>
      <c r="AL234" s="6">
        <v>100</v>
      </c>
      <c r="AM234" s="6">
        <v>100</v>
      </c>
      <c r="AN234" s="6">
        <v>100</v>
      </c>
      <c r="AO234" s="6">
        <v>9.9242406594062604</v>
      </c>
      <c r="AP234" s="7">
        <v>2.4777132658185801</v>
      </c>
      <c r="AQ234" s="7">
        <v>9.5342132170432006</v>
      </c>
      <c r="AR234" s="7">
        <v>10</v>
      </c>
      <c r="AS234" s="7">
        <v>10</v>
      </c>
      <c r="AT234" s="7">
        <v>81.190408231838404</v>
      </c>
      <c r="AU234" s="7">
        <v>100</v>
      </c>
      <c r="AV234" s="7">
        <v>100</v>
      </c>
      <c r="AW234" s="7">
        <v>100</v>
      </c>
      <c r="AX234" s="7">
        <v>8.5835487810713698</v>
      </c>
      <c r="AY234" s="7">
        <v>7.3303935630954697</v>
      </c>
      <c r="AZ234" s="7">
        <v>10</v>
      </c>
      <c r="BA234" s="7">
        <v>10</v>
      </c>
      <c r="BB234" s="7">
        <v>10</v>
      </c>
      <c r="BC234" s="7">
        <v>99.824408643719394</v>
      </c>
      <c r="BD234" s="7">
        <v>100</v>
      </c>
      <c r="BE234" s="7">
        <v>100</v>
      </c>
      <c r="BF234" s="7">
        <v>100</v>
      </c>
      <c r="BG234" s="7">
        <v>7.3447822622085299</v>
      </c>
      <c r="BH234" s="7">
        <v>9.7307563073788099</v>
      </c>
      <c r="BI234" s="7">
        <v>10</v>
      </c>
      <c r="BJ234" s="7">
        <v>10</v>
      </c>
      <c r="BK234" s="7">
        <v>10</v>
      </c>
      <c r="BL234" s="7">
        <v>100</v>
      </c>
      <c r="BM234" s="7">
        <v>100</v>
      </c>
      <c r="BN234" s="7">
        <v>100</v>
      </c>
      <c r="BO234" s="7">
        <v>100</v>
      </c>
      <c r="BP234" s="6">
        <v>10.772188894316299</v>
      </c>
      <c r="BQ234" s="6">
        <v>2.0084507856448601</v>
      </c>
      <c r="BR234" s="6">
        <v>6.9890779286000697</v>
      </c>
      <c r="BS234" s="6">
        <v>8.98285635832198</v>
      </c>
      <c r="BT234" s="6">
        <v>9.8408152352598997</v>
      </c>
      <c r="BU234" s="6">
        <v>74.552621405525699</v>
      </c>
      <c r="BV234" s="6">
        <v>99.921236799034602</v>
      </c>
      <c r="BW234" s="6">
        <v>100</v>
      </c>
      <c r="BX234" s="6">
        <v>100</v>
      </c>
      <c r="BY234" s="6" t="str">
        <f>TRIM(Table1[[#This Row],[LA_Name]])</f>
        <v>Croydon</v>
      </c>
      <c r="BZ234" s="7">
        <v>25.407543686763901</v>
      </c>
      <c r="CA234" s="7">
        <v>0.24182470490897101</v>
      </c>
      <c r="CB234" s="7">
        <v>1.6812980753597599</v>
      </c>
      <c r="CC234" s="7">
        <v>6.1243121768631301</v>
      </c>
      <c r="CD234" s="7">
        <v>9.5649597693466593</v>
      </c>
      <c r="CE234" s="7">
        <v>15.6941097409847</v>
      </c>
      <c r="CF234" s="7">
        <v>64.934478410573107</v>
      </c>
      <c r="CG234" s="7">
        <v>99.117707629552797</v>
      </c>
      <c r="CH234" s="7">
        <v>100</v>
      </c>
      <c r="CI234" s="7">
        <v>18.8461702712065</v>
      </c>
      <c r="CJ234" s="7">
        <v>0.83109990281054602</v>
      </c>
      <c r="CK234" s="7">
        <v>3.3451634697719101</v>
      </c>
      <c r="CL234" s="7">
        <v>7.4765643347219299</v>
      </c>
      <c r="CM234" s="7">
        <v>9.6171349704999294</v>
      </c>
      <c r="CN234" s="7">
        <v>35.284107537060301</v>
      </c>
      <c r="CO234" s="7">
        <v>89.958053175999595</v>
      </c>
      <c r="CP234" s="7">
        <v>100</v>
      </c>
      <c r="CQ234" s="7">
        <v>100</v>
      </c>
      <c r="CR234" s="7">
        <v>13.0275073733185</v>
      </c>
      <c r="CS234" s="7">
        <v>1.8224720806130501</v>
      </c>
      <c r="CT234" s="7">
        <v>7.8991325208921204</v>
      </c>
      <c r="CU234" s="7">
        <v>10</v>
      </c>
      <c r="CV234" s="7">
        <v>10</v>
      </c>
      <c r="CW234" s="7">
        <v>66.8175692520025</v>
      </c>
      <c r="CX234" s="7">
        <v>100</v>
      </c>
      <c r="CY234" s="7">
        <v>100</v>
      </c>
      <c r="CZ234" s="7">
        <v>100</v>
      </c>
      <c r="DA234" s="9">
        <v>44.901506138323199</v>
      </c>
      <c r="DB234" s="9">
        <v>0.20008743437905299</v>
      </c>
      <c r="DC234" s="9">
        <v>0.74456877147471401</v>
      </c>
      <c r="DD234" s="9">
        <v>1.39172408311324</v>
      </c>
      <c r="DE234" s="9">
        <v>2.2370736219149601</v>
      </c>
      <c r="DF234" s="9">
        <v>13.1751325064402</v>
      </c>
      <c r="DG234" s="9">
        <v>32.394798738343603</v>
      </c>
      <c r="DH234" s="9">
        <v>50.546464869083302</v>
      </c>
      <c r="DI234" s="9">
        <v>73.384180158176704</v>
      </c>
    </row>
    <row r="235" spans="1:113">
      <c r="A235" s="5" t="s">
        <v>540</v>
      </c>
      <c r="B235" s="5" t="s">
        <v>584</v>
      </c>
      <c r="C235" s="5" t="s">
        <v>585</v>
      </c>
      <c r="D235" s="6">
        <v>246997</v>
      </c>
      <c r="E235" s="7">
        <v>5.32798419302972</v>
      </c>
      <c r="F235" s="7">
        <v>6.3542634121062198</v>
      </c>
      <c r="G235" s="7">
        <v>10</v>
      </c>
      <c r="H235" s="7">
        <v>10</v>
      </c>
      <c r="I235" s="7">
        <v>10</v>
      </c>
      <c r="J235" s="7">
        <v>98.015765373668501</v>
      </c>
      <c r="K235" s="7">
        <v>100</v>
      </c>
      <c r="L235" s="7">
        <v>100</v>
      </c>
      <c r="M235" s="7">
        <v>100</v>
      </c>
      <c r="N235" s="7">
        <v>6.8612596425105599</v>
      </c>
      <c r="O235" s="7">
        <v>9.9482018000218595</v>
      </c>
      <c r="P235" s="7">
        <v>10</v>
      </c>
      <c r="Q235" s="7">
        <v>10</v>
      </c>
      <c r="R235" s="7">
        <v>10</v>
      </c>
      <c r="S235" s="7">
        <v>100</v>
      </c>
      <c r="T235" s="7">
        <v>100</v>
      </c>
      <c r="U235" s="7">
        <v>100</v>
      </c>
      <c r="V235" s="7">
        <v>100</v>
      </c>
      <c r="W235" s="7">
        <v>6.3431975251771702</v>
      </c>
      <c r="X235" s="7">
        <v>9.9965748571845001</v>
      </c>
      <c r="Y235" s="7">
        <v>10</v>
      </c>
      <c r="Z235" s="7">
        <v>10</v>
      </c>
      <c r="AA235" s="7">
        <v>10</v>
      </c>
      <c r="AB235" s="7">
        <v>100</v>
      </c>
      <c r="AC235" s="7">
        <v>100</v>
      </c>
      <c r="AD235" s="7">
        <v>100</v>
      </c>
      <c r="AE235" s="7">
        <v>100</v>
      </c>
      <c r="AF235" s="6">
        <v>5.4011014680324703</v>
      </c>
      <c r="AG235" s="6">
        <v>5.78761280501383</v>
      </c>
      <c r="AH235" s="6">
        <v>9.9365376907411793</v>
      </c>
      <c r="AI235" s="6">
        <v>10</v>
      </c>
      <c r="AJ235" s="6">
        <v>10</v>
      </c>
      <c r="AK235" s="6">
        <v>97.390656566678899</v>
      </c>
      <c r="AL235" s="6">
        <v>100</v>
      </c>
      <c r="AM235" s="6">
        <v>100</v>
      </c>
      <c r="AN235" s="6">
        <v>100</v>
      </c>
      <c r="AO235" s="6">
        <v>8.3074456050152907</v>
      </c>
      <c r="AP235" s="7">
        <v>2.9911415928128702</v>
      </c>
      <c r="AQ235" s="7">
        <v>9.9951375927642907</v>
      </c>
      <c r="AR235" s="7">
        <v>10</v>
      </c>
      <c r="AS235" s="7">
        <v>10</v>
      </c>
      <c r="AT235" s="7">
        <v>94.061061470382199</v>
      </c>
      <c r="AU235" s="7">
        <v>100</v>
      </c>
      <c r="AV235" s="7">
        <v>100</v>
      </c>
      <c r="AW235" s="7">
        <v>100</v>
      </c>
      <c r="AX235" s="7">
        <v>7.8875054613985203</v>
      </c>
      <c r="AY235" s="7">
        <v>8.9790888148439105</v>
      </c>
      <c r="AZ235" s="7">
        <v>10</v>
      </c>
      <c r="BA235" s="7">
        <v>10</v>
      </c>
      <c r="BB235" s="7">
        <v>10</v>
      </c>
      <c r="BC235" s="7">
        <v>100</v>
      </c>
      <c r="BD235" s="7">
        <v>100</v>
      </c>
      <c r="BE235" s="7">
        <v>100</v>
      </c>
      <c r="BF235" s="7">
        <v>100</v>
      </c>
      <c r="BG235" s="7">
        <v>7.11600073269119</v>
      </c>
      <c r="BH235" s="7">
        <v>9.9769794774835301</v>
      </c>
      <c r="BI235" s="7">
        <v>10</v>
      </c>
      <c r="BJ235" s="7">
        <v>10</v>
      </c>
      <c r="BK235" s="7">
        <v>10</v>
      </c>
      <c r="BL235" s="7">
        <v>100</v>
      </c>
      <c r="BM235" s="7">
        <v>100</v>
      </c>
      <c r="BN235" s="7">
        <v>100</v>
      </c>
      <c r="BO235" s="7">
        <v>100</v>
      </c>
      <c r="BP235" s="6">
        <v>8.4872011907018994</v>
      </c>
      <c r="BQ235" s="6">
        <v>2.5558650509925198</v>
      </c>
      <c r="BR235" s="6">
        <v>8.8172852301849804</v>
      </c>
      <c r="BS235" s="6">
        <v>9.99902427964712</v>
      </c>
      <c r="BT235" s="6">
        <v>10</v>
      </c>
      <c r="BU235" s="6">
        <v>91.015275489176005</v>
      </c>
      <c r="BV235" s="6">
        <v>100</v>
      </c>
      <c r="BW235" s="6">
        <v>100</v>
      </c>
      <c r="BX235" s="6">
        <v>100</v>
      </c>
      <c r="BY235" s="6" t="str">
        <f>TRIM(Table1[[#This Row],[LA_Name]])</f>
        <v>Ealing</v>
      </c>
      <c r="BZ235" s="7">
        <v>27.257130383680899</v>
      </c>
      <c r="CA235" s="7">
        <v>8.4045555209172604E-2</v>
      </c>
      <c r="CB235" s="7">
        <v>2.5378000542516701</v>
      </c>
      <c r="CC235" s="7">
        <v>8.3473119106709799</v>
      </c>
      <c r="CD235" s="7">
        <v>10</v>
      </c>
      <c r="CE235" s="7">
        <v>6.7952242334927204</v>
      </c>
      <c r="CF235" s="7">
        <v>62.5983311538197</v>
      </c>
      <c r="CG235" s="7">
        <v>99.588254108349503</v>
      </c>
      <c r="CH235" s="7">
        <v>100</v>
      </c>
      <c r="CI235" s="7">
        <v>18.617864840477498</v>
      </c>
      <c r="CJ235" s="7">
        <v>0.64694712891249695</v>
      </c>
      <c r="CK235" s="7">
        <v>5.8812536184650002</v>
      </c>
      <c r="CL235" s="7">
        <v>10</v>
      </c>
      <c r="CM235" s="7">
        <v>10</v>
      </c>
      <c r="CN235" s="7">
        <v>29.861091430260299</v>
      </c>
      <c r="CO235" s="7">
        <v>99.535621890144398</v>
      </c>
      <c r="CP235" s="7">
        <v>100</v>
      </c>
      <c r="CQ235" s="7">
        <v>100</v>
      </c>
      <c r="CR235" s="7">
        <v>13.5770068776605</v>
      </c>
      <c r="CS235" s="7">
        <v>1.8610509439385901</v>
      </c>
      <c r="CT235" s="7">
        <v>10</v>
      </c>
      <c r="CU235" s="7">
        <v>10</v>
      </c>
      <c r="CV235" s="7">
        <v>10</v>
      </c>
      <c r="CW235" s="7">
        <v>59.533921464633202</v>
      </c>
      <c r="CX235" s="7">
        <v>100</v>
      </c>
      <c r="CY235" s="7">
        <v>100</v>
      </c>
      <c r="CZ235" s="7">
        <v>100</v>
      </c>
      <c r="DA235" s="9">
        <v>42.454194676931003</v>
      </c>
      <c r="DB235" s="9">
        <v>7.0397616165378499E-2</v>
      </c>
      <c r="DC235" s="9">
        <v>0.53804702081401801</v>
      </c>
      <c r="DD235" s="9">
        <v>1.7683089268290699</v>
      </c>
      <c r="DE235" s="9">
        <v>3.46129305214233</v>
      </c>
      <c r="DF235" s="9">
        <v>5.9150515998169997</v>
      </c>
      <c r="DG235" s="9">
        <v>27.6379875059211</v>
      </c>
      <c r="DH235" s="9">
        <v>53.149228533140104</v>
      </c>
      <c r="DI235" s="9">
        <v>81.992088972740603</v>
      </c>
    </row>
    <row r="236" spans="1:113">
      <c r="A236" s="5" t="s">
        <v>540</v>
      </c>
      <c r="B236" s="5" t="s">
        <v>586</v>
      </c>
      <c r="C236" s="5" t="s">
        <v>587</v>
      </c>
      <c r="D236" s="6">
        <v>236358</v>
      </c>
      <c r="E236" s="7">
        <v>5.4893024138333697</v>
      </c>
      <c r="F236" s="7">
        <v>5.9738024522123201</v>
      </c>
      <c r="G236" s="7">
        <v>9.9946098714661709</v>
      </c>
      <c r="H236" s="7">
        <v>10</v>
      </c>
      <c r="I236" s="7">
        <v>10</v>
      </c>
      <c r="J236" s="7">
        <v>97.806716929403706</v>
      </c>
      <c r="K236" s="7">
        <v>100</v>
      </c>
      <c r="L236" s="7">
        <v>100</v>
      </c>
      <c r="M236" s="7">
        <v>100</v>
      </c>
      <c r="N236" s="7">
        <v>6.8688442076189302</v>
      </c>
      <c r="O236" s="7">
        <v>9.7864933702265198</v>
      </c>
      <c r="P236" s="7">
        <v>10</v>
      </c>
      <c r="Q236" s="7">
        <v>10</v>
      </c>
      <c r="R236" s="7">
        <v>10</v>
      </c>
      <c r="S236" s="7">
        <v>99.794802799143696</v>
      </c>
      <c r="T236" s="7">
        <v>100</v>
      </c>
      <c r="U236" s="7">
        <v>100</v>
      </c>
      <c r="V236" s="7">
        <v>100</v>
      </c>
      <c r="W236" s="7">
        <v>6.2226713714500796</v>
      </c>
      <c r="X236" s="7">
        <v>10</v>
      </c>
      <c r="Y236" s="7">
        <v>10</v>
      </c>
      <c r="Z236" s="7">
        <v>10</v>
      </c>
      <c r="AA236" s="7">
        <v>10</v>
      </c>
      <c r="AB236" s="7">
        <v>100</v>
      </c>
      <c r="AC236" s="7">
        <v>100</v>
      </c>
      <c r="AD236" s="7">
        <v>100</v>
      </c>
      <c r="AE236" s="7">
        <v>100</v>
      </c>
      <c r="AF236" s="6">
        <v>5.5886199300145698</v>
      </c>
      <c r="AG236" s="6">
        <v>5.3631694294248602</v>
      </c>
      <c r="AH236" s="6">
        <v>9.7707714568578208</v>
      </c>
      <c r="AI236" s="6">
        <v>9.9825011211805794</v>
      </c>
      <c r="AJ236" s="6">
        <v>10</v>
      </c>
      <c r="AK236" s="6">
        <v>97.723791875036994</v>
      </c>
      <c r="AL236" s="6">
        <v>99.794802799143696</v>
      </c>
      <c r="AM236" s="6">
        <v>100</v>
      </c>
      <c r="AN236" s="6">
        <v>100</v>
      </c>
      <c r="AO236" s="6">
        <v>8.2871576022307494</v>
      </c>
      <c r="AP236" s="7">
        <v>2.8404115790453499</v>
      </c>
      <c r="AQ236" s="7">
        <v>9.9827634351280707</v>
      </c>
      <c r="AR236" s="7">
        <v>10</v>
      </c>
      <c r="AS236" s="7">
        <v>10</v>
      </c>
      <c r="AT236" s="7">
        <v>94.824799668299804</v>
      </c>
      <c r="AU236" s="7">
        <v>100</v>
      </c>
      <c r="AV236" s="7">
        <v>100</v>
      </c>
      <c r="AW236" s="7">
        <v>100</v>
      </c>
      <c r="AX236" s="7">
        <v>7.8099341675099403</v>
      </c>
      <c r="AY236" s="7">
        <v>8.8147217356721601</v>
      </c>
      <c r="AZ236" s="7">
        <v>10</v>
      </c>
      <c r="BA236" s="7">
        <v>10</v>
      </c>
      <c r="BB236" s="7">
        <v>10</v>
      </c>
      <c r="BC236" s="7">
        <v>99.794802799143696</v>
      </c>
      <c r="BD236" s="7">
        <v>100</v>
      </c>
      <c r="BE236" s="7">
        <v>100</v>
      </c>
      <c r="BF236" s="7">
        <v>100</v>
      </c>
      <c r="BG236" s="7">
        <v>6.8127354771270303</v>
      </c>
      <c r="BH236" s="7">
        <v>9.9966195347735205</v>
      </c>
      <c r="BI236" s="7">
        <v>10</v>
      </c>
      <c r="BJ236" s="7">
        <v>10</v>
      </c>
      <c r="BK236" s="7">
        <v>10</v>
      </c>
      <c r="BL236" s="7">
        <v>100</v>
      </c>
      <c r="BM236" s="7">
        <v>100</v>
      </c>
      <c r="BN236" s="7">
        <v>100</v>
      </c>
      <c r="BO236" s="7">
        <v>100</v>
      </c>
      <c r="BP236" s="6">
        <v>8.4530484135844599</v>
      </c>
      <c r="BQ236" s="6">
        <v>2.3459836349943699</v>
      </c>
      <c r="BR236" s="6">
        <v>8.4534985065028501</v>
      </c>
      <c r="BS236" s="6">
        <v>9.9500165003934704</v>
      </c>
      <c r="BT236" s="6">
        <v>9.9988280489765504</v>
      </c>
      <c r="BU236" s="6">
        <v>92.974640164496194</v>
      </c>
      <c r="BV236" s="6">
        <v>99.711877744776999</v>
      </c>
      <c r="BW236" s="6">
        <v>100</v>
      </c>
      <c r="BX236" s="6">
        <v>100</v>
      </c>
      <c r="BY236" s="6" t="str">
        <f>TRIM(Table1[[#This Row],[LA_Name]])</f>
        <v>Enfield</v>
      </c>
      <c r="BZ236" s="7">
        <v>26.530366451786101</v>
      </c>
      <c r="CA236" s="7">
        <v>0.115701605192124</v>
      </c>
      <c r="CB236" s="7">
        <v>0.77477385999204595</v>
      </c>
      <c r="CC236" s="7">
        <v>5.3768732177459597</v>
      </c>
      <c r="CD236" s="7">
        <v>9.9486795454353203</v>
      </c>
      <c r="CE236" s="7">
        <v>11.570160519212401</v>
      </c>
      <c r="CF236" s="7">
        <v>66.188578343022002</v>
      </c>
      <c r="CG236" s="7">
        <v>96.907657028744495</v>
      </c>
      <c r="CH236" s="7">
        <v>100</v>
      </c>
      <c r="CI236" s="7">
        <v>17.631755163430299</v>
      </c>
      <c r="CJ236" s="7">
        <v>0.356235033296948</v>
      </c>
      <c r="CK236" s="7">
        <v>1.5709643845353201</v>
      </c>
      <c r="CL236" s="7">
        <v>3.8831814450960001</v>
      </c>
      <c r="CM236" s="7">
        <v>8.1280599768148303</v>
      </c>
      <c r="CN236" s="7">
        <v>35.623503329694799</v>
      </c>
      <c r="CO236" s="7">
        <v>96.733345179769699</v>
      </c>
      <c r="CP236" s="7">
        <v>99.521488589343306</v>
      </c>
      <c r="CQ236" s="7">
        <v>100</v>
      </c>
      <c r="CR236" s="7">
        <v>12.4728482181986</v>
      </c>
      <c r="CS236" s="7">
        <v>1.07378637490586</v>
      </c>
      <c r="CT236" s="7">
        <v>5.3302405672750703</v>
      </c>
      <c r="CU236" s="7">
        <v>10</v>
      </c>
      <c r="CV236" s="7">
        <v>10</v>
      </c>
      <c r="CW236" s="7">
        <v>76.9531811912438</v>
      </c>
      <c r="CX236" s="7">
        <v>100</v>
      </c>
      <c r="CY236" s="7">
        <v>100</v>
      </c>
      <c r="CZ236" s="7">
        <v>100</v>
      </c>
      <c r="DA236" s="9">
        <v>40.053617977495001</v>
      </c>
      <c r="DB236" s="9">
        <v>0.102332055610557</v>
      </c>
      <c r="DC236" s="9">
        <v>0.32226114622733298</v>
      </c>
      <c r="DD236" s="9">
        <v>0.67924081266553304</v>
      </c>
      <c r="DE236" s="9">
        <v>1.0227663121197501</v>
      </c>
      <c r="DF236" s="9">
        <v>10.2332055610557</v>
      </c>
      <c r="DG236" s="9">
        <v>32.226114622733299</v>
      </c>
      <c r="DH236" s="9">
        <v>65.370751148681194</v>
      </c>
      <c r="DI236" s="9">
        <v>82.889091970654704</v>
      </c>
    </row>
    <row r="237" spans="1:113">
      <c r="A237" s="5" t="s">
        <v>540</v>
      </c>
      <c r="B237" s="5" t="s">
        <v>588</v>
      </c>
      <c r="C237" s="5" t="s">
        <v>589</v>
      </c>
      <c r="D237" s="6">
        <v>211503</v>
      </c>
      <c r="E237" s="7">
        <v>4.7085128317082896</v>
      </c>
      <c r="F237" s="7">
        <v>6.3966043034850602</v>
      </c>
      <c r="G237" s="7">
        <v>10</v>
      </c>
      <c r="H237" s="7">
        <v>10</v>
      </c>
      <c r="I237" s="7">
        <v>10</v>
      </c>
      <c r="J237" s="7">
        <v>99.843973844342599</v>
      </c>
      <c r="K237" s="7">
        <v>100</v>
      </c>
      <c r="L237" s="7">
        <v>100</v>
      </c>
      <c r="M237" s="7">
        <v>100</v>
      </c>
      <c r="N237" s="7">
        <v>6.6725626083895797</v>
      </c>
      <c r="O237" s="7">
        <v>9.9567571145562894</v>
      </c>
      <c r="P237" s="7">
        <v>10</v>
      </c>
      <c r="Q237" s="7">
        <v>10</v>
      </c>
      <c r="R237" s="7">
        <v>10</v>
      </c>
      <c r="S237" s="7">
        <v>100</v>
      </c>
      <c r="T237" s="7">
        <v>100</v>
      </c>
      <c r="U237" s="7">
        <v>100</v>
      </c>
      <c r="V237" s="7">
        <v>100</v>
      </c>
      <c r="W237" s="7">
        <v>6.2111671736719902</v>
      </c>
      <c r="X237" s="7">
        <v>9.9980236686950104</v>
      </c>
      <c r="Y237" s="7">
        <v>10</v>
      </c>
      <c r="Z237" s="7">
        <v>10</v>
      </c>
      <c r="AA237" s="7">
        <v>10</v>
      </c>
      <c r="AB237" s="7">
        <v>100</v>
      </c>
      <c r="AC237" s="7">
        <v>100</v>
      </c>
      <c r="AD237" s="7">
        <v>100</v>
      </c>
      <c r="AE237" s="7">
        <v>100</v>
      </c>
      <c r="AF237" s="6">
        <v>4.7263976846389797</v>
      </c>
      <c r="AG237" s="6">
        <v>5.5108059932955999</v>
      </c>
      <c r="AH237" s="6">
        <v>9.9395564129114007</v>
      </c>
      <c r="AI237" s="6">
        <v>10</v>
      </c>
      <c r="AJ237" s="6">
        <v>10</v>
      </c>
      <c r="AK237" s="6">
        <v>99.681328397233102</v>
      </c>
      <c r="AL237" s="6">
        <v>100</v>
      </c>
      <c r="AM237" s="6">
        <v>100</v>
      </c>
      <c r="AN237" s="6">
        <v>100</v>
      </c>
      <c r="AO237" s="6">
        <v>8.3523917820046591</v>
      </c>
      <c r="AP237" s="7">
        <v>2.88682430036453</v>
      </c>
      <c r="AQ237" s="7">
        <v>9.9709318543945002</v>
      </c>
      <c r="AR237" s="7">
        <v>10</v>
      </c>
      <c r="AS237" s="7">
        <v>10</v>
      </c>
      <c r="AT237" s="7">
        <v>87.584100461931996</v>
      </c>
      <c r="AU237" s="7">
        <v>100</v>
      </c>
      <c r="AV237" s="7">
        <v>100</v>
      </c>
      <c r="AW237" s="7">
        <v>100</v>
      </c>
      <c r="AX237" s="7">
        <v>7.9142698228999198</v>
      </c>
      <c r="AY237" s="7">
        <v>7.9225070093568402</v>
      </c>
      <c r="AZ237" s="7">
        <v>10</v>
      </c>
      <c r="BA237" s="7">
        <v>10</v>
      </c>
      <c r="BB237" s="7">
        <v>10</v>
      </c>
      <c r="BC237" s="7">
        <v>100</v>
      </c>
      <c r="BD237" s="7">
        <v>100</v>
      </c>
      <c r="BE237" s="7">
        <v>100</v>
      </c>
      <c r="BF237" s="7">
        <v>100</v>
      </c>
      <c r="BG237" s="7">
        <v>6.9428346659414197</v>
      </c>
      <c r="BH237" s="7">
        <v>9.9952199259584997</v>
      </c>
      <c r="BI237" s="7">
        <v>10</v>
      </c>
      <c r="BJ237" s="7">
        <v>10</v>
      </c>
      <c r="BK237" s="7">
        <v>10</v>
      </c>
      <c r="BL237" s="7">
        <v>100</v>
      </c>
      <c r="BM237" s="7">
        <v>100</v>
      </c>
      <c r="BN237" s="7">
        <v>100</v>
      </c>
      <c r="BO237" s="7">
        <v>100</v>
      </c>
      <c r="BP237" s="6">
        <v>8.6009502410890608</v>
      </c>
      <c r="BQ237" s="6">
        <v>2.4862957026614301</v>
      </c>
      <c r="BR237" s="6">
        <v>7.5830697436915804</v>
      </c>
      <c r="BS237" s="6">
        <v>9.9843784721729705</v>
      </c>
      <c r="BT237" s="6">
        <v>10</v>
      </c>
      <c r="BU237" s="6">
        <v>86.398774485468294</v>
      </c>
      <c r="BV237" s="6">
        <v>100</v>
      </c>
      <c r="BW237" s="6">
        <v>100</v>
      </c>
      <c r="BX237" s="6">
        <v>100</v>
      </c>
      <c r="BY237" s="6" t="str">
        <f>TRIM(Table1[[#This Row],[LA_Name]])</f>
        <v>Greenwich</v>
      </c>
      <c r="BZ237" s="7">
        <v>24.682604869576501</v>
      </c>
      <c r="CA237" s="7">
        <v>0.177415923178395</v>
      </c>
      <c r="CB237" s="7">
        <v>1.42194673361607</v>
      </c>
      <c r="CC237" s="7">
        <v>6.5182054155260198</v>
      </c>
      <c r="CD237" s="7">
        <v>9.9660241225892801</v>
      </c>
      <c r="CE237" s="7">
        <v>17.560034609438201</v>
      </c>
      <c r="CF237" s="7">
        <v>67.749866432154604</v>
      </c>
      <c r="CG237" s="7">
        <v>99.338070854786906</v>
      </c>
      <c r="CH237" s="7">
        <v>100</v>
      </c>
      <c r="CI237" s="7">
        <v>16.480559228089401</v>
      </c>
      <c r="CJ237" s="7">
        <v>0.467137581972833</v>
      </c>
      <c r="CK237" s="7">
        <v>3.7056779336463301</v>
      </c>
      <c r="CL237" s="7">
        <v>8.5139123322127794</v>
      </c>
      <c r="CM237" s="7">
        <v>9.9806007479799295</v>
      </c>
      <c r="CN237" s="7">
        <v>46.407852370888399</v>
      </c>
      <c r="CO237" s="7">
        <v>98.842569608941702</v>
      </c>
      <c r="CP237" s="7">
        <v>100</v>
      </c>
      <c r="CQ237" s="7">
        <v>100</v>
      </c>
      <c r="CR237" s="7">
        <v>11.9559028468578</v>
      </c>
      <c r="CS237" s="7">
        <v>1.03532810409309</v>
      </c>
      <c r="CT237" s="7">
        <v>7.2650127894166996</v>
      </c>
      <c r="CU237" s="7">
        <v>10</v>
      </c>
      <c r="CV237" s="7">
        <v>10</v>
      </c>
      <c r="CW237" s="7">
        <v>82.339257599183</v>
      </c>
      <c r="CX237" s="7">
        <v>100</v>
      </c>
      <c r="CY237" s="7">
        <v>100</v>
      </c>
      <c r="CZ237" s="7">
        <v>100</v>
      </c>
      <c r="DA237" s="9">
        <v>35.0852991450801</v>
      </c>
      <c r="DB237" s="9">
        <v>0.139875084514168</v>
      </c>
      <c r="DC237" s="9">
        <v>0.47061743805052397</v>
      </c>
      <c r="DD237" s="9">
        <v>1.15227207179094</v>
      </c>
      <c r="DE237" s="9">
        <v>2.0631574965839699</v>
      </c>
      <c r="DF237" s="9">
        <v>13.987508451416801</v>
      </c>
      <c r="DG237" s="9">
        <v>45.083994080462197</v>
      </c>
      <c r="DH237" s="9">
        <v>71.091190195883698</v>
      </c>
      <c r="DI237" s="9">
        <v>87.427128693209994</v>
      </c>
    </row>
    <row r="238" spans="1:113">
      <c r="A238" s="5" t="s">
        <v>540</v>
      </c>
      <c r="B238" s="5" t="s">
        <v>590</v>
      </c>
      <c r="C238" s="5" t="s">
        <v>591</v>
      </c>
      <c r="D238" s="6">
        <v>178806</v>
      </c>
      <c r="E238" s="7">
        <v>5.7694726687719697</v>
      </c>
      <c r="F238" s="7">
        <v>5.54432177891122</v>
      </c>
      <c r="G238" s="7">
        <v>9.9914432401597306</v>
      </c>
      <c r="H238" s="7">
        <v>10</v>
      </c>
      <c r="I238" s="7">
        <v>10</v>
      </c>
      <c r="J238" s="7">
        <v>98.767938436070395</v>
      </c>
      <c r="K238" s="7">
        <v>100</v>
      </c>
      <c r="L238" s="7">
        <v>100</v>
      </c>
      <c r="M238" s="7">
        <v>100</v>
      </c>
      <c r="N238" s="7">
        <v>6.9702061409105003</v>
      </c>
      <c r="O238" s="7">
        <v>9.9446159524848206</v>
      </c>
      <c r="P238" s="7">
        <v>10</v>
      </c>
      <c r="Q238" s="7">
        <v>10</v>
      </c>
      <c r="R238" s="7">
        <v>10</v>
      </c>
      <c r="S238" s="7">
        <v>100</v>
      </c>
      <c r="T238" s="7">
        <v>100</v>
      </c>
      <c r="U238" s="7">
        <v>100</v>
      </c>
      <c r="V238" s="7">
        <v>100</v>
      </c>
      <c r="W238" s="7">
        <v>6.3543648935717201</v>
      </c>
      <c r="X238" s="7">
        <v>10</v>
      </c>
      <c r="Y238" s="7">
        <v>10</v>
      </c>
      <c r="Z238" s="7">
        <v>10</v>
      </c>
      <c r="AA238" s="7">
        <v>10</v>
      </c>
      <c r="AB238" s="7">
        <v>100</v>
      </c>
      <c r="AC238" s="7">
        <v>100</v>
      </c>
      <c r="AD238" s="7">
        <v>100</v>
      </c>
      <c r="AE238" s="7">
        <v>100</v>
      </c>
      <c r="AF238" s="6">
        <v>5.7966826092879096</v>
      </c>
      <c r="AG238" s="6">
        <v>4.9356565215932404</v>
      </c>
      <c r="AH238" s="6">
        <v>9.9421272216816003</v>
      </c>
      <c r="AI238" s="6">
        <v>10</v>
      </c>
      <c r="AJ238" s="6">
        <v>10</v>
      </c>
      <c r="AK238" s="6">
        <v>98.441327472232501</v>
      </c>
      <c r="AL238" s="6">
        <v>100</v>
      </c>
      <c r="AM238" s="6">
        <v>100</v>
      </c>
      <c r="AN238" s="6">
        <v>100</v>
      </c>
      <c r="AO238" s="6">
        <v>8.6682004567686999</v>
      </c>
      <c r="AP238" s="7">
        <v>3.0341543348657201</v>
      </c>
      <c r="AQ238" s="7">
        <v>9.9535865686833809</v>
      </c>
      <c r="AR238" s="7">
        <v>10</v>
      </c>
      <c r="AS238" s="7">
        <v>10</v>
      </c>
      <c r="AT238" s="7">
        <v>92.161896133239395</v>
      </c>
      <c r="AU238" s="7">
        <v>100</v>
      </c>
      <c r="AV238" s="7">
        <v>100</v>
      </c>
      <c r="AW238" s="7">
        <v>100</v>
      </c>
      <c r="AX238" s="7">
        <v>7.9070401425321801</v>
      </c>
      <c r="AY238" s="7">
        <v>9.1113888795677997</v>
      </c>
      <c r="AZ238" s="7">
        <v>10</v>
      </c>
      <c r="BA238" s="7">
        <v>10</v>
      </c>
      <c r="BB238" s="7">
        <v>10</v>
      </c>
      <c r="BC238" s="7">
        <v>100</v>
      </c>
      <c r="BD238" s="7">
        <v>100</v>
      </c>
      <c r="BE238" s="7">
        <v>100</v>
      </c>
      <c r="BF238" s="7">
        <v>100</v>
      </c>
      <c r="BG238" s="7">
        <v>6.8982528598524899</v>
      </c>
      <c r="BH238" s="7">
        <v>9.9968904846593496</v>
      </c>
      <c r="BI238" s="7">
        <v>10</v>
      </c>
      <c r="BJ238" s="7">
        <v>10</v>
      </c>
      <c r="BK238" s="7">
        <v>10</v>
      </c>
      <c r="BL238" s="7">
        <v>100</v>
      </c>
      <c r="BM238" s="7">
        <v>100</v>
      </c>
      <c r="BN238" s="7">
        <v>100</v>
      </c>
      <c r="BO238" s="7">
        <v>100</v>
      </c>
      <c r="BP238" s="6">
        <v>8.8197175817697193</v>
      </c>
      <c r="BQ238" s="6">
        <v>2.5463742827421898</v>
      </c>
      <c r="BR238" s="6">
        <v>8.8386519468026794</v>
      </c>
      <c r="BS238" s="6">
        <v>9.9763766316566596</v>
      </c>
      <c r="BT238" s="6">
        <v>10</v>
      </c>
      <c r="BU238" s="6">
        <v>89.221278928000203</v>
      </c>
      <c r="BV238" s="6">
        <v>100</v>
      </c>
      <c r="BW238" s="6">
        <v>100</v>
      </c>
      <c r="BX238" s="6">
        <v>100</v>
      </c>
      <c r="BY238" s="6" t="str">
        <f>TRIM(Table1[[#This Row],[LA_Name]])</f>
        <v>Harrow</v>
      </c>
      <c r="BZ238" s="7">
        <v>23.258123380509002</v>
      </c>
      <c r="CA238" s="7">
        <v>0.141331946355268</v>
      </c>
      <c r="CB238" s="7">
        <v>1.7515631466505599</v>
      </c>
      <c r="CC238" s="7">
        <v>8.2074147399975406</v>
      </c>
      <c r="CD238" s="7">
        <v>10</v>
      </c>
      <c r="CE238" s="7">
        <v>10.815073319687301</v>
      </c>
      <c r="CF238" s="7">
        <v>82.150487120118996</v>
      </c>
      <c r="CG238" s="7">
        <v>100</v>
      </c>
      <c r="CH238" s="7">
        <v>100</v>
      </c>
      <c r="CI238" s="7">
        <v>17.241083015565199</v>
      </c>
      <c r="CJ238" s="7">
        <v>0.49330559377202099</v>
      </c>
      <c r="CK238" s="7">
        <v>2.5712559981208698</v>
      </c>
      <c r="CL238" s="7">
        <v>9.0383152690625597</v>
      </c>
      <c r="CM238" s="7">
        <v>10</v>
      </c>
      <c r="CN238" s="7">
        <v>35.489301253872902</v>
      </c>
      <c r="CO238" s="7">
        <v>99.220384103441702</v>
      </c>
      <c r="CP238" s="7">
        <v>100</v>
      </c>
      <c r="CQ238" s="7">
        <v>100</v>
      </c>
      <c r="CR238" s="7">
        <v>13.063192800471599</v>
      </c>
      <c r="CS238" s="7">
        <v>1.19488160352561</v>
      </c>
      <c r="CT238" s="7">
        <v>9.9106573604912604</v>
      </c>
      <c r="CU238" s="7">
        <v>10</v>
      </c>
      <c r="CV238" s="7">
        <v>10</v>
      </c>
      <c r="CW238" s="7">
        <v>72.147467087234205</v>
      </c>
      <c r="CX238" s="7">
        <v>100</v>
      </c>
      <c r="CY238" s="7">
        <v>100</v>
      </c>
      <c r="CZ238" s="7">
        <v>100</v>
      </c>
      <c r="DA238" s="9">
        <v>39.4829418931036</v>
      </c>
      <c r="DB238" s="9">
        <v>0.101126360412962</v>
      </c>
      <c r="DC238" s="9">
        <v>0.422127892800018</v>
      </c>
      <c r="DD238" s="9">
        <v>1.00446293748532</v>
      </c>
      <c r="DE238" s="9">
        <v>1.5979441405769399</v>
      </c>
      <c r="DF238" s="9">
        <v>9.0724024920864004</v>
      </c>
      <c r="DG238" s="9">
        <v>30.4821985839401</v>
      </c>
      <c r="DH238" s="9">
        <v>63.9357739673165</v>
      </c>
      <c r="DI238" s="9">
        <v>84.747156135700095</v>
      </c>
    </row>
    <row r="239" spans="1:113">
      <c r="A239" s="5" t="s">
        <v>540</v>
      </c>
      <c r="B239" s="5" t="s">
        <v>592</v>
      </c>
      <c r="C239" s="5" t="s">
        <v>593</v>
      </c>
      <c r="D239" s="6">
        <v>183966</v>
      </c>
      <c r="E239" s="7">
        <v>6.6569230225886002</v>
      </c>
      <c r="F239" s="7">
        <v>3.8616266049161299</v>
      </c>
      <c r="G239" s="7">
        <v>9.9196101453529497</v>
      </c>
      <c r="H239" s="7">
        <v>10</v>
      </c>
      <c r="I239" s="7">
        <v>10</v>
      </c>
      <c r="J239" s="7">
        <v>97.862104954176303</v>
      </c>
      <c r="K239" s="7">
        <v>100</v>
      </c>
      <c r="L239" s="7">
        <v>100</v>
      </c>
      <c r="M239" s="7">
        <v>100</v>
      </c>
      <c r="N239" s="7">
        <v>7.3067434951739996</v>
      </c>
      <c r="O239" s="7">
        <v>9.2512909994238104</v>
      </c>
      <c r="P239" s="7">
        <v>10</v>
      </c>
      <c r="Q239" s="7">
        <v>10</v>
      </c>
      <c r="R239" s="7">
        <v>10</v>
      </c>
      <c r="S239" s="7">
        <v>99.574921452877206</v>
      </c>
      <c r="T239" s="7">
        <v>100</v>
      </c>
      <c r="U239" s="7">
        <v>100</v>
      </c>
      <c r="V239" s="7">
        <v>100</v>
      </c>
      <c r="W239" s="7">
        <v>6.5827798588073199</v>
      </c>
      <c r="X239" s="7">
        <v>10</v>
      </c>
      <c r="Y239" s="7">
        <v>10</v>
      </c>
      <c r="Z239" s="7">
        <v>10</v>
      </c>
      <c r="AA239" s="7">
        <v>10</v>
      </c>
      <c r="AB239" s="7">
        <v>100</v>
      </c>
      <c r="AC239" s="7">
        <v>100</v>
      </c>
      <c r="AD239" s="7">
        <v>100</v>
      </c>
      <c r="AE239" s="7">
        <v>100</v>
      </c>
      <c r="AF239" s="6">
        <v>6.8438609953355201</v>
      </c>
      <c r="AG239" s="6">
        <v>3.3535979474468101</v>
      </c>
      <c r="AH239" s="6">
        <v>9.0757368209342992</v>
      </c>
      <c r="AI239" s="6">
        <v>9.8700629464140093</v>
      </c>
      <c r="AJ239" s="6">
        <v>9.9983420849504796</v>
      </c>
      <c r="AK239" s="6">
        <v>96.249306937151403</v>
      </c>
      <c r="AL239" s="6">
        <v>99.574921452877206</v>
      </c>
      <c r="AM239" s="6">
        <v>100</v>
      </c>
      <c r="AN239" s="6">
        <v>100</v>
      </c>
      <c r="AO239" s="6">
        <v>9.9887548762864196</v>
      </c>
      <c r="AP239" s="7">
        <v>2.0071806746898901</v>
      </c>
      <c r="AQ239" s="7">
        <v>9.4001608992966101</v>
      </c>
      <c r="AR239" s="7">
        <v>10</v>
      </c>
      <c r="AS239" s="7">
        <v>10</v>
      </c>
      <c r="AT239" s="7">
        <v>81.649326505984803</v>
      </c>
      <c r="AU239" s="7">
        <v>100</v>
      </c>
      <c r="AV239" s="7">
        <v>100</v>
      </c>
      <c r="AW239" s="7">
        <v>100</v>
      </c>
      <c r="AX239" s="7">
        <v>8.6247397858005606</v>
      </c>
      <c r="AY239" s="7">
        <v>6.5372894991465804</v>
      </c>
      <c r="AZ239" s="7">
        <v>10</v>
      </c>
      <c r="BA239" s="7">
        <v>10</v>
      </c>
      <c r="BB239" s="7">
        <v>10</v>
      </c>
      <c r="BC239" s="7">
        <v>97.4027809486536</v>
      </c>
      <c r="BD239" s="7">
        <v>100</v>
      </c>
      <c r="BE239" s="7">
        <v>100</v>
      </c>
      <c r="BF239" s="7">
        <v>100</v>
      </c>
      <c r="BG239" s="7">
        <v>7.3682014522008403</v>
      </c>
      <c r="BH239" s="7">
        <v>9.7258895665503395</v>
      </c>
      <c r="BI239" s="7">
        <v>10</v>
      </c>
      <c r="BJ239" s="7">
        <v>10</v>
      </c>
      <c r="BK239" s="7">
        <v>10</v>
      </c>
      <c r="BL239" s="7">
        <v>100</v>
      </c>
      <c r="BM239" s="7">
        <v>100</v>
      </c>
      <c r="BN239" s="7">
        <v>100</v>
      </c>
      <c r="BO239" s="7">
        <v>100</v>
      </c>
      <c r="BP239" s="6">
        <v>11.119907554396301</v>
      </c>
      <c r="BQ239" s="6">
        <v>1.6175597664785899</v>
      </c>
      <c r="BR239" s="6">
        <v>6.1508485263581303</v>
      </c>
      <c r="BS239" s="6">
        <v>8.8875063870497808</v>
      </c>
      <c r="BT239" s="6">
        <v>9.7888957742191494</v>
      </c>
      <c r="BU239" s="6">
        <v>77.796984225345994</v>
      </c>
      <c r="BV239" s="6">
        <v>96.633073502712506</v>
      </c>
      <c r="BW239" s="6">
        <v>100</v>
      </c>
      <c r="BX239" s="6">
        <v>100</v>
      </c>
      <c r="BY239" s="6" t="str">
        <f>TRIM(Table1[[#This Row],[LA_Name]])</f>
        <v>Havering</v>
      </c>
      <c r="BZ239" s="7">
        <v>25.8584112598339</v>
      </c>
      <c r="CA239" s="7">
        <v>0.22600371807834099</v>
      </c>
      <c r="CB239" s="7">
        <v>1.5157692182251099</v>
      </c>
      <c r="CC239" s="7">
        <v>4.9621995368709397</v>
      </c>
      <c r="CD239" s="7">
        <v>9.4227357229053208</v>
      </c>
      <c r="CE239" s="7">
        <v>14.725003533261599</v>
      </c>
      <c r="CF239" s="7">
        <v>66.591652805409694</v>
      </c>
      <c r="CG239" s="7">
        <v>97.923529347814295</v>
      </c>
      <c r="CH239" s="7">
        <v>100</v>
      </c>
      <c r="CI239" s="7">
        <v>19.849900401665099</v>
      </c>
      <c r="CJ239" s="7">
        <v>0.69399780394203303</v>
      </c>
      <c r="CK239" s="7">
        <v>2.5214604872639499</v>
      </c>
      <c r="CL239" s="7">
        <v>4.0744431036169697</v>
      </c>
      <c r="CM239" s="7">
        <v>7.4420164595631801</v>
      </c>
      <c r="CN239" s="7">
        <v>30.895926421186498</v>
      </c>
      <c r="CO239" s="7">
        <v>89.287694465281604</v>
      </c>
      <c r="CP239" s="7">
        <v>100</v>
      </c>
      <c r="CQ239" s="7">
        <v>100</v>
      </c>
      <c r="CR239" s="7">
        <v>13.495924409313</v>
      </c>
      <c r="CS239" s="7">
        <v>1.3892730178402499</v>
      </c>
      <c r="CT239" s="7">
        <v>8.2079188545709503</v>
      </c>
      <c r="CU239" s="7">
        <v>10</v>
      </c>
      <c r="CV239" s="7">
        <v>10</v>
      </c>
      <c r="CW239" s="7">
        <v>64.507028472652607</v>
      </c>
      <c r="CX239" s="7">
        <v>100</v>
      </c>
      <c r="CY239" s="7">
        <v>100</v>
      </c>
      <c r="CZ239" s="7">
        <v>100</v>
      </c>
      <c r="DA239" s="9">
        <v>48.118614434255697</v>
      </c>
      <c r="DB239" s="9">
        <v>0.19022536773099399</v>
      </c>
      <c r="DC239" s="9">
        <v>0.62182142352391201</v>
      </c>
      <c r="DD239" s="9">
        <v>1.1113684050313599</v>
      </c>
      <c r="DE239" s="9">
        <v>1.78429166258983</v>
      </c>
      <c r="DF239" s="9">
        <v>12.408814672276399</v>
      </c>
      <c r="DG239" s="9">
        <v>27.2925431873281</v>
      </c>
      <c r="DH239" s="9">
        <v>43.828207386147398</v>
      </c>
      <c r="DI239" s="9">
        <v>68.994814259156598</v>
      </c>
    </row>
    <row r="240" spans="1:113">
      <c r="A240" s="5" t="s">
        <v>540</v>
      </c>
      <c r="B240" s="5" t="s">
        <v>594</v>
      </c>
      <c r="C240" s="5" t="s">
        <v>595</v>
      </c>
      <c r="D240" s="6">
        <v>219982</v>
      </c>
      <c r="E240" s="7">
        <v>7.55115896454656</v>
      </c>
      <c r="F240" s="7">
        <v>3.2291051085997902</v>
      </c>
      <c r="G240" s="7">
        <v>9.6757234682837705</v>
      </c>
      <c r="H240" s="7">
        <v>9.9923766489985493</v>
      </c>
      <c r="I240" s="7">
        <v>10</v>
      </c>
      <c r="J240" s="7">
        <v>93.576292605758695</v>
      </c>
      <c r="K240" s="7">
        <v>100</v>
      </c>
      <c r="L240" s="7">
        <v>100</v>
      </c>
      <c r="M240" s="7">
        <v>100</v>
      </c>
      <c r="N240" s="7">
        <v>7.7949684463479496</v>
      </c>
      <c r="O240" s="7">
        <v>7.9639697793455797</v>
      </c>
      <c r="P240" s="7">
        <v>10</v>
      </c>
      <c r="Q240" s="7">
        <v>10</v>
      </c>
      <c r="R240" s="7">
        <v>10</v>
      </c>
      <c r="S240" s="7">
        <v>99.041285196061494</v>
      </c>
      <c r="T240" s="7">
        <v>100</v>
      </c>
      <c r="U240" s="7">
        <v>100</v>
      </c>
      <c r="V240" s="7">
        <v>100</v>
      </c>
      <c r="W240" s="7">
        <v>6.8509854352789299</v>
      </c>
      <c r="X240" s="7">
        <v>9.9645971033993703</v>
      </c>
      <c r="Y240" s="7">
        <v>10</v>
      </c>
      <c r="Z240" s="7">
        <v>10</v>
      </c>
      <c r="AA240" s="7">
        <v>10</v>
      </c>
      <c r="AB240" s="7">
        <v>100</v>
      </c>
      <c r="AC240" s="7">
        <v>100</v>
      </c>
      <c r="AD240" s="7">
        <v>100</v>
      </c>
      <c r="AE240" s="7">
        <v>100</v>
      </c>
      <c r="AF240" s="6">
        <v>8.1762368591571004</v>
      </c>
      <c r="AG240" s="6">
        <v>2.8595203243901799</v>
      </c>
      <c r="AH240" s="6">
        <v>7.8533607295142298</v>
      </c>
      <c r="AI240" s="6">
        <v>9.6179687428971494</v>
      </c>
      <c r="AJ240" s="6">
        <v>9.8721168095571503</v>
      </c>
      <c r="AK240" s="6">
        <v>90.397396150594105</v>
      </c>
      <c r="AL240" s="6">
        <v>98.818085116055002</v>
      </c>
      <c r="AM240" s="6">
        <v>100</v>
      </c>
      <c r="AN240" s="6">
        <v>100</v>
      </c>
      <c r="AO240" s="6">
        <v>9.2225739846283599</v>
      </c>
      <c r="AP240" s="7">
        <v>2.02090171013992</v>
      </c>
      <c r="AQ240" s="7">
        <v>9.7417015937667593</v>
      </c>
      <c r="AR240" s="7">
        <v>10</v>
      </c>
      <c r="AS240" s="7">
        <v>10</v>
      </c>
      <c r="AT240" s="7">
        <v>87.035302888418101</v>
      </c>
      <c r="AU240" s="7">
        <v>100</v>
      </c>
      <c r="AV240" s="7">
        <v>100</v>
      </c>
      <c r="AW240" s="7">
        <v>100</v>
      </c>
      <c r="AX240" s="7">
        <v>8.27911702740405</v>
      </c>
      <c r="AY240" s="7">
        <v>6.6240692420288898</v>
      </c>
      <c r="AZ240" s="7">
        <v>10</v>
      </c>
      <c r="BA240" s="7">
        <v>10</v>
      </c>
      <c r="BB240" s="7">
        <v>10</v>
      </c>
      <c r="BC240" s="7">
        <v>99.300851887881706</v>
      </c>
      <c r="BD240" s="7">
        <v>100</v>
      </c>
      <c r="BE240" s="7">
        <v>100</v>
      </c>
      <c r="BF240" s="7">
        <v>100</v>
      </c>
      <c r="BG240" s="7">
        <v>7.1195253622322596</v>
      </c>
      <c r="BH240" s="7">
        <v>9.9726704912220097</v>
      </c>
      <c r="BI240" s="7">
        <v>10</v>
      </c>
      <c r="BJ240" s="7">
        <v>10</v>
      </c>
      <c r="BK240" s="7">
        <v>10</v>
      </c>
      <c r="BL240" s="7">
        <v>100</v>
      </c>
      <c r="BM240" s="7">
        <v>100</v>
      </c>
      <c r="BN240" s="7">
        <v>100</v>
      </c>
      <c r="BO240" s="7">
        <v>100</v>
      </c>
      <c r="BP240" s="6">
        <v>9.7361027730663405</v>
      </c>
      <c r="BQ240" s="6">
        <v>1.67698720804429</v>
      </c>
      <c r="BR240" s="6">
        <v>6.3443236264785297</v>
      </c>
      <c r="BS240" s="6">
        <v>9.6252966151776107</v>
      </c>
      <c r="BT240" s="6">
        <v>9.9848442145266407</v>
      </c>
      <c r="BU240" s="6">
        <v>85.600185469720202</v>
      </c>
      <c r="BV240" s="6">
        <v>99.253575292523905</v>
      </c>
      <c r="BW240" s="6">
        <v>100</v>
      </c>
      <c r="BX240" s="6">
        <v>100</v>
      </c>
      <c r="BY240" s="6" t="str">
        <f>TRIM(Table1[[#This Row],[LA_Name]])</f>
        <v>Hillingdon</v>
      </c>
      <c r="BZ240" s="7">
        <v>20.318991222579299</v>
      </c>
      <c r="CA240" s="7">
        <v>0.35416988662708798</v>
      </c>
      <c r="CB240" s="7">
        <v>2.5945304615832199</v>
      </c>
      <c r="CC240" s="7">
        <v>7.8393914047513</v>
      </c>
      <c r="CD240" s="7">
        <v>9.9826758552972503</v>
      </c>
      <c r="CE240" s="7">
        <v>26.150775972579599</v>
      </c>
      <c r="CF240" s="7">
        <v>85.852933421825398</v>
      </c>
      <c r="CG240" s="7">
        <v>100</v>
      </c>
      <c r="CH240" s="7">
        <v>100</v>
      </c>
      <c r="CI240" s="7">
        <v>15.9413162859287</v>
      </c>
      <c r="CJ240" s="7">
        <v>0.96877471793146697</v>
      </c>
      <c r="CK240" s="7">
        <v>4.8288359956723701</v>
      </c>
      <c r="CL240" s="7">
        <v>9.5987353510741809</v>
      </c>
      <c r="CM240" s="7">
        <v>10</v>
      </c>
      <c r="CN240" s="7">
        <v>53.7403060250384</v>
      </c>
      <c r="CO240" s="7">
        <v>97.459337582165801</v>
      </c>
      <c r="CP240" s="7">
        <v>100</v>
      </c>
      <c r="CQ240" s="7">
        <v>100</v>
      </c>
      <c r="CR240" s="7">
        <v>11.502305816374401</v>
      </c>
      <c r="CS240" s="7">
        <v>2.45758743897228</v>
      </c>
      <c r="CT240" s="7">
        <v>9.9986271604040304</v>
      </c>
      <c r="CU240" s="7">
        <v>10</v>
      </c>
      <c r="CV240" s="7">
        <v>10</v>
      </c>
      <c r="CW240" s="7">
        <v>78.471420388940899</v>
      </c>
      <c r="CX240" s="7">
        <v>100</v>
      </c>
      <c r="CY240" s="7">
        <v>100</v>
      </c>
      <c r="CZ240" s="7">
        <v>100</v>
      </c>
      <c r="DA240" s="9">
        <v>33.652922075407702</v>
      </c>
      <c r="DB240" s="9">
        <v>0.263003336636634</v>
      </c>
      <c r="DC240" s="9">
        <v>0.92465292614850303</v>
      </c>
      <c r="DD240" s="9">
        <v>1.8173759671245799</v>
      </c>
      <c r="DE240" s="9">
        <v>2.9608058841177902</v>
      </c>
      <c r="DF240" s="9">
        <v>22.5677555436354</v>
      </c>
      <c r="DG240" s="9">
        <v>53.276631724413797</v>
      </c>
      <c r="DH240" s="9">
        <v>70.596685183333193</v>
      </c>
      <c r="DI240" s="9">
        <v>83.860952259730297</v>
      </c>
    </row>
    <row r="241" spans="1:113">
      <c r="A241" s="5" t="s">
        <v>540</v>
      </c>
      <c r="B241" s="5" t="s">
        <v>596</v>
      </c>
      <c r="C241" s="5" t="s">
        <v>597</v>
      </c>
      <c r="D241" s="6">
        <v>197465</v>
      </c>
      <c r="E241" s="7">
        <v>6.4472287182351096</v>
      </c>
      <c r="F241" s="7">
        <v>4.7272022890132401</v>
      </c>
      <c r="G241" s="7">
        <v>10</v>
      </c>
      <c r="H241" s="7">
        <v>10</v>
      </c>
      <c r="I241" s="7">
        <v>10</v>
      </c>
      <c r="J241" s="7">
        <v>98.767882915959802</v>
      </c>
      <c r="K241" s="7">
        <v>100</v>
      </c>
      <c r="L241" s="7">
        <v>100</v>
      </c>
      <c r="M241" s="7">
        <v>100</v>
      </c>
      <c r="N241" s="7">
        <v>7.2552010294473002</v>
      </c>
      <c r="O241" s="7">
        <v>9.7147342567037196</v>
      </c>
      <c r="P241" s="7">
        <v>10</v>
      </c>
      <c r="Q241" s="7">
        <v>10</v>
      </c>
      <c r="R241" s="7">
        <v>10</v>
      </c>
      <c r="S241" s="7">
        <v>100</v>
      </c>
      <c r="T241" s="7">
        <v>100</v>
      </c>
      <c r="U241" s="7">
        <v>100</v>
      </c>
      <c r="V241" s="7">
        <v>100</v>
      </c>
      <c r="W241" s="7">
        <v>6.55841035656956</v>
      </c>
      <c r="X241" s="7">
        <v>10</v>
      </c>
      <c r="Y241" s="7">
        <v>10</v>
      </c>
      <c r="Z241" s="7">
        <v>10</v>
      </c>
      <c r="AA241" s="7">
        <v>10</v>
      </c>
      <c r="AB241" s="7">
        <v>100</v>
      </c>
      <c r="AC241" s="7">
        <v>100</v>
      </c>
      <c r="AD241" s="7">
        <v>100</v>
      </c>
      <c r="AE241" s="7">
        <v>100</v>
      </c>
      <c r="AF241" s="6">
        <v>6.5218181352534597</v>
      </c>
      <c r="AG241" s="6">
        <v>4.0723014205048997</v>
      </c>
      <c r="AH241" s="6">
        <v>9.6905932696933608</v>
      </c>
      <c r="AI241" s="6">
        <v>10</v>
      </c>
      <c r="AJ241" s="6">
        <v>10</v>
      </c>
      <c r="AK241" s="6">
        <v>97.732762768085493</v>
      </c>
      <c r="AL241" s="6">
        <v>100</v>
      </c>
      <c r="AM241" s="6">
        <v>100</v>
      </c>
      <c r="AN241" s="6">
        <v>100</v>
      </c>
      <c r="AO241" s="6">
        <v>7.4090091493837704</v>
      </c>
      <c r="AP241" s="7">
        <v>3.7569797179247</v>
      </c>
      <c r="AQ241" s="7">
        <v>9.9902261160205601</v>
      </c>
      <c r="AR241" s="7">
        <v>10</v>
      </c>
      <c r="AS241" s="7">
        <v>10</v>
      </c>
      <c r="AT241" s="7">
        <v>93.052439672853396</v>
      </c>
      <c r="AU241" s="7">
        <v>100</v>
      </c>
      <c r="AV241" s="7">
        <v>100</v>
      </c>
      <c r="AW241" s="7">
        <v>100</v>
      </c>
      <c r="AX241" s="7">
        <v>7.7129768344053398</v>
      </c>
      <c r="AY241" s="7">
        <v>9.0441394677537801</v>
      </c>
      <c r="AZ241" s="7">
        <v>10</v>
      </c>
      <c r="BA241" s="7">
        <v>10</v>
      </c>
      <c r="BB241" s="7">
        <v>10</v>
      </c>
      <c r="BC241" s="7">
        <v>99.696655103436001</v>
      </c>
      <c r="BD241" s="7">
        <v>100</v>
      </c>
      <c r="BE241" s="7">
        <v>100</v>
      </c>
      <c r="BF241" s="7">
        <v>100</v>
      </c>
      <c r="BG241" s="7">
        <v>6.8320130079463199</v>
      </c>
      <c r="BH241" s="7">
        <v>10</v>
      </c>
      <c r="BI241" s="7">
        <v>10</v>
      </c>
      <c r="BJ241" s="7">
        <v>10</v>
      </c>
      <c r="BK241" s="7">
        <v>10</v>
      </c>
      <c r="BL241" s="7">
        <v>100</v>
      </c>
      <c r="BM241" s="7">
        <v>100</v>
      </c>
      <c r="BN241" s="7">
        <v>100</v>
      </c>
      <c r="BO241" s="7">
        <v>100</v>
      </c>
      <c r="BP241" s="6">
        <v>7.6598754141280798</v>
      </c>
      <c r="BQ241" s="6">
        <v>3.0383764211379201</v>
      </c>
      <c r="BR241" s="6">
        <v>9.0388777758083698</v>
      </c>
      <c r="BS241" s="6">
        <v>9.9784012356620195</v>
      </c>
      <c r="BT241" s="6">
        <v>10</v>
      </c>
      <c r="BU241" s="6">
        <v>91.049553085356905</v>
      </c>
      <c r="BV241" s="6">
        <v>100</v>
      </c>
      <c r="BW241" s="6">
        <v>100</v>
      </c>
      <c r="BX241" s="6">
        <v>100</v>
      </c>
      <c r="BY241" s="6" t="str">
        <f>TRIM(Table1[[#This Row],[LA_Name]])</f>
        <v>Hounslow</v>
      </c>
      <c r="BZ241" s="7">
        <v>19.1631319691536</v>
      </c>
      <c r="CA241" s="7">
        <v>0.23273997923682699</v>
      </c>
      <c r="CB241" s="7">
        <v>2.73125363988555</v>
      </c>
      <c r="CC241" s="7">
        <v>8.3483503405666806</v>
      </c>
      <c r="CD241" s="7">
        <v>9.9986174765148306</v>
      </c>
      <c r="CE241" s="7">
        <v>23.009647279264701</v>
      </c>
      <c r="CF241" s="7">
        <v>97.049097308383807</v>
      </c>
      <c r="CG241" s="7">
        <v>100</v>
      </c>
      <c r="CH241" s="7">
        <v>100</v>
      </c>
      <c r="CI241" s="7">
        <v>12.882431273373101</v>
      </c>
      <c r="CJ241" s="7">
        <v>0.97363077000987497</v>
      </c>
      <c r="CK241" s="7">
        <v>5.5857139239865301</v>
      </c>
      <c r="CL241" s="7">
        <v>9.9770744182513393</v>
      </c>
      <c r="CM241" s="7">
        <v>10</v>
      </c>
      <c r="CN241" s="7">
        <v>74.160990555288294</v>
      </c>
      <c r="CO241" s="7">
        <v>100</v>
      </c>
      <c r="CP241" s="7">
        <v>100</v>
      </c>
      <c r="CQ241" s="7">
        <v>100</v>
      </c>
      <c r="CR241" s="7">
        <v>10.454077781393501</v>
      </c>
      <c r="CS241" s="7">
        <v>2.2599093510242301</v>
      </c>
      <c r="CT241" s="7">
        <v>9.9950067100498803</v>
      </c>
      <c r="CU241" s="7">
        <v>10</v>
      </c>
      <c r="CV241" s="7">
        <v>10</v>
      </c>
      <c r="CW241" s="7">
        <v>99.090471729167206</v>
      </c>
      <c r="CX241" s="7">
        <v>100</v>
      </c>
      <c r="CY241" s="7">
        <v>100</v>
      </c>
      <c r="CZ241" s="7">
        <v>100</v>
      </c>
      <c r="DA241" s="9">
        <v>24.023984925144301</v>
      </c>
      <c r="DB241" s="9">
        <v>0.19736155774441</v>
      </c>
      <c r="DC241" s="9">
        <v>0.92327754285569597</v>
      </c>
      <c r="DD241" s="9">
        <v>2.0280910541108601</v>
      </c>
      <c r="DE241" s="9">
        <v>3.51512419922518</v>
      </c>
      <c r="DF241" s="9">
        <v>19.736155774440999</v>
      </c>
      <c r="DG241" s="9">
        <v>73.301597751500296</v>
      </c>
      <c r="DH241" s="9">
        <v>96.052464993796406</v>
      </c>
      <c r="DI241" s="9">
        <v>100</v>
      </c>
    </row>
    <row r="242" spans="1:113">
      <c r="A242" s="5" t="s">
        <v>540</v>
      </c>
      <c r="B242" s="5" t="s">
        <v>598</v>
      </c>
      <c r="C242" s="5" t="s">
        <v>599</v>
      </c>
      <c r="D242" s="6">
        <v>130201</v>
      </c>
      <c r="E242" s="7">
        <v>6.0641425903147903</v>
      </c>
      <c r="F242" s="7">
        <v>5.15913088225129</v>
      </c>
      <c r="G242" s="7">
        <v>10</v>
      </c>
      <c r="H242" s="7">
        <v>10</v>
      </c>
      <c r="I242" s="7">
        <v>10</v>
      </c>
      <c r="J242" s="7">
        <v>99.592937074215996</v>
      </c>
      <c r="K242" s="7">
        <v>100</v>
      </c>
      <c r="L242" s="7">
        <v>100</v>
      </c>
      <c r="M242" s="7">
        <v>100</v>
      </c>
      <c r="N242" s="7">
        <v>7.0922286436543702</v>
      </c>
      <c r="O242" s="7">
        <v>9.76311241849141</v>
      </c>
      <c r="P242" s="7">
        <v>10</v>
      </c>
      <c r="Q242" s="7">
        <v>10</v>
      </c>
      <c r="R242" s="7">
        <v>10</v>
      </c>
      <c r="S242" s="7">
        <v>99.761906590579201</v>
      </c>
      <c r="T242" s="7">
        <v>100</v>
      </c>
      <c r="U242" s="7">
        <v>100</v>
      </c>
      <c r="V242" s="7">
        <v>100</v>
      </c>
      <c r="W242" s="7">
        <v>6.4824354657361303</v>
      </c>
      <c r="X242" s="7">
        <v>9.9976190659057895</v>
      </c>
      <c r="Y242" s="7">
        <v>10</v>
      </c>
      <c r="Z242" s="7">
        <v>10</v>
      </c>
      <c r="AA242" s="7">
        <v>10</v>
      </c>
      <c r="AB242" s="7">
        <v>100</v>
      </c>
      <c r="AC242" s="7">
        <v>100</v>
      </c>
      <c r="AD242" s="7">
        <v>100</v>
      </c>
      <c r="AE242" s="7">
        <v>100</v>
      </c>
      <c r="AF242" s="6">
        <v>6.1552911190953497</v>
      </c>
      <c r="AG242" s="6">
        <v>4.5562476478675302</v>
      </c>
      <c r="AH242" s="6">
        <v>9.7651400526877694</v>
      </c>
      <c r="AI242" s="6">
        <v>9.9904762636231705</v>
      </c>
      <c r="AJ242" s="6">
        <v>10</v>
      </c>
      <c r="AK242" s="6">
        <v>99.0069200697383</v>
      </c>
      <c r="AL242" s="6">
        <v>99.761906590579201</v>
      </c>
      <c r="AM242" s="6">
        <v>100</v>
      </c>
      <c r="AN242" s="6">
        <v>100</v>
      </c>
      <c r="AO242" s="6">
        <v>8.5091017093624597</v>
      </c>
      <c r="AP242" s="7">
        <v>2.9172356587123001</v>
      </c>
      <c r="AQ242" s="7">
        <v>9.9684718243331503</v>
      </c>
      <c r="AR242" s="7">
        <v>10</v>
      </c>
      <c r="AS242" s="7">
        <v>10</v>
      </c>
      <c r="AT242" s="7">
        <v>90.299613674242096</v>
      </c>
      <c r="AU242" s="7">
        <v>100</v>
      </c>
      <c r="AV242" s="7">
        <v>100</v>
      </c>
      <c r="AW242" s="7">
        <v>100</v>
      </c>
      <c r="AX242" s="7">
        <v>7.9218367685194098</v>
      </c>
      <c r="AY242" s="7">
        <v>8.5669848925891507</v>
      </c>
      <c r="AZ242" s="7">
        <v>10</v>
      </c>
      <c r="BA242" s="7">
        <v>10</v>
      </c>
      <c r="BB242" s="7">
        <v>10</v>
      </c>
      <c r="BC242" s="7">
        <v>100</v>
      </c>
      <c r="BD242" s="7">
        <v>100</v>
      </c>
      <c r="BE242" s="7">
        <v>100</v>
      </c>
      <c r="BF242" s="7">
        <v>100</v>
      </c>
      <c r="BG242" s="7">
        <v>6.8906330042398602</v>
      </c>
      <c r="BH242" s="7">
        <v>9.9789248930499799</v>
      </c>
      <c r="BI242" s="7">
        <v>10</v>
      </c>
      <c r="BJ242" s="7">
        <v>10</v>
      </c>
      <c r="BK242" s="7">
        <v>10</v>
      </c>
      <c r="BL242" s="7">
        <v>100</v>
      </c>
      <c r="BM242" s="7">
        <v>100</v>
      </c>
      <c r="BN242" s="7">
        <v>100</v>
      </c>
      <c r="BO242" s="7">
        <v>100</v>
      </c>
      <c r="BP242" s="6">
        <v>8.6778238300711106</v>
      </c>
      <c r="BQ242" s="6">
        <v>2.4370780562361301</v>
      </c>
      <c r="BR242" s="6">
        <v>8.3332923710263405</v>
      </c>
      <c r="BS242" s="6">
        <v>9.9296241964347391</v>
      </c>
      <c r="BT242" s="6">
        <v>10</v>
      </c>
      <c r="BU242" s="6">
        <v>88.030045852182397</v>
      </c>
      <c r="BV242" s="6">
        <v>100</v>
      </c>
      <c r="BW242" s="6">
        <v>100</v>
      </c>
      <c r="BX242" s="6">
        <v>100</v>
      </c>
      <c r="BY242" s="6" t="str">
        <f>TRIM(Table1[[#This Row],[LA_Name]])</f>
        <v>Kingston upon Thames</v>
      </c>
      <c r="BZ242" s="7">
        <v>18.0064196025277</v>
      </c>
      <c r="CA242" s="7">
        <v>0.43998125974454899</v>
      </c>
      <c r="CB242" s="7">
        <v>2.5341971259821401</v>
      </c>
      <c r="CC242" s="7">
        <v>6.8145021927635003</v>
      </c>
      <c r="CD242" s="7">
        <v>9.8314068248323707</v>
      </c>
      <c r="CE242" s="7">
        <v>39.578037035045803</v>
      </c>
      <c r="CF242" s="7">
        <v>93.274245205490004</v>
      </c>
      <c r="CG242" s="7">
        <v>100</v>
      </c>
      <c r="CH242" s="7">
        <v>100</v>
      </c>
      <c r="CI242" s="7">
        <v>13.5825455100581</v>
      </c>
      <c r="CJ242" s="7">
        <v>1.08741100298769</v>
      </c>
      <c r="CK242" s="7">
        <v>3.79170666891959</v>
      </c>
      <c r="CL242" s="7">
        <v>8.2142533467484906</v>
      </c>
      <c r="CM242" s="7">
        <v>9.9805531447531095</v>
      </c>
      <c r="CN242" s="7">
        <v>65.597806468460305</v>
      </c>
      <c r="CO242" s="7">
        <v>100</v>
      </c>
      <c r="CP242" s="7">
        <v>100</v>
      </c>
      <c r="CQ242" s="7">
        <v>100</v>
      </c>
      <c r="CR242" s="7">
        <v>10.334465876564</v>
      </c>
      <c r="CS242" s="7">
        <v>2.02307201941613</v>
      </c>
      <c r="CT242" s="7">
        <v>8.3676776676062392</v>
      </c>
      <c r="CU242" s="7">
        <v>10</v>
      </c>
      <c r="CV242" s="7">
        <v>10</v>
      </c>
      <c r="CW242" s="7">
        <v>89.179038563451897</v>
      </c>
      <c r="CX242" s="7">
        <v>100</v>
      </c>
      <c r="CY242" s="7">
        <v>100</v>
      </c>
      <c r="CZ242" s="7">
        <v>100</v>
      </c>
      <c r="DA242" s="9">
        <v>27.4877323102254</v>
      </c>
      <c r="DB242" s="9">
        <v>0.34002811038317698</v>
      </c>
      <c r="DC242" s="9">
        <v>1.00424727920676</v>
      </c>
      <c r="DD242" s="9">
        <v>1.77144568782114</v>
      </c>
      <c r="DE242" s="9">
        <v>2.6408552929700999</v>
      </c>
      <c r="DF242" s="9">
        <v>32.676400334866898</v>
      </c>
      <c r="DG242" s="9">
        <v>64.784448660148499</v>
      </c>
      <c r="DH242" s="9">
        <v>82.425634211718801</v>
      </c>
      <c r="DI242" s="9">
        <v>90.809594396356403</v>
      </c>
    </row>
    <row r="243" spans="1:113">
      <c r="A243" s="5" t="s">
        <v>540</v>
      </c>
      <c r="B243" s="5" t="s">
        <v>600</v>
      </c>
      <c r="C243" s="5" t="s">
        <v>601</v>
      </c>
      <c r="D243" s="6">
        <v>150979</v>
      </c>
      <c r="E243" s="7">
        <v>5.1925955301920004</v>
      </c>
      <c r="F243" s="7">
        <v>6.5665224965061402</v>
      </c>
      <c r="G243" s="7">
        <v>10</v>
      </c>
      <c r="H243" s="7">
        <v>10</v>
      </c>
      <c r="I243" s="7">
        <v>10</v>
      </c>
      <c r="J243" s="7">
        <v>99.058147159538706</v>
      </c>
      <c r="K243" s="7">
        <v>100</v>
      </c>
      <c r="L243" s="7">
        <v>100</v>
      </c>
      <c r="M243" s="7">
        <v>100</v>
      </c>
      <c r="N243" s="7">
        <v>6.8035962659123399</v>
      </c>
      <c r="O243" s="7">
        <v>9.9895283450016201</v>
      </c>
      <c r="P243" s="7">
        <v>10</v>
      </c>
      <c r="Q243" s="7">
        <v>10</v>
      </c>
      <c r="R243" s="7">
        <v>10</v>
      </c>
      <c r="S243" s="7">
        <v>100</v>
      </c>
      <c r="T243" s="7">
        <v>100</v>
      </c>
      <c r="U243" s="7">
        <v>100</v>
      </c>
      <c r="V243" s="7">
        <v>100</v>
      </c>
      <c r="W243" s="7">
        <v>6.2346217053077098</v>
      </c>
      <c r="X243" s="7">
        <v>10</v>
      </c>
      <c r="Y243" s="7">
        <v>10</v>
      </c>
      <c r="Z243" s="7">
        <v>10</v>
      </c>
      <c r="AA243" s="7">
        <v>10</v>
      </c>
      <c r="AB243" s="7">
        <v>100</v>
      </c>
      <c r="AC243" s="7">
        <v>100</v>
      </c>
      <c r="AD243" s="7">
        <v>100</v>
      </c>
      <c r="AE243" s="7">
        <v>100</v>
      </c>
      <c r="AF243" s="6">
        <v>5.2819953156497501</v>
      </c>
      <c r="AG243" s="6">
        <v>5.8584372661098598</v>
      </c>
      <c r="AH243" s="6">
        <v>9.9871637777439304</v>
      </c>
      <c r="AI243" s="6">
        <v>10</v>
      </c>
      <c r="AJ243" s="6">
        <v>10</v>
      </c>
      <c r="AK243" s="6">
        <v>97.661264149318797</v>
      </c>
      <c r="AL243" s="6">
        <v>100</v>
      </c>
      <c r="AM243" s="6">
        <v>100</v>
      </c>
      <c r="AN243" s="6">
        <v>100</v>
      </c>
      <c r="AO243" s="6">
        <v>8.0414077573727205</v>
      </c>
      <c r="AP243" s="7">
        <v>3.7192920869789798</v>
      </c>
      <c r="AQ243" s="7">
        <v>9.9919723935116807</v>
      </c>
      <c r="AR243" s="7">
        <v>10</v>
      </c>
      <c r="AS243" s="7">
        <v>10</v>
      </c>
      <c r="AT243" s="7">
        <v>90.021791110021894</v>
      </c>
      <c r="AU243" s="7">
        <v>100</v>
      </c>
      <c r="AV243" s="7">
        <v>100</v>
      </c>
      <c r="AW243" s="7">
        <v>100</v>
      </c>
      <c r="AX243" s="7">
        <v>7.8101910704154802</v>
      </c>
      <c r="AY243" s="7">
        <v>9.2463455182508802</v>
      </c>
      <c r="AZ243" s="7">
        <v>10</v>
      </c>
      <c r="BA243" s="7">
        <v>10</v>
      </c>
      <c r="BB243" s="7">
        <v>10</v>
      </c>
      <c r="BC243" s="7">
        <v>100</v>
      </c>
      <c r="BD243" s="7">
        <v>100</v>
      </c>
      <c r="BE243" s="7">
        <v>100</v>
      </c>
      <c r="BF243" s="7">
        <v>100</v>
      </c>
      <c r="BG243" s="7">
        <v>6.9064031267536601</v>
      </c>
      <c r="BH243" s="7">
        <v>10</v>
      </c>
      <c r="BI243" s="7">
        <v>10</v>
      </c>
      <c r="BJ243" s="7">
        <v>10</v>
      </c>
      <c r="BK243" s="7">
        <v>10</v>
      </c>
      <c r="BL243" s="7">
        <v>100</v>
      </c>
      <c r="BM243" s="7">
        <v>100</v>
      </c>
      <c r="BN243" s="7">
        <v>100</v>
      </c>
      <c r="BO243" s="7">
        <v>100</v>
      </c>
      <c r="BP243" s="6">
        <v>8.4410812887378306</v>
      </c>
      <c r="BQ243" s="6">
        <v>3.1336940899065402</v>
      </c>
      <c r="BR243" s="6">
        <v>9.0619953768404908</v>
      </c>
      <c r="BS243" s="6">
        <v>10</v>
      </c>
      <c r="BT243" s="6">
        <v>10</v>
      </c>
      <c r="BU243" s="6">
        <v>86.888905079514402</v>
      </c>
      <c r="BV243" s="6">
        <v>100</v>
      </c>
      <c r="BW243" s="6">
        <v>100</v>
      </c>
      <c r="BX243" s="6">
        <v>100</v>
      </c>
      <c r="BY243" s="6" t="str">
        <f>TRIM(Table1[[#This Row],[LA_Name]])</f>
        <v>Merton</v>
      </c>
      <c r="BZ243" s="7">
        <v>20.882228599934201</v>
      </c>
      <c r="CA243" s="7">
        <v>0.23094602560621</v>
      </c>
      <c r="CB243" s="7">
        <v>2.6075017055352099</v>
      </c>
      <c r="CC243" s="7">
        <v>9.3301253816756002</v>
      </c>
      <c r="CD243" s="7">
        <v>10</v>
      </c>
      <c r="CE243" s="7">
        <v>20.679697176428501</v>
      </c>
      <c r="CF243" s="7">
        <v>87.878446671391401</v>
      </c>
      <c r="CG243" s="7">
        <v>100</v>
      </c>
      <c r="CH243" s="7">
        <v>100</v>
      </c>
      <c r="CI243" s="7">
        <v>13.546968058587099</v>
      </c>
      <c r="CJ243" s="7">
        <v>1.1122540220825401</v>
      </c>
      <c r="CK243" s="7">
        <v>5.2338404678796397</v>
      </c>
      <c r="CL243" s="7">
        <v>9.9335470495896807</v>
      </c>
      <c r="CM243" s="7">
        <v>10</v>
      </c>
      <c r="CN243" s="7">
        <v>63.830731426224801</v>
      </c>
      <c r="CO243" s="7">
        <v>100</v>
      </c>
      <c r="CP243" s="7">
        <v>100</v>
      </c>
      <c r="CQ243" s="7">
        <v>100</v>
      </c>
      <c r="CR243" s="7">
        <v>10.661470751045201</v>
      </c>
      <c r="CS243" s="7">
        <v>2.1734545863994299</v>
      </c>
      <c r="CT243" s="7">
        <v>9.8923426436789192</v>
      </c>
      <c r="CU243" s="7">
        <v>10</v>
      </c>
      <c r="CV243" s="7">
        <v>10</v>
      </c>
      <c r="CW243" s="7">
        <v>98.298438855734901</v>
      </c>
      <c r="CX243" s="7">
        <v>100</v>
      </c>
      <c r="CY243" s="7">
        <v>100</v>
      </c>
      <c r="CZ243" s="7">
        <v>100</v>
      </c>
      <c r="DA243" s="9">
        <v>26.465967582497498</v>
      </c>
      <c r="DB243" s="9">
        <v>0.22611091608766801</v>
      </c>
      <c r="DC243" s="9">
        <v>1.0632935706290301</v>
      </c>
      <c r="DD243" s="9">
        <v>2.0865219666311199</v>
      </c>
      <c r="DE243" s="9">
        <v>3.3357420568423399</v>
      </c>
      <c r="DF243" s="9">
        <v>20.389590605315998</v>
      </c>
      <c r="DG243" s="9">
        <v>61.610555110313399</v>
      </c>
      <c r="DH243" s="9">
        <v>92.805621973916899</v>
      </c>
      <c r="DI243" s="9">
        <v>100</v>
      </c>
    </row>
    <row r="244" spans="1:113">
      <c r="A244" s="5" t="s">
        <v>540</v>
      </c>
      <c r="B244" s="5" t="s">
        <v>602</v>
      </c>
      <c r="C244" s="5" t="s">
        <v>603</v>
      </c>
      <c r="D244" s="6">
        <v>218903</v>
      </c>
      <c r="E244" s="7">
        <v>5.05566425106647</v>
      </c>
      <c r="F244" s="7">
        <v>6.36978022229024</v>
      </c>
      <c r="G244" s="7">
        <v>10</v>
      </c>
      <c r="H244" s="7">
        <v>10</v>
      </c>
      <c r="I244" s="7">
        <v>10</v>
      </c>
      <c r="J244" s="7">
        <v>99.811331959817807</v>
      </c>
      <c r="K244" s="7">
        <v>100</v>
      </c>
      <c r="L244" s="7">
        <v>100</v>
      </c>
      <c r="M244" s="7">
        <v>100</v>
      </c>
      <c r="N244" s="7">
        <v>6.70328858017833</v>
      </c>
      <c r="O244" s="7">
        <v>9.9387034439911695</v>
      </c>
      <c r="P244" s="7">
        <v>10</v>
      </c>
      <c r="Q244" s="7">
        <v>10</v>
      </c>
      <c r="R244" s="7">
        <v>10</v>
      </c>
      <c r="S244" s="7">
        <v>100</v>
      </c>
      <c r="T244" s="7">
        <v>100</v>
      </c>
      <c r="U244" s="7">
        <v>100</v>
      </c>
      <c r="V244" s="7">
        <v>100</v>
      </c>
      <c r="W244" s="7">
        <v>6.1635458681394297</v>
      </c>
      <c r="X244" s="7">
        <v>9.9958657487562999</v>
      </c>
      <c r="Y244" s="7">
        <v>10</v>
      </c>
      <c r="Z244" s="7">
        <v>10</v>
      </c>
      <c r="AA244" s="7">
        <v>10</v>
      </c>
      <c r="AB244" s="7">
        <v>100</v>
      </c>
      <c r="AC244" s="7">
        <v>100</v>
      </c>
      <c r="AD244" s="7">
        <v>100</v>
      </c>
      <c r="AE244" s="7">
        <v>100</v>
      </c>
      <c r="AF244" s="6">
        <v>5.0735490655812798</v>
      </c>
      <c r="AG244" s="6">
        <v>5.8035294171391003</v>
      </c>
      <c r="AH244" s="6">
        <v>9.9329109240165696</v>
      </c>
      <c r="AI244" s="6">
        <v>10</v>
      </c>
      <c r="AJ244" s="6">
        <v>10</v>
      </c>
      <c r="AK244" s="6">
        <v>99.811331959817807</v>
      </c>
      <c r="AL244" s="6">
        <v>100</v>
      </c>
      <c r="AM244" s="6">
        <v>100</v>
      </c>
      <c r="AN244" s="6">
        <v>100</v>
      </c>
      <c r="AO244" s="6">
        <v>7.7008436575110899</v>
      </c>
      <c r="AP244" s="7">
        <v>3.1833003659155001</v>
      </c>
      <c r="AQ244" s="7">
        <v>9.9931750592728292</v>
      </c>
      <c r="AR244" s="7">
        <v>10</v>
      </c>
      <c r="AS244" s="7">
        <v>10</v>
      </c>
      <c r="AT244" s="7">
        <v>95.398418477590496</v>
      </c>
      <c r="AU244" s="7">
        <v>100</v>
      </c>
      <c r="AV244" s="7">
        <v>100</v>
      </c>
      <c r="AW244" s="7">
        <v>100</v>
      </c>
      <c r="AX244" s="7">
        <v>7.6327579366725802</v>
      </c>
      <c r="AY244" s="7">
        <v>8.8433598443146106</v>
      </c>
      <c r="AZ244" s="7">
        <v>10</v>
      </c>
      <c r="BA244" s="7">
        <v>10</v>
      </c>
      <c r="BB244" s="7">
        <v>10</v>
      </c>
      <c r="BC244" s="7">
        <v>99.840568653695897</v>
      </c>
      <c r="BD244" s="7">
        <v>100</v>
      </c>
      <c r="BE244" s="7">
        <v>100</v>
      </c>
      <c r="BF244" s="7">
        <v>100</v>
      </c>
      <c r="BG244" s="7">
        <v>6.7518322255256003</v>
      </c>
      <c r="BH244" s="7">
        <v>9.9933851980100794</v>
      </c>
      <c r="BI244" s="7">
        <v>10</v>
      </c>
      <c r="BJ244" s="7">
        <v>10</v>
      </c>
      <c r="BK244" s="7">
        <v>10</v>
      </c>
      <c r="BL244" s="7">
        <v>100</v>
      </c>
      <c r="BM244" s="7">
        <v>100</v>
      </c>
      <c r="BN244" s="7">
        <v>100</v>
      </c>
      <c r="BO244" s="7">
        <v>100</v>
      </c>
      <c r="BP244" s="6">
        <v>7.9128157611720296</v>
      </c>
      <c r="BQ244" s="6">
        <v>2.7153670803963399</v>
      </c>
      <c r="BR244" s="6">
        <v>8.6671219672640394</v>
      </c>
      <c r="BS244" s="6">
        <v>9.9135233413886503</v>
      </c>
      <c r="BT244" s="6">
        <v>10</v>
      </c>
      <c r="BU244" s="6">
        <v>93.1293769386441</v>
      </c>
      <c r="BV244" s="6">
        <v>100</v>
      </c>
      <c r="BW244" s="6">
        <v>100</v>
      </c>
      <c r="BX244" s="6">
        <v>100</v>
      </c>
      <c r="BY244" s="6" t="str">
        <f>TRIM(Table1[[#This Row],[LA_Name]])</f>
        <v>Redbridge</v>
      </c>
      <c r="BZ244" s="7">
        <v>25.0976118383829</v>
      </c>
      <c r="CA244" s="7">
        <v>0.106051538809427</v>
      </c>
      <c r="CB244" s="7">
        <v>2.0490948045481301</v>
      </c>
      <c r="CC244" s="7">
        <v>8.2461227118860894</v>
      </c>
      <c r="CD244" s="7">
        <v>9.9878393626400701</v>
      </c>
      <c r="CE244" s="7">
        <v>10.6051538809427</v>
      </c>
      <c r="CF244" s="7">
        <v>74.157503551801497</v>
      </c>
      <c r="CG244" s="7">
        <v>99.895387454717394</v>
      </c>
      <c r="CH244" s="7">
        <v>99.895387454717394</v>
      </c>
      <c r="CI244" s="7">
        <v>17.587397180353999</v>
      </c>
      <c r="CJ244" s="7">
        <v>0.32013266149847203</v>
      </c>
      <c r="CK244" s="7">
        <v>3.2611659045330601</v>
      </c>
      <c r="CL244" s="7">
        <v>9.5201344887918395</v>
      </c>
      <c r="CM244" s="7">
        <v>10</v>
      </c>
      <c r="CN244" s="7">
        <v>32.013266149847198</v>
      </c>
      <c r="CO244" s="7">
        <v>99.202843268479597</v>
      </c>
      <c r="CP244" s="7">
        <v>100</v>
      </c>
      <c r="CQ244" s="7">
        <v>100</v>
      </c>
      <c r="CR244" s="7">
        <v>13.4284935409803</v>
      </c>
      <c r="CS244" s="7">
        <v>0.79126371041054699</v>
      </c>
      <c r="CT244" s="7">
        <v>9.8459728738299592</v>
      </c>
      <c r="CU244" s="7">
        <v>10</v>
      </c>
      <c r="CV244" s="7">
        <v>10</v>
      </c>
      <c r="CW244" s="7">
        <v>66.840107262120696</v>
      </c>
      <c r="CX244" s="7">
        <v>100</v>
      </c>
      <c r="CY244" s="7">
        <v>100</v>
      </c>
      <c r="CZ244" s="7">
        <v>100</v>
      </c>
      <c r="DA244" s="9">
        <v>40.419915526190302</v>
      </c>
      <c r="DB244" s="9">
        <v>0.103182688222637</v>
      </c>
      <c r="DC244" s="9">
        <v>0.27905967483314498</v>
      </c>
      <c r="DD244" s="9">
        <v>0.62032041589196996</v>
      </c>
      <c r="DE244" s="9">
        <v>1.2347249695070399</v>
      </c>
      <c r="DF244" s="9">
        <v>10.3182688222637</v>
      </c>
      <c r="DG244" s="9">
        <v>27.905967483314502</v>
      </c>
      <c r="DH244" s="9">
        <v>59.358254569375497</v>
      </c>
      <c r="DI244" s="9">
        <v>86.015723859426302</v>
      </c>
    </row>
    <row r="245" spans="1:113">
      <c r="A245" s="5" t="s">
        <v>540</v>
      </c>
      <c r="B245" s="5" t="s">
        <v>604</v>
      </c>
      <c r="C245" s="5" t="s">
        <v>605</v>
      </c>
      <c r="D245" s="6">
        <v>142303</v>
      </c>
      <c r="E245" s="7">
        <v>6.0735919850749696</v>
      </c>
      <c r="F245" s="7">
        <v>4.2207261969178402</v>
      </c>
      <c r="G245" s="7">
        <v>9.9960998714011708</v>
      </c>
      <c r="H245" s="7">
        <v>10</v>
      </c>
      <c r="I245" s="7">
        <v>10</v>
      </c>
      <c r="J245" s="7">
        <v>99.669718839378007</v>
      </c>
      <c r="K245" s="7">
        <v>100</v>
      </c>
      <c r="L245" s="7">
        <v>100</v>
      </c>
      <c r="M245" s="7">
        <v>100</v>
      </c>
      <c r="N245" s="7">
        <v>7.0890537188089899</v>
      </c>
      <c r="O245" s="7">
        <v>9.6870902229749198</v>
      </c>
      <c r="P245" s="7">
        <v>10</v>
      </c>
      <c r="Q245" s="7">
        <v>10</v>
      </c>
      <c r="R245" s="7">
        <v>10</v>
      </c>
      <c r="S245" s="7">
        <v>100</v>
      </c>
      <c r="T245" s="7">
        <v>100</v>
      </c>
      <c r="U245" s="7">
        <v>100</v>
      </c>
      <c r="V245" s="7">
        <v>100</v>
      </c>
      <c r="W245" s="7">
        <v>6.4866184809948102</v>
      </c>
      <c r="X245" s="7">
        <v>10</v>
      </c>
      <c r="Y245" s="7">
        <v>10</v>
      </c>
      <c r="Z245" s="7">
        <v>10</v>
      </c>
      <c r="AA245" s="7">
        <v>10</v>
      </c>
      <c r="AB245" s="7">
        <v>100</v>
      </c>
      <c r="AC245" s="7">
        <v>100</v>
      </c>
      <c r="AD245" s="7">
        <v>100</v>
      </c>
      <c r="AE245" s="7">
        <v>100</v>
      </c>
      <c r="AF245" s="6">
        <v>6.1203247328860098</v>
      </c>
      <c r="AG245" s="6">
        <v>3.70877634343619</v>
      </c>
      <c r="AH245" s="6">
        <v>9.6778142414425599</v>
      </c>
      <c r="AI245" s="6">
        <v>10</v>
      </c>
      <c r="AJ245" s="6">
        <v>10</v>
      </c>
      <c r="AK245" s="6">
        <v>99.341545856376896</v>
      </c>
      <c r="AL245" s="6">
        <v>100</v>
      </c>
      <c r="AM245" s="6">
        <v>100</v>
      </c>
      <c r="AN245" s="6">
        <v>100</v>
      </c>
      <c r="AO245" s="6">
        <v>6.8388904070823697</v>
      </c>
      <c r="AP245" s="7">
        <v>4.09340632312741</v>
      </c>
      <c r="AQ245" s="7">
        <v>10</v>
      </c>
      <c r="AR245" s="7">
        <v>10</v>
      </c>
      <c r="AS245" s="7">
        <v>10</v>
      </c>
      <c r="AT245" s="7">
        <v>95.409091867353496</v>
      </c>
      <c r="AU245" s="7">
        <v>100</v>
      </c>
      <c r="AV245" s="7">
        <v>100</v>
      </c>
      <c r="AW245" s="7">
        <v>100</v>
      </c>
      <c r="AX245" s="7">
        <v>7.317088180502</v>
      </c>
      <c r="AY245" s="7">
        <v>9.2968524908118599</v>
      </c>
      <c r="AZ245" s="7">
        <v>10</v>
      </c>
      <c r="BA245" s="7">
        <v>10</v>
      </c>
      <c r="BB245" s="7">
        <v>10</v>
      </c>
      <c r="BC245" s="7">
        <v>100</v>
      </c>
      <c r="BD245" s="7">
        <v>100</v>
      </c>
      <c r="BE245" s="7">
        <v>100</v>
      </c>
      <c r="BF245" s="7">
        <v>100</v>
      </c>
      <c r="BG245" s="7">
        <v>6.6080581487269301</v>
      </c>
      <c r="BH245" s="7">
        <v>9.99842589404299</v>
      </c>
      <c r="BI245" s="7">
        <v>10</v>
      </c>
      <c r="BJ245" s="7">
        <v>10</v>
      </c>
      <c r="BK245" s="7">
        <v>10</v>
      </c>
      <c r="BL245" s="7">
        <v>100</v>
      </c>
      <c r="BM245" s="7">
        <v>100</v>
      </c>
      <c r="BN245" s="7">
        <v>100</v>
      </c>
      <c r="BO245" s="7">
        <v>100</v>
      </c>
      <c r="BP245" s="6">
        <v>6.9158403662144403</v>
      </c>
      <c r="BQ245" s="6">
        <v>3.2603388544162799</v>
      </c>
      <c r="BR245" s="6">
        <v>9.3113989163966995</v>
      </c>
      <c r="BS245" s="6">
        <v>10</v>
      </c>
      <c r="BT245" s="6">
        <v>10</v>
      </c>
      <c r="BU245" s="6">
        <v>94.608687097250197</v>
      </c>
      <c r="BV245" s="6">
        <v>100</v>
      </c>
      <c r="BW245" s="6">
        <v>100</v>
      </c>
      <c r="BX245" s="6">
        <v>100</v>
      </c>
      <c r="BY245" s="6" t="str">
        <f>TRIM(Table1[[#This Row],[LA_Name]])</f>
        <v>Richmond upon Thames</v>
      </c>
      <c r="BZ245" s="7">
        <v>22.076278471936199</v>
      </c>
      <c r="CA245" s="7">
        <v>0.15079091797080901</v>
      </c>
      <c r="CB245" s="7">
        <v>1.6440904267654199</v>
      </c>
      <c r="CC245" s="7">
        <v>7.6489040990000197</v>
      </c>
      <c r="CD245" s="7">
        <v>9.9692838520621496</v>
      </c>
      <c r="CE245" s="7">
        <v>15.079091797080901</v>
      </c>
      <c r="CF245" s="7">
        <v>90.948890747208395</v>
      </c>
      <c r="CG245" s="7">
        <v>100</v>
      </c>
      <c r="CH245" s="7">
        <v>100</v>
      </c>
      <c r="CI245" s="7">
        <v>16.387141637552201</v>
      </c>
      <c r="CJ245" s="7">
        <v>0.46698242482590002</v>
      </c>
      <c r="CK245" s="7">
        <v>4.8204254302439198</v>
      </c>
      <c r="CL245" s="7">
        <v>9.7345804375171294</v>
      </c>
      <c r="CM245" s="7">
        <v>10</v>
      </c>
      <c r="CN245" s="7">
        <v>40.353330569278199</v>
      </c>
      <c r="CO245" s="7">
        <v>100</v>
      </c>
      <c r="CP245" s="7">
        <v>100</v>
      </c>
      <c r="CQ245" s="7">
        <v>100</v>
      </c>
      <c r="CR245" s="7">
        <v>13.058855157445899</v>
      </c>
      <c r="CS245" s="7">
        <v>0.98581196461072496</v>
      </c>
      <c r="CT245" s="7">
        <v>9.8459624884928605</v>
      </c>
      <c r="CU245" s="7">
        <v>10</v>
      </c>
      <c r="CV245" s="7">
        <v>10</v>
      </c>
      <c r="CW245" s="7">
        <v>70.756062767475001</v>
      </c>
      <c r="CX245" s="7">
        <v>100</v>
      </c>
      <c r="CY245" s="7">
        <v>100</v>
      </c>
      <c r="CZ245" s="7">
        <v>100</v>
      </c>
      <c r="DA245" s="9">
        <v>36.171084765933003</v>
      </c>
      <c r="DB245" s="9">
        <v>0.114649726288272</v>
      </c>
      <c r="DC245" s="9">
        <v>0.40361763279762197</v>
      </c>
      <c r="DD245" s="9">
        <v>1.02978152252588</v>
      </c>
      <c r="DE245" s="9">
        <v>2.2591020568786302</v>
      </c>
      <c r="DF245" s="9">
        <v>11.4649726288272</v>
      </c>
      <c r="DG245" s="9">
        <v>35.820748684145798</v>
      </c>
      <c r="DH245" s="9">
        <v>71.992157579249906</v>
      </c>
      <c r="DI245" s="9">
        <v>91.749998243185303</v>
      </c>
    </row>
    <row r="246" spans="1:113">
      <c r="A246" s="5" t="s">
        <v>540</v>
      </c>
      <c r="B246" s="5" t="s">
        <v>606</v>
      </c>
      <c r="C246" s="5" t="s">
        <v>607</v>
      </c>
      <c r="D246" s="6">
        <v>147590</v>
      </c>
      <c r="E246" s="7">
        <v>5.1459193698505103</v>
      </c>
      <c r="F246" s="7">
        <v>6.2111118639474201</v>
      </c>
      <c r="G246" s="7">
        <v>9.9969781150484494</v>
      </c>
      <c r="H246" s="7">
        <v>10</v>
      </c>
      <c r="I246" s="7">
        <v>10</v>
      </c>
      <c r="J246" s="7">
        <v>99.265532895182602</v>
      </c>
      <c r="K246" s="7">
        <v>100</v>
      </c>
      <c r="L246" s="7">
        <v>100</v>
      </c>
      <c r="M246" s="7">
        <v>100</v>
      </c>
      <c r="N246" s="7">
        <v>6.7333480597269304</v>
      </c>
      <c r="O246" s="7">
        <v>9.9624635815434708</v>
      </c>
      <c r="P246" s="7">
        <v>10</v>
      </c>
      <c r="Q246" s="7">
        <v>10</v>
      </c>
      <c r="R246" s="7">
        <v>10</v>
      </c>
      <c r="S246" s="7">
        <v>100</v>
      </c>
      <c r="T246" s="7">
        <v>100</v>
      </c>
      <c r="U246" s="7">
        <v>100</v>
      </c>
      <c r="V246" s="7">
        <v>100</v>
      </c>
      <c r="W246" s="7">
        <v>6.1429339444219702</v>
      </c>
      <c r="X246" s="7">
        <v>10</v>
      </c>
      <c r="Y246" s="7">
        <v>10</v>
      </c>
      <c r="Z246" s="7">
        <v>10</v>
      </c>
      <c r="AA246" s="7">
        <v>10</v>
      </c>
      <c r="AB246" s="7">
        <v>100</v>
      </c>
      <c r="AC246" s="7">
        <v>100</v>
      </c>
      <c r="AD246" s="7">
        <v>100</v>
      </c>
      <c r="AE246" s="7">
        <v>100</v>
      </c>
      <c r="AF246" s="6">
        <v>5.1611609229119999</v>
      </c>
      <c r="AG246" s="6">
        <v>5.56267362287418</v>
      </c>
      <c r="AH246" s="6">
        <v>9.9608713327461196</v>
      </c>
      <c r="AI246" s="6">
        <v>10</v>
      </c>
      <c r="AJ246" s="6">
        <v>10</v>
      </c>
      <c r="AK246" s="6">
        <v>99.265532895182602</v>
      </c>
      <c r="AL246" s="6">
        <v>100</v>
      </c>
      <c r="AM246" s="6">
        <v>100</v>
      </c>
      <c r="AN246" s="6">
        <v>100</v>
      </c>
      <c r="AO246" s="6">
        <v>8.9835971152469902</v>
      </c>
      <c r="AP246" s="7">
        <v>2.27686835151433</v>
      </c>
      <c r="AQ246" s="7">
        <v>9.9098719425435302</v>
      </c>
      <c r="AR246" s="7">
        <v>10</v>
      </c>
      <c r="AS246" s="7">
        <v>10</v>
      </c>
      <c r="AT246" s="7">
        <v>92.386340537976807</v>
      </c>
      <c r="AU246" s="7">
        <v>100</v>
      </c>
      <c r="AV246" s="7">
        <v>100</v>
      </c>
      <c r="AW246" s="7">
        <v>100</v>
      </c>
      <c r="AX246" s="7">
        <v>8.0609281086244806</v>
      </c>
      <c r="AY246" s="7">
        <v>8.2309438308828504</v>
      </c>
      <c r="AZ246" s="7">
        <v>10</v>
      </c>
      <c r="BA246" s="7">
        <v>10</v>
      </c>
      <c r="BB246" s="7">
        <v>10</v>
      </c>
      <c r="BC246" s="7">
        <v>100</v>
      </c>
      <c r="BD246" s="7">
        <v>100</v>
      </c>
      <c r="BE246" s="7">
        <v>100</v>
      </c>
      <c r="BF246" s="7">
        <v>100</v>
      </c>
      <c r="BG246" s="7">
        <v>6.9609703166834196</v>
      </c>
      <c r="BH246" s="7">
        <v>9.9611355782912092</v>
      </c>
      <c r="BI246" s="7">
        <v>10</v>
      </c>
      <c r="BJ246" s="7">
        <v>10</v>
      </c>
      <c r="BK246" s="7">
        <v>10</v>
      </c>
      <c r="BL246" s="7">
        <v>100</v>
      </c>
      <c r="BM246" s="7">
        <v>100</v>
      </c>
      <c r="BN246" s="7">
        <v>100</v>
      </c>
      <c r="BO246" s="7">
        <v>100</v>
      </c>
      <c r="BP246" s="6">
        <v>9.22980024538451</v>
      </c>
      <c r="BQ246" s="6">
        <v>1.88826478758723</v>
      </c>
      <c r="BR246" s="6">
        <v>7.8019242496104102</v>
      </c>
      <c r="BS246" s="6">
        <v>9.9636086455721902</v>
      </c>
      <c r="BT246" s="6">
        <v>10</v>
      </c>
      <c r="BU246" s="6">
        <v>88.979605664340397</v>
      </c>
      <c r="BV246" s="6">
        <v>99.773019852293501</v>
      </c>
      <c r="BW246" s="6">
        <v>100</v>
      </c>
      <c r="BX246" s="6">
        <v>100</v>
      </c>
      <c r="BY246" s="6" t="str">
        <f>TRIM(Table1[[#This Row],[LA_Name]])</f>
        <v>Sutton</v>
      </c>
      <c r="BZ246" s="7">
        <v>20.862849949045799</v>
      </c>
      <c r="CA246" s="7">
        <v>0.177850802899925</v>
      </c>
      <c r="CB246" s="7">
        <v>1.8865709058879301</v>
      </c>
      <c r="CC246" s="7">
        <v>6.68369130699912</v>
      </c>
      <c r="CD246" s="7">
        <v>9.8647333830205302</v>
      </c>
      <c r="CE246" s="7">
        <v>17.7850802899925</v>
      </c>
      <c r="CF246" s="7">
        <v>93.286130496646095</v>
      </c>
      <c r="CG246" s="7">
        <v>100</v>
      </c>
      <c r="CH246" s="7">
        <v>100</v>
      </c>
      <c r="CI246" s="7">
        <v>14.210072850447601</v>
      </c>
      <c r="CJ246" s="7">
        <v>0.63895250355715205</v>
      </c>
      <c r="CK246" s="7">
        <v>4.1948234975269303</v>
      </c>
      <c r="CL246" s="7">
        <v>9.4123111321905295</v>
      </c>
      <c r="CM246" s="7">
        <v>10</v>
      </c>
      <c r="CN246" s="7">
        <v>59.552815231384201</v>
      </c>
      <c r="CO246" s="7">
        <v>99.170675520021703</v>
      </c>
      <c r="CP246" s="7">
        <v>100</v>
      </c>
      <c r="CQ246" s="7">
        <v>100</v>
      </c>
      <c r="CR246" s="7">
        <v>10.8942694673145</v>
      </c>
      <c r="CS246" s="7">
        <v>1.6113761094925101</v>
      </c>
      <c r="CT246" s="7">
        <v>9.5822955484788892</v>
      </c>
      <c r="CU246" s="7">
        <v>10</v>
      </c>
      <c r="CV246" s="7">
        <v>10</v>
      </c>
      <c r="CW246" s="7">
        <v>97.329087336540397</v>
      </c>
      <c r="CX246" s="7">
        <v>100</v>
      </c>
      <c r="CY246" s="7">
        <v>100</v>
      </c>
      <c r="CZ246" s="7">
        <v>100</v>
      </c>
      <c r="DA246" s="9">
        <v>28.423714403111401</v>
      </c>
      <c r="DB246" s="9">
        <v>0.145626397452402</v>
      </c>
      <c r="DC246" s="9">
        <v>0.59100887594010398</v>
      </c>
      <c r="DD246" s="9">
        <v>1.3158208550714801</v>
      </c>
      <c r="DE246" s="9">
        <v>2.2865302527271498</v>
      </c>
      <c r="DF246" s="9">
        <v>14.562639745240199</v>
      </c>
      <c r="DG246" s="9">
        <v>55.872349075140598</v>
      </c>
      <c r="DH246" s="9">
        <v>92.578087946337803</v>
      </c>
      <c r="DI246" s="9">
        <v>99.170675520021703</v>
      </c>
    </row>
    <row r="247" spans="1:113">
      <c r="A247" s="5" t="s">
        <v>540</v>
      </c>
      <c r="B247" s="5" t="s">
        <v>608</v>
      </c>
      <c r="C247" s="5" t="s">
        <v>609</v>
      </c>
      <c r="D247" s="6">
        <v>202602</v>
      </c>
      <c r="E247" s="7">
        <v>4.7086052447371403</v>
      </c>
      <c r="F247" s="7">
        <v>7.7647505947621402</v>
      </c>
      <c r="G247" s="7">
        <v>10</v>
      </c>
      <c r="H247" s="7">
        <v>10</v>
      </c>
      <c r="I247" s="7">
        <v>10</v>
      </c>
      <c r="J247" s="7">
        <v>99.015804384951807</v>
      </c>
      <c r="K247" s="7">
        <v>100</v>
      </c>
      <c r="L247" s="7">
        <v>100</v>
      </c>
      <c r="M247" s="7">
        <v>100</v>
      </c>
      <c r="N247" s="7">
        <v>6.6215122844495999</v>
      </c>
      <c r="O247" s="7">
        <v>9.9708393796704904</v>
      </c>
      <c r="P247" s="7">
        <v>10</v>
      </c>
      <c r="Q247" s="7">
        <v>10</v>
      </c>
      <c r="R247" s="7">
        <v>10</v>
      </c>
      <c r="S247" s="7">
        <v>100</v>
      </c>
      <c r="T247" s="7">
        <v>100</v>
      </c>
      <c r="U247" s="7">
        <v>100</v>
      </c>
      <c r="V247" s="7">
        <v>100</v>
      </c>
      <c r="W247" s="7">
        <v>6.1492981176487103</v>
      </c>
      <c r="X247" s="7">
        <v>10</v>
      </c>
      <c r="Y247" s="7">
        <v>10</v>
      </c>
      <c r="Z247" s="7">
        <v>10</v>
      </c>
      <c r="AA247" s="7">
        <v>10</v>
      </c>
      <c r="AB247" s="7">
        <v>100</v>
      </c>
      <c r="AC247" s="7">
        <v>100</v>
      </c>
      <c r="AD247" s="7">
        <v>100</v>
      </c>
      <c r="AE247" s="7">
        <v>100</v>
      </c>
      <c r="AF247" s="6">
        <v>4.7169878377029502</v>
      </c>
      <c r="AG247" s="6">
        <v>7.2676676439521799</v>
      </c>
      <c r="AH247" s="6">
        <v>9.9612096622935606</v>
      </c>
      <c r="AI247" s="6">
        <v>10</v>
      </c>
      <c r="AJ247" s="6">
        <v>10</v>
      </c>
      <c r="AK247" s="6">
        <v>99.015804384951807</v>
      </c>
      <c r="AL247" s="6">
        <v>100</v>
      </c>
      <c r="AM247" s="6">
        <v>100</v>
      </c>
      <c r="AN247" s="6">
        <v>100</v>
      </c>
      <c r="AO247" s="6">
        <v>7.2480194178003901</v>
      </c>
      <c r="AP247" s="7">
        <v>3.7839113138073701</v>
      </c>
      <c r="AQ247" s="7">
        <v>9.9935736073681394</v>
      </c>
      <c r="AR247" s="7">
        <v>10</v>
      </c>
      <c r="AS247" s="7">
        <v>10</v>
      </c>
      <c r="AT247" s="7">
        <v>97.995083957710193</v>
      </c>
      <c r="AU247" s="7">
        <v>100</v>
      </c>
      <c r="AV247" s="7">
        <v>100</v>
      </c>
      <c r="AW247" s="7">
        <v>100</v>
      </c>
      <c r="AX247" s="7">
        <v>7.4637460568463299</v>
      </c>
      <c r="AY247" s="7">
        <v>9.4162101065142494</v>
      </c>
      <c r="AZ247" s="7">
        <v>10</v>
      </c>
      <c r="BA247" s="7">
        <v>10</v>
      </c>
      <c r="BB247" s="7">
        <v>10</v>
      </c>
      <c r="BC247" s="7">
        <v>100</v>
      </c>
      <c r="BD247" s="7">
        <v>100</v>
      </c>
      <c r="BE247" s="7">
        <v>100</v>
      </c>
      <c r="BF247" s="7">
        <v>100</v>
      </c>
      <c r="BG247" s="7">
        <v>6.7277180849320199</v>
      </c>
      <c r="BH247" s="7">
        <v>9.9923544683665497</v>
      </c>
      <c r="BI247" s="7">
        <v>10</v>
      </c>
      <c r="BJ247" s="7">
        <v>10</v>
      </c>
      <c r="BK247" s="7">
        <v>10</v>
      </c>
      <c r="BL247" s="7">
        <v>100</v>
      </c>
      <c r="BM247" s="7">
        <v>100</v>
      </c>
      <c r="BN247" s="7">
        <v>100</v>
      </c>
      <c r="BO247" s="7">
        <v>100</v>
      </c>
      <c r="BP247" s="6">
        <v>7.2920770791289202</v>
      </c>
      <c r="BQ247" s="6">
        <v>3.27621148853417</v>
      </c>
      <c r="BR247" s="6">
        <v>9.2261675600438302</v>
      </c>
      <c r="BS247" s="6">
        <v>9.9946101223087602</v>
      </c>
      <c r="BT247" s="6">
        <v>10</v>
      </c>
      <c r="BU247" s="6">
        <v>97.123917829044103</v>
      </c>
      <c r="BV247" s="6">
        <v>100</v>
      </c>
      <c r="BW247" s="6">
        <v>100</v>
      </c>
      <c r="BX247" s="6">
        <v>100</v>
      </c>
      <c r="BY247" s="6" t="str">
        <f>TRIM(Table1[[#This Row],[LA_Name]])</f>
        <v>Waltham Forest</v>
      </c>
      <c r="BZ247" s="7">
        <v>22.606062385975001</v>
      </c>
      <c r="CA247" s="7">
        <v>9.4880603350411194E-2</v>
      </c>
      <c r="CB247" s="7">
        <v>1.9969792993158999</v>
      </c>
      <c r="CC247" s="7">
        <v>7.9473499768018101</v>
      </c>
      <c r="CD247" s="7">
        <v>9.8640339187174906</v>
      </c>
      <c r="CE247" s="7">
        <v>9.32715372997305</v>
      </c>
      <c r="CF247" s="7">
        <v>89.924087620063005</v>
      </c>
      <c r="CG247" s="7">
        <v>100</v>
      </c>
      <c r="CH247" s="7">
        <v>100</v>
      </c>
      <c r="CI247" s="7">
        <v>15.8568388190074</v>
      </c>
      <c r="CJ247" s="7">
        <v>0.57509303955538404</v>
      </c>
      <c r="CK247" s="7">
        <v>4.1949141666913503</v>
      </c>
      <c r="CL247" s="7">
        <v>9.1965380400983197</v>
      </c>
      <c r="CM247" s="7">
        <v>9.9600102664337005</v>
      </c>
      <c r="CN247" s="7">
        <v>39.785392049436801</v>
      </c>
      <c r="CO247" s="7">
        <v>100</v>
      </c>
      <c r="CP247" s="7">
        <v>100</v>
      </c>
      <c r="CQ247" s="7">
        <v>100</v>
      </c>
      <c r="CR247" s="7">
        <v>11.5410646859049</v>
      </c>
      <c r="CS247" s="7">
        <v>2.05968845322356</v>
      </c>
      <c r="CT247" s="7">
        <v>9.7965814750101199</v>
      </c>
      <c r="CU247" s="7">
        <v>10</v>
      </c>
      <c r="CV247" s="7">
        <v>10</v>
      </c>
      <c r="CW247" s="7">
        <v>94.652076484931001</v>
      </c>
      <c r="CX247" s="7">
        <v>100</v>
      </c>
      <c r="CY247" s="7">
        <v>100</v>
      </c>
      <c r="CZ247" s="7">
        <v>100</v>
      </c>
      <c r="DA247" s="9">
        <v>34.982493907124699</v>
      </c>
      <c r="DB247" s="9">
        <v>7.1139475424724305E-2</v>
      </c>
      <c r="DC247" s="9">
        <v>0.49558247203877598</v>
      </c>
      <c r="DD247" s="9">
        <v>1.30035735086524</v>
      </c>
      <c r="DE247" s="9">
        <v>2.3710624771719901</v>
      </c>
      <c r="DF247" s="9">
        <v>7.1139475424724301</v>
      </c>
      <c r="DG247" s="9">
        <v>34.696597269523501</v>
      </c>
      <c r="DH247" s="9">
        <v>75.548118972172006</v>
      </c>
      <c r="DI247" s="9">
        <v>99.328733181311193</v>
      </c>
    </row>
    <row r="248" spans="1:113">
      <c r="A248" s="5" t="s">
        <v>610</v>
      </c>
      <c r="B248" s="5" t="s">
        <v>611</v>
      </c>
      <c r="C248" s="5" t="s">
        <v>612</v>
      </c>
      <c r="D248" s="6">
        <v>89380</v>
      </c>
      <c r="E248" s="7">
        <v>8.5685904972843705</v>
      </c>
      <c r="F248" s="7">
        <v>2.5531438800626498</v>
      </c>
      <c r="G248" s="7">
        <v>9.06430968896845</v>
      </c>
      <c r="H248" s="7">
        <v>9.9713694338778307</v>
      </c>
      <c r="I248" s="7">
        <v>10</v>
      </c>
      <c r="J248" s="7">
        <v>87.016110986797898</v>
      </c>
      <c r="K248" s="7">
        <v>99.761691653613795</v>
      </c>
      <c r="L248" s="7">
        <v>100</v>
      </c>
      <c r="M248" s="7">
        <v>100</v>
      </c>
      <c r="N248" s="7">
        <v>8.4639709334481203</v>
      </c>
      <c r="O248" s="7">
        <v>6.5226896397404301</v>
      </c>
      <c r="P248" s="7">
        <v>9.9951667039606207</v>
      </c>
      <c r="Q248" s="7">
        <v>10</v>
      </c>
      <c r="R248" s="7">
        <v>10</v>
      </c>
      <c r="S248" s="7">
        <v>96.698366524949606</v>
      </c>
      <c r="T248" s="7">
        <v>100</v>
      </c>
      <c r="U248" s="7">
        <v>100</v>
      </c>
      <c r="V248" s="7">
        <v>100</v>
      </c>
      <c r="W248" s="7">
        <v>7.0462907803568102</v>
      </c>
      <c r="X248" s="7">
        <v>9.9551018124860207</v>
      </c>
      <c r="Y248" s="7">
        <v>10</v>
      </c>
      <c r="Z248" s="7">
        <v>10</v>
      </c>
      <c r="AA248" s="7">
        <v>10</v>
      </c>
      <c r="AB248" s="7">
        <v>100</v>
      </c>
      <c r="AC248" s="7">
        <v>100</v>
      </c>
      <c r="AD248" s="7">
        <v>100</v>
      </c>
      <c r="AE248" s="7">
        <v>100</v>
      </c>
      <c r="AF248" s="6">
        <v>9.40026917386826</v>
      </c>
      <c r="AG248" s="6">
        <v>2.2402103378831999</v>
      </c>
      <c r="AH248" s="6">
        <v>6.9915529201163604</v>
      </c>
      <c r="AI248" s="6">
        <v>9.4365070485567202</v>
      </c>
      <c r="AJ248" s="6">
        <v>9.8913515327813801</v>
      </c>
      <c r="AK248" s="6">
        <v>83.444842246587598</v>
      </c>
      <c r="AL248" s="6">
        <v>96.793466099798593</v>
      </c>
      <c r="AM248" s="6">
        <v>99.247035130901807</v>
      </c>
      <c r="AN248" s="6">
        <v>100</v>
      </c>
      <c r="AO248" s="6">
        <v>11.3031985575796</v>
      </c>
      <c r="AP248" s="7">
        <v>1.1847952562094399</v>
      </c>
      <c r="AQ248" s="7">
        <v>8.1081338106959109</v>
      </c>
      <c r="AR248" s="7">
        <v>9.9976169165361402</v>
      </c>
      <c r="AS248" s="7">
        <v>10</v>
      </c>
      <c r="AT248" s="7">
        <v>75.688073394495405</v>
      </c>
      <c r="AU248" s="7">
        <v>99.675542626985902</v>
      </c>
      <c r="AV248" s="7">
        <v>100</v>
      </c>
      <c r="AW248" s="7">
        <v>100</v>
      </c>
      <c r="AX248" s="7">
        <v>9.2482581892758304</v>
      </c>
      <c r="AY248" s="7">
        <v>3.8205862609084802</v>
      </c>
      <c r="AZ248" s="7">
        <v>9.9976169165361402</v>
      </c>
      <c r="BA248" s="7">
        <v>10</v>
      </c>
      <c r="BB248" s="7">
        <v>10</v>
      </c>
      <c r="BC248" s="7">
        <v>99.412620272991703</v>
      </c>
      <c r="BD248" s="7">
        <v>100</v>
      </c>
      <c r="BE248" s="7">
        <v>100</v>
      </c>
      <c r="BF248" s="7">
        <v>100</v>
      </c>
      <c r="BG248" s="7">
        <v>7.5772022972119704</v>
      </c>
      <c r="BH248" s="7">
        <v>9.9557842917878698</v>
      </c>
      <c r="BI248" s="7">
        <v>10</v>
      </c>
      <c r="BJ248" s="7">
        <v>10</v>
      </c>
      <c r="BK248" s="7">
        <v>10</v>
      </c>
      <c r="BL248" s="7">
        <v>100</v>
      </c>
      <c r="BM248" s="7">
        <v>100</v>
      </c>
      <c r="BN248" s="7">
        <v>100</v>
      </c>
      <c r="BO248" s="7">
        <v>100</v>
      </c>
      <c r="BP248" s="6">
        <v>11.844812450422699</v>
      </c>
      <c r="BQ248" s="6">
        <v>1.0536585365853699</v>
      </c>
      <c r="BR248" s="6">
        <v>3.9204631908704402</v>
      </c>
      <c r="BS248" s="6">
        <v>7.7977623629447299</v>
      </c>
      <c r="BT248" s="6">
        <v>9.8069366748713396</v>
      </c>
      <c r="BU248" s="6">
        <v>71.178115909599498</v>
      </c>
      <c r="BV248" s="6">
        <v>99.088162899977604</v>
      </c>
      <c r="BW248" s="6">
        <v>100</v>
      </c>
      <c r="BX248" s="6">
        <v>100</v>
      </c>
      <c r="BY248" s="6" t="str">
        <f>TRIM(Table1[[#This Row],[LA_Name]])</f>
        <v>Bracknell Forest</v>
      </c>
      <c r="BZ248" s="7">
        <v>19.476556554059901</v>
      </c>
      <c r="CA248" s="7">
        <v>0.38484000895054798</v>
      </c>
      <c r="CB248" s="7">
        <v>2.21228462743343</v>
      </c>
      <c r="CC248" s="7">
        <v>5.3120161109868</v>
      </c>
      <c r="CD248" s="7">
        <v>9.2142313716715094</v>
      </c>
      <c r="CE248" s="7">
        <v>31.089729245916299</v>
      </c>
      <c r="CF248" s="7">
        <v>86.0863727903334</v>
      </c>
      <c r="CG248" s="7">
        <v>100</v>
      </c>
      <c r="CH248" s="7">
        <v>100</v>
      </c>
      <c r="CI248" s="7">
        <v>14.46875746622</v>
      </c>
      <c r="CJ248" s="7">
        <v>1.07275676885209</v>
      </c>
      <c r="CK248" s="7">
        <v>3.4427500559409299</v>
      </c>
      <c r="CL248" s="7">
        <v>6.0893936003580196</v>
      </c>
      <c r="CM248" s="7">
        <v>9.3503692101141205</v>
      </c>
      <c r="CN248" s="7">
        <v>61.992615797717598</v>
      </c>
      <c r="CO248" s="7">
        <v>99.758335198030906</v>
      </c>
      <c r="CP248" s="7">
        <v>100</v>
      </c>
      <c r="CQ248" s="7">
        <v>100</v>
      </c>
      <c r="CR248" s="7">
        <v>10.0003998658139</v>
      </c>
      <c r="CS248" s="7">
        <v>3.0413179682255498</v>
      </c>
      <c r="CT248" s="7">
        <v>10</v>
      </c>
      <c r="CU248" s="7">
        <v>10</v>
      </c>
      <c r="CV248" s="7">
        <v>10</v>
      </c>
      <c r="CW248" s="7">
        <v>94.374580443052096</v>
      </c>
      <c r="CX248" s="7">
        <v>100</v>
      </c>
      <c r="CY248" s="7">
        <v>100</v>
      </c>
      <c r="CZ248" s="7">
        <v>100</v>
      </c>
      <c r="DA248" s="9">
        <v>28.5444148120237</v>
      </c>
      <c r="DB248" s="9">
        <v>0.31606623405683598</v>
      </c>
      <c r="DC248" s="9">
        <v>1.08498545535914</v>
      </c>
      <c r="DD248" s="9">
        <v>2.1525397180577301</v>
      </c>
      <c r="DE248" s="9">
        <v>2.8654396956813599</v>
      </c>
      <c r="DF248" s="9">
        <v>28.371000223763701</v>
      </c>
      <c r="DG248" s="9">
        <v>62.011635712687401</v>
      </c>
      <c r="DH248" s="9">
        <v>79.6587603490714</v>
      </c>
      <c r="DI248" s="9">
        <v>92.522935779816507</v>
      </c>
    </row>
    <row r="249" spans="1:113">
      <c r="A249" s="5" t="s">
        <v>610</v>
      </c>
      <c r="B249" s="5" t="s">
        <v>613</v>
      </c>
      <c r="C249" s="5" t="s">
        <v>614</v>
      </c>
      <c r="D249" s="6">
        <v>227809</v>
      </c>
      <c r="E249" s="7">
        <v>5.9522887076736799</v>
      </c>
      <c r="F249" s="7">
        <v>6.0248629334223001</v>
      </c>
      <c r="G249" s="7">
        <v>9.8667348524421801</v>
      </c>
      <c r="H249" s="7">
        <v>10</v>
      </c>
      <c r="I249" s="7">
        <v>10</v>
      </c>
      <c r="J249" s="7">
        <v>97.834589502609603</v>
      </c>
      <c r="K249" s="7">
        <v>100</v>
      </c>
      <c r="L249" s="7">
        <v>100</v>
      </c>
      <c r="M249" s="7">
        <v>100</v>
      </c>
      <c r="N249" s="7">
        <v>7.18106100533688</v>
      </c>
      <c r="O249" s="7">
        <v>9.0622802435373497</v>
      </c>
      <c r="P249" s="7">
        <v>10</v>
      </c>
      <c r="Q249" s="7">
        <v>10</v>
      </c>
      <c r="R249" s="7">
        <v>10</v>
      </c>
      <c r="S249" s="7">
        <v>97.935112308995699</v>
      </c>
      <c r="T249" s="7">
        <v>100</v>
      </c>
      <c r="U249" s="7">
        <v>100</v>
      </c>
      <c r="V249" s="7">
        <v>100</v>
      </c>
      <c r="W249" s="7">
        <v>6.4287547868408996</v>
      </c>
      <c r="X249" s="7">
        <v>9.8878314728566501</v>
      </c>
      <c r="Y249" s="7">
        <v>10</v>
      </c>
      <c r="Z249" s="7">
        <v>10</v>
      </c>
      <c r="AA249" s="7">
        <v>10</v>
      </c>
      <c r="AB249" s="7">
        <v>100</v>
      </c>
      <c r="AC249" s="7">
        <v>100</v>
      </c>
      <c r="AD249" s="7">
        <v>100</v>
      </c>
      <c r="AE249" s="7">
        <v>100</v>
      </c>
      <c r="AF249" s="6">
        <v>6.542174435802</v>
      </c>
      <c r="AG249" s="6">
        <v>5.0663889486368001</v>
      </c>
      <c r="AH249" s="6">
        <v>9.1248150863223092</v>
      </c>
      <c r="AI249" s="6">
        <v>9.6442853443015899</v>
      </c>
      <c r="AJ249" s="6">
        <v>9.8578633855554401</v>
      </c>
      <c r="AK249" s="6">
        <v>96.342989082959804</v>
      </c>
      <c r="AL249" s="6">
        <v>97.935112308995699</v>
      </c>
      <c r="AM249" s="6">
        <v>98.277065436396299</v>
      </c>
      <c r="AN249" s="6">
        <v>100</v>
      </c>
      <c r="AO249" s="6">
        <v>7.8004943490635297</v>
      </c>
      <c r="AP249" s="7">
        <v>5.3286788493869901</v>
      </c>
      <c r="AQ249" s="7">
        <v>9.5747709704182</v>
      </c>
      <c r="AR249" s="7">
        <v>10</v>
      </c>
      <c r="AS249" s="7">
        <v>10</v>
      </c>
      <c r="AT249" s="7">
        <v>86.689726920358694</v>
      </c>
      <c r="AU249" s="7">
        <v>100</v>
      </c>
      <c r="AV249" s="7">
        <v>100</v>
      </c>
      <c r="AW249" s="7">
        <v>100</v>
      </c>
      <c r="AX249" s="7">
        <v>8.0838470662710105</v>
      </c>
      <c r="AY249" s="7">
        <v>8.0266012317336006</v>
      </c>
      <c r="AZ249" s="7">
        <v>9.8867911276551794</v>
      </c>
      <c r="BA249" s="7">
        <v>10</v>
      </c>
      <c r="BB249" s="7">
        <v>10</v>
      </c>
      <c r="BC249" s="7">
        <v>93.210979373071297</v>
      </c>
      <c r="BD249" s="7">
        <v>100</v>
      </c>
      <c r="BE249" s="7">
        <v>100</v>
      </c>
      <c r="BF249" s="7">
        <v>100</v>
      </c>
      <c r="BG249" s="7">
        <v>6.9261850429034704</v>
      </c>
      <c r="BH249" s="7">
        <v>9.6001211541247304</v>
      </c>
      <c r="BI249" s="7">
        <v>10</v>
      </c>
      <c r="BJ249" s="7">
        <v>10</v>
      </c>
      <c r="BK249" s="7">
        <v>10</v>
      </c>
      <c r="BL249" s="7">
        <v>100</v>
      </c>
      <c r="BM249" s="7">
        <v>100</v>
      </c>
      <c r="BN249" s="7">
        <v>100</v>
      </c>
      <c r="BO249" s="7">
        <v>100</v>
      </c>
      <c r="BP249" s="6">
        <v>9.3148569177044607</v>
      </c>
      <c r="BQ249" s="6">
        <v>4.5980009569420002</v>
      </c>
      <c r="BR249" s="6">
        <v>8.0097537849689893</v>
      </c>
      <c r="BS249" s="6">
        <v>9.1520572058171492</v>
      </c>
      <c r="BT249" s="6">
        <v>9.5661804406322801</v>
      </c>
      <c r="BU249" s="6">
        <v>83.851384273667804</v>
      </c>
      <c r="BV249" s="6">
        <v>93.567857283952804</v>
      </c>
      <c r="BW249" s="6">
        <v>98.317011180418703</v>
      </c>
      <c r="BX249" s="6">
        <v>99.930204689015795</v>
      </c>
      <c r="BY249" s="6" t="str">
        <f>TRIM(Table1[[#This Row],[LA_Name]])</f>
        <v>Brighton and Hove</v>
      </c>
      <c r="BZ249" s="7">
        <v>20.601976085698301</v>
      </c>
      <c r="CA249" s="7">
        <v>0.49661778068469598</v>
      </c>
      <c r="CB249" s="7">
        <v>2.9037000294105999</v>
      </c>
      <c r="CC249" s="7">
        <v>4.5385608119082201</v>
      </c>
      <c r="CD249" s="7">
        <v>5.5833351623509202</v>
      </c>
      <c r="CE249" s="7">
        <v>27.027027027027</v>
      </c>
      <c r="CF249" s="7">
        <v>86.228814489331</v>
      </c>
      <c r="CG249" s="7">
        <v>99.316971673638903</v>
      </c>
      <c r="CH249" s="7">
        <v>100</v>
      </c>
      <c r="CI249" s="7">
        <v>15.857553765994901</v>
      </c>
      <c r="CJ249" s="7">
        <v>1.5812764201589899</v>
      </c>
      <c r="CK249" s="7">
        <v>3.97723531554943</v>
      </c>
      <c r="CL249" s="7">
        <v>4.9056534201897204</v>
      </c>
      <c r="CM249" s="7">
        <v>5.2105579674200797</v>
      </c>
      <c r="CN249" s="7">
        <v>54.638315430909202</v>
      </c>
      <c r="CO249" s="7">
        <v>95.202121075111194</v>
      </c>
      <c r="CP249" s="7">
        <v>100</v>
      </c>
      <c r="CQ249" s="7">
        <v>100</v>
      </c>
      <c r="CR249" s="7">
        <v>11.3906655071396</v>
      </c>
      <c r="CS249" s="7">
        <v>2.8722131259081101</v>
      </c>
      <c r="CT249" s="7">
        <v>5.3549289097445696</v>
      </c>
      <c r="CU249" s="7">
        <v>9.7736700481543792</v>
      </c>
      <c r="CV249" s="7">
        <v>10</v>
      </c>
      <c r="CW249" s="7">
        <v>80.873012040788595</v>
      </c>
      <c r="CX249" s="7">
        <v>100</v>
      </c>
      <c r="CY249" s="7">
        <v>100</v>
      </c>
      <c r="CZ249" s="7">
        <v>100</v>
      </c>
      <c r="DA249" s="9">
        <v>33.235790756427399</v>
      </c>
      <c r="DB249" s="9">
        <v>0.42293324671106097</v>
      </c>
      <c r="DC249" s="9">
        <v>1.4683792124104</v>
      </c>
      <c r="DD249" s="9">
        <v>2.4081050353585698</v>
      </c>
      <c r="DE249" s="9">
        <v>3.1150042360047201</v>
      </c>
      <c r="DF249" s="9">
        <v>24.147421743653702</v>
      </c>
      <c r="DG249" s="9">
        <v>54.7392772015153</v>
      </c>
      <c r="DH249" s="9">
        <v>73.875922373567306</v>
      </c>
      <c r="DI249" s="9">
        <v>85.376784938259703</v>
      </c>
    </row>
    <row r="250" spans="1:113">
      <c r="A250" s="5" t="s">
        <v>610</v>
      </c>
      <c r="B250" s="5" t="s">
        <v>615</v>
      </c>
      <c r="C250" s="5" t="s">
        <v>616</v>
      </c>
      <c r="D250" s="6">
        <v>101373</v>
      </c>
      <c r="E250" s="7">
        <v>9.1401927467606594</v>
      </c>
      <c r="F250" s="7">
        <v>1.99048069998915</v>
      </c>
      <c r="G250" s="7">
        <v>7.2304558412989604</v>
      </c>
      <c r="H250" s="7">
        <v>9.3827942351513691</v>
      </c>
      <c r="I250" s="7">
        <v>9.8275576336894392</v>
      </c>
      <c r="J250" s="7">
        <v>85.640160595030196</v>
      </c>
      <c r="K250" s="7">
        <v>99.144742682962899</v>
      </c>
      <c r="L250" s="7">
        <v>99.590620776735406</v>
      </c>
      <c r="M250" s="7">
        <v>99.590620776735406</v>
      </c>
      <c r="N250" s="7">
        <v>8.7795162663921609</v>
      </c>
      <c r="O250" s="7">
        <v>4.02880451402247</v>
      </c>
      <c r="P250" s="7">
        <v>7.7705799374586899</v>
      </c>
      <c r="Q250" s="7">
        <v>9.4885127203496005</v>
      </c>
      <c r="R250" s="7">
        <v>9.7057500517889395</v>
      </c>
      <c r="S250" s="7">
        <v>92.250401980803602</v>
      </c>
      <c r="T250" s="7">
        <v>100</v>
      </c>
      <c r="U250" s="7">
        <v>100</v>
      </c>
      <c r="V250" s="7">
        <v>100</v>
      </c>
      <c r="W250" s="7">
        <v>7.0305314126821497</v>
      </c>
      <c r="X250" s="7">
        <v>6.9909541988497903</v>
      </c>
      <c r="Y250" s="7">
        <v>9.7482071162932904</v>
      </c>
      <c r="Z250" s="7">
        <v>10</v>
      </c>
      <c r="AA250" s="7">
        <v>10</v>
      </c>
      <c r="AB250" s="7">
        <v>99.821451471299099</v>
      </c>
      <c r="AC250" s="7">
        <v>100</v>
      </c>
      <c r="AD250" s="7">
        <v>100</v>
      </c>
      <c r="AE250" s="7">
        <v>100</v>
      </c>
      <c r="AF250" s="6">
        <v>11.217635097751501</v>
      </c>
      <c r="AG250" s="6">
        <v>1.7050299389383801</v>
      </c>
      <c r="AH250" s="6">
        <v>3.86160022885778</v>
      </c>
      <c r="AI250" s="6">
        <v>5.0651652806960401</v>
      </c>
      <c r="AJ250" s="6">
        <v>6.1246880333027498</v>
      </c>
      <c r="AK250" s="6">
        <v>82.747871721267003</v>
      </c>
      <c r="AL250" s="6">
        <v>92.055083700788202</v>
      </c>
      <c r="AM250" s="6">
        <v>97.163939115938206</v>
      </c>
      <c r="AN250" s="6">
        <v>99.590620776735406</v>
      </c>
      <c r="AO250" s="6">
        <v>11.8173405346338</v>
      </c>
      <c r="AP250" s="7">
        <v>1.4835804405512301</v>
      </c>
      <c r="AQ250" s="7">
        <v>5.20840855060026</v>
      </c>
      <c r="AR250" s="7">
        <v>8.7642370256379891</v>
      </c>
      <c r="AS250" s="7">
        <v>9.5028261963244596</v>
      </c>
      <c r="AT250" s="7">
        <v>71.398695905221302</v>
      </c>
      <c r="AU250" s="7">
        <v>95.791778876032097</v>
      </c>
      <c r="AV250" s="7">
        <v>99.590620776735406</v>
      </c>
      <c r="AW250" s="7">
        <v>99.821451471299099</v>
      </c>
      <c r="AX250" s="7">
        <v>10.7155538073924</v>
      </c>
      <c r="AY250" s="7">
        <v>2.6400027620766902</v>
      </c>
      <c r="AZ250" s="7">
        <v>5.0393990510293696</v>
      </c>
      <c r="BA250" s="7">
        <v>8.7559310664575403</v>
      </c>
      <c r="BB250" s="7">
        <v>9.5203851124066592</v>
      </c>
      <c r="BC250" s="7">
        <v>82.812977814605503</v>
      </c>
      <c r="BD250" s="7">
        <v>97.888984246298307</v>
      </c>
      <c r="BE250" s="7">
        <v>99.821451471299099</v>
      </c>
      <c r="BF250" s="7">
        <v>100</v>
      </c>
      <c r="BG250" s="7">
        <v>7.9442277384953499</v>
      </c>
      <c r="BH250" s="7">
        <v>4.4102275753899001</v>
      </c>
      <c r="BI250" s="7">
        <v>9.5700531699762301</v>
      </c>
      <c r="BJ250" s="7">
        <v>10</v>
      </c>
      <c r="BK250" s="7">
        <v>10</v>
      </c>
      <c r="BL250" s="7">
        <v>96.563187436496904</v>
      </c>
      <c r="BM250" s="7">
        <v>100</v>
      </c>
      <c r="BN250" s="7">
        <v>100</v>
      </c>
      <c r="BO250" s="7">
        <v>100</v>
      </c>
      <c r="BP250" s="6">
        <v>17.627699391782201</v>
      </c>
      <c r="BQ250" s="6">
        <v>1.27704615627435</v>
      </c>
      <c r="BR250" s="6">
        <v>2.5504720191766999</v>
      </c>
      <c r="BS250" s="6">
        <v>3.42123642389986</v>
      </c>
      <c r="BT250" s="6">
        <v>3.97235950400994</v>
      </c>
      <c r="BU250" s="6">
        <v>67.157921734584207</v>
      </c>
      <c r="BV250" s="6">
        <v>81.647973326230897</v>
      </c>
      <c r="BW250" s="6">
        <v>90.170952817811397</v>
      </c>
      <c r="BX250" s="6">
        <v>94.315054304400604</v>
      </c>
      <c r="BY250" s="6" t="str">
        <f>TRIM(Table1[[#This Row],[LA_Name]])</f>
        <v>Isle of Wight</v>
      </c>
      <c r="BZ250" s="7">
        <v>37.560900387175998</v>
      </c>
      <c r="CA250" s="7">
        <v>0.14398311187397</v>
      </c>
      <c r="CB250" s="7">
        <v>0.58013474988409097</v>
      </c>
      <c r="CC250" s="7">
        <v>1.0565337910489001</v>
      </c>
      <c r="CD250" s="7">
        <v>1.8769790772691</v>
      </c>
      <c r="CE250" s="7">
        <v>12.8288597555562</v>
      </c>
      <c r="CF250" s="7">
        <v>36.041154942637597</v>
      </c>
      <c r="CG250" s="7">
        <v>62.048079863474499</v>
      </c>
      <c r="CH250" s="7">
        <v>88.859952847405097</v>
      </c>
      <c r="CI250" s="7">
        <v>40.942481013004702</v>
      </c>
      <c r="CJ250" s="7">
        <v>0.272903041243724</v>
      </c>
      <c r="CK250" s="7">
        <v>0.56512089017785805</v>
      </c>
      <c r="CL250" s="7">
        <v>0.90173912185690497</v>
      </c>
      <c r="CM250" s="7">
        <v>1.52864174878913</v>
      </c>
      <c r="CN250" s="7">
        <v>18.148816746076399</v>
      </c>
      <c r="CO250" s="7">
        <v>33.768360411549402</v>
      </c>
      <c r="CP250" s="7">
        <v>47.941759640140901</v>
      </c>
      <c r="CQ250" s="7">
        <v>84.2196640131001</v>
      </c>
      <c r="CR250" s="7">
        <v>20.993227083468799</v>
      </c>
      <c r="CS250" s="7">
        <v>0.49364229133990301</v>
      </c>
      <c r="CT250" s="7">
        <v>1.61489745790299</v>
      </c>
      <c r="CU250" s="7">
        <v>2</v>
      </c>
      <c r="CV250" s="7">
        <v>2</v>
      </c>
      <c r="CW250" s="7">
        <v>29.611434997484501</v>
      </c>
      <c r="CX250" s="7">
        <v>86.689749736123005</v>
      </c>
      <c r="CY250" s="7">
        <v>100</v>
      </c>
      <c r="CZ250" s="7">
        <v>100</v>
      </c>
      <c r="DA250" s="9">
        <v>89.797846639317299</v>
      </c>
      <c r="DB250" s="9">
        <v>0.123829816617837</v>
      </c>
      <c r="DC250" s="9">
        <v>0.24346719540706099</v>
      </c>
      <c r="DD250" s="9">
        <v>0.36593570280054799</v>
      </c>
      <c r="DE250" s="9">
        <v>0.42210450514436798</v>
      </c>
      <c r="DF250" s="9">
        <v>12.382981661783701</v>
      </c>
      <c r="DG250" s="9">
        <v>17.952512010101302</v>
      </c>
      <c r="DH250" s="9">
        <v>19.990530022787102</v>
      </c>
      <c r="DI250" s="9">
        <v>23.3030491353713</v>
      </c>
    </row>
    <row r="251" spans="1:113">
      <c r="A251" s="5" t="s">
        <v>610</v>
      </c>
      <c r="B251" s="5" t="s">
        <v>617</v>
      </c>
      <c r="C251" s="5" t="s">
        <v>618</v>
      </c>
      <c r="D251" s="6">
        <v>200744</v>
      </c>
      <c r="E251" s="7">
        <v>6.2501708226859902</v>
      </c>
      <c r="F251" s="7">
        <v>4.8011746303750096</v>
      </c>
      <c r="G251" s="7">
        <v>9.6497379747339895</v>
      </c>
      <c r="H251" s="7">
        <v>9.8799416171840804</v>
      </c>
      <c r="I251" s="7">
        <v>9.8965597975531008</v>
      </c>
      <c r="J251" s="7">
        <v>97.587474594508393</v>
      </c>
      <c r="K251" s="7">
        <v>99.923783525285899</v>
      </c>
      <c r="L251" s="7">
        <v>100</v>
      </c>
      <c r="M251" s="7">
        <v>100</v>
      </c>
      <c r="N251" s="7">
        <v>7.3857055788939396</v>
      </c>
      <c r="O251" s="7">
        <v>8.5043139520981903</v>
      </c>
      <c r="P251" s="7">
        <v>9.7122354839995193</v>
      </c>
      <c r="Q251" s="7">
        <v>9.8959470768740303</v>
      </c>
      <c r="R251" s="7">
        <v>9.9174421153309709</v>
      </c>
      <c r="S251" s="7">
        <v>99.317538755828295</v>
      </c>
      <c r="T251" s="7">
        <v>99.412684812497503</v>
      </c>
      <c r="U251" s="7">
        <v>100</v>
      </c>
      <c r="V251" s="7">
        <v>100</v>
      </c>
      <c r="W251" s="7">
        <v>6.4794262815518504</v>
      </c>
      <c r="X251" s="7">
        <v>9.6869047144621998</v>
      </c>
      <c r="Y251" s="7">
        <v>9.9229316940979597</v>
      </c>
      <c r="Z251" s="7">
        <v>9.9229316940979597</v>
      </c>
      <c r="AA251" s="7">
        <v>9.9766468736301004</v>
      </c>
      <c r="AB251" s="7">
        <v>99.412684812497503</v>
      </c>
      <c r="AC251" s="7">
        <v>100</v>
      </c>
      <c r="AD251" s="7">
        <v>100</v>
      </c>
      <c r="AE251" s="7">
        <v>100</v>
      </c>
      <c r="AF251" s="6">
        <v>6.8565899389790603</v>
      </c>
      <c r="AG251" s="6">
        <v>4.0630753596620597</v>
      </c>
      <c r="AH251" s="6">
        <v>8.5553291754672607</v>
      </c>
      <c r="AI251" s="6">
        <v>9.1776242378352499</v>
      </c>
      <c r="AJ251" s="6">
        <v>9.4753616546447201</v>
      </c>
      <c r="AK251" s="6">
        <v>95.358765392739002</v>
      </c>
      <c r="AL251" s="6">
        <v>99.241322281114293</v>
      </c>
      <c r="AM251" s="6">
        <v>99.412684812497503</v>
      </c>
      <c r="AN251" s="6">
        <v>99.412684812497503</v>
      </c>
      <c r="AO251" s="6">
        <v>11.794502261262201</v>
      </c>
      <c r="AP251" s="7">
        <v>1.1699826644881</v>
      </c>
      <c r="AQ251" s="7">
        <v>6.9647710516877197</v>
      </c>
      <c r="AR251" s="7">
        <v>9.7537410831706097</v>
      </c>
      <c r="AS251" s="7">
        <v>9.8814559837404907</v>
      </c>
      <c r="AT251" s="7">
        <v>70.410572669668795</v>
      </c>
      <c r="AU251" s="7">
        <v>99.923783525285899</v>
      </c>
      <c r="AV251" s="7">
        <v>99.923783525285899</v>
      </c>
      <c r="AW251" s="7">
        <v>99.923783525285899</v>
      </c>
      <c r="AX251" s="7">
        <v>10.166226415193201</v>
      </c>
      <c r="AY251" s="7">
        <v>3.39135914398438</v>
      </c>
      <c r="AZ251" s="7">
        <v>9.3661927629219299</v>
      </c>
      <c r="BA251" s="7">
        <v>9.8507302833459498</v>
      </c>
      <c r="BB251" s="7">
        <v>9.9069710676284206</v>
      </c>
      <c r="BC251" s="7">
        <v>90.108795281552602</v>
      </c>
      <c r="BD251" s="7">
        <v>98.614653489020796</v>
      </c>
      <c r="BE251" s="7">
        <v>100</v>
      </c>
      <c r="BF251" s="7">
        <v>100</v>
      </c>
      <c r="BG251" s="7">
        <v>7.9544604098398297</v>
      </c>
      <c r="BH251" s="7">
        <v>8.2480871159287492</v>
      </c>
      <c r="BI251" s="7">
        <v>9.93401048101064</v>
      </c>
      <c r="BJ251" s="7">
        <v>9.9574881441039302</v>
      </c>
      <c r="BK251" s="7">
        <v>10</v>
      </c>
      <c r="BL251" s="7">
        <v>98.433826166659998</v>
      </c>
      <c r="BM251" s="7">
        <v>100</v>
      </c>
      <c r="BN251" s="7">
        <v>100</v>
      </c>
      <c r="BO251" s="7">
        <v>100</v>
      </c>
      <c r="BP251" s="6">
        <v>15.1084171980358</v>
      </c>
      <c r="BQ251" s="6">
        <v>0.99732993265054004</v>
      </c>
      <c r="BR251" s="6">
        <v>3.3562746582712299</v>
      </c>
      <c r="BS251" s="6">
        <v>6.2616815446538903</v>
      </c>
      <c r="BT251" s="6">
        <v>8.3314270912206592</v>
      </c>
      <c r="BU251" s="6">
        <v>66.589287849201</v>
      </c>
      <c r="BV251" s="6">
        <v>92.439624596501005</v>
      </c>
      <c r="BW251" s="6">
        <v>96.052185868568898</v>
      </c>
      <c r="BX251" s="6">
        <v>97.839536922647795</v>
      </c>
      <c r="BY251" s="6" t="str">
        <f>TRIM(Table1[[#This Row],[LA_Name]])</f>
        <v>Medway</v>
      </c>
      <c r="BZ251" s="7">
        <v>23.440778227309401</v>
      </c>
      <c r="CA251" s="7">
        <v>0.20202845415056001</v>
      </c>
      <c r="CB251" s="7">
        <v>1.78857151396804</v>
      </c>
      <c r="CC251" s="7">
        <v>4.0328627505678902</v>
      </c>
      <c r="CD251" s="7">
        <v>6.3345006575538996</v>
      </c>
      <c r="CE251" s="7">
        <v>18.017973139919501</v>
      </c>
      <c r="CF251" s="7">
        <v>75.769138803650407</v>
      </c>
      <c r="CG251" s="7">
        <v>98.161837962778506</v>
      </c>
      <c r="CH251" s="7">
        <v>99.923783525285899</v>
      </c>
      <c r="CI251" s="7">
        <v>17.2360373558821</v>
      </c>
      <c r="CJ251" s="7">
        <v>0.79594408799266703</v>
      </c>
      <c r="CK251" s="7">
        <v>3.5242547722472399</v>
      </c>
      <c r="CL251" s="7">
        <v>4.9788835531821602</v>
      </c>
      <c r="CM251" s="7">
        <v>6.3379129637747598</v>
      </c>
      <c r="CN251" s="7">
        <v>47.494819272306998</v>
      </c>
      <c r="CO251" s="7">
        <v>95.186904714462202</v>
      </c>
      <c r="CP251" s="7">
        <v>98.425357669469605</v>
      </c>
      <c r="CQ251" s="7">
        <v>99.412684812497503</v>
      </c>
      <c r="CR251" s="7">
        <v>11.481403593811701</v>
      </c>
      <c r="CS251" s="7">
        <v>2.3213595425018898</v>
      </c>
      <c r="CT251" s="7">
        <v>6.8266946957318799</v>
      </c>
      <c r="CU251" s="7">
        <v>9.9239479137608093</v>
      </c>
      <c r="CV251" s="7">
        <v>9.9893446379468394</v>
      </c>
      <c r="CW251" s="7">
        <v>82.469712668871793</v>
      </c>
      <c r="CX251" s="7">
        <v>99.412684812497503</v>
      </c>
      <c r="CY251" s="7">
        <v>100</v>
      </c>
      <c r="CZ251" s="7">
        <v>100</v>
      </c>
      <c r="DA251" s="9">
        <v>36.694350851026698</v>
      </c>
      <c r="DB251" s="9">
        <v>0.17386821025784099</v>
      </c>
      <c r="DC251" s="9">
        <v>0.79396146335631401</v>
      </c>
      <c r="DD251" s="9">
        <v>1.6708245327382101</v>
      </c>
      <c r="DE251" s="9">
        <v>2.5596381460965199</v>
      </c>
      <c r="DF251" s="9">
        <v>16.361634718845899</v>
      </c>
      <c r="DG251" s="9">
        <v>46.728669350017903</v>
      </c>
      <c r="DH251" s="9">
        <v>68.035408281193995</v>
      </c>
      <c r="DI251" s="9">
        <v>85.081496831785799</v>
      </c>
    </row>
    <row r="252" spans="1:113">
      <c r="A252" s="5" t="s">
        <v>610</v>
      </c>
      <c r="B252" s="5" t="s">
        <v>619</v>
      </c>
      <c r="C252" s="5" t="s">
        <v>620</v>
      </c>
      <c r="D252" s="6">
        <v>191148</v>
      </c>
      <c r="E252" s="7">
        <v>8.1807121849176898</v>
      </c>
      <c r="F252" s="7">
        <v>2.5094010923472898</v>
      </c>
      <c r="G252" s="7">
        <v>9.0132881327557701</v>
      </c>
      <c r="H252" s="7">
        <v>9.9290915939481508</v>
      </c>
      <c r="I252" s="7">
        <v>9.9777345303115901</v>
      </c>
      <c r="J252" s="7">
        <v>92.900265762655096</v>
      </c>
      <c r="K252" s="7">
        <v>99.666750371439903</v>
      </c>
      <c r="L252" s="7">
        <v>99.941929813547603</v>
      </c>
      <c r="M252" s="7">
        <v>99.941929813547603</v>
      </c>
      <c r="N252" s="7">
        <v>8.2606337357393596</v>
      </c>
      <c r="O252" s="7">
        <v>6.0221451440768403</v>
      </c>
      <c r="P252" s="7">
        <v>9.6167210747692895</v>
      </c>
      <c r="Q252" s="7">
        <v>9.9873030322054106</v>
      </c>
      <c r="R252" s="7">
        <v>10</v>
      </c>
      <c r="S252" s="7">
        <v>97.734739573524195</v>
      </c>
      <c r="T252" s="7">
        <v>100</v>
      </c>
      <c r="U252" s="7">
        <v>100</v>
      </c>
      <c r="V252" s="7">
        <v>100</v>
      </c>
      <c r="W252" s="7">
        <v>6.9798434680695696</v>
      </c>
      <c r="X252" s="7">
        <v>9.5977724067214893</v>
      </c>
      <c r="Y252" s="7">
        <v>10</v>
      </c>
      <c r="Z252" s="7">
        <v>10</v>
      </c>
      <c r="AA252" s="7">
        <v>10</v>
      </c>
      <c r="AB252" s="7">
        <v>100</v>
      </c>
      <c r="AC252" s="7">
        <v>100</v>
      </c>
      <c r="AD252" s="7">
        <v>100</v>
      </c>
      <c r="AE252" s="7">
        <v>100</v>
      </c>
      <c r="AF252" s="6">
        <v>9.1530396064263293</v>
      </c>
      <c r="AG252" s="6">
        <v>2.08342226965493</v>
      </c>
      <c r="AH252" s="6">
        <v>6.1107309519325304</v>
      </c>
      <c r="AI252" s="6">
        <v>8.4316393579843893</v>
      </c>
      <c r="AJ252" s="6">
        <v>9.3670820516039903</v>
      </c>
      <c r="AK252" s="6">
        <v>87.496076338753198</v>
      </c>
      <c r="AL252" s="6">
        <v>97.514491388871406</v>
      </c>
      <c r="AM252" s="6">
        <v>99.004436352983006</v>
      </c>
      <c r="AN252" s="6">
        <v>99.416159206478795</v>
      </c>
      <c r="AO252" s="6">
        <v>10.4817301342419</v>
      </c>
      <c r="AP252" s="7">
        <v>1.3598363571682699</v>
      </c>
      <c r="AQ252" s="7">
        <v>8.5760091656726694</v>
      </c>
      <c r="AR252" s="7">
        <v>9.8698652353150393</v>
      </c>
      <c r="AS252" s="7">
        <v>9.9734446606817695</v>
      </c>
      <c r="AT252" s="7">
        <v>81.083244397011697</v>
      </c>
      <c r="AU252" s="7">
        <v>99.275953711260399</v>
      </c>
      <c r="AV252" s="7">
        <v>99.751501454370398</v>
      </c>
      <c r="AW252" s="7">
        <v>99.751501454370398</v>
      </c>
      <c r="AX252" s="7">
        <v>9.1577835554486597</v>
      </c>
      <c r="AY252" s="7">
        <v>3.7249775043421902</v>
      </c>
      <c r="AZ252" s="7">
        <v>9.6163287086446108</v>
      </c>
      <c r="BA252" s="7">
        <v>9.8803335635214609</v>
      </c>
      <c r="BB252" s="7">
        <v>10</v>
      </c>
      <c r="BC252" s="7">
        <v>97.255006591750899</v>
      </c>
      <c r="BD252" s="7">
        <v>99.685583945424497</v>
      </c>
      <c r="BE252" s="7">
        <v>100</v>
      </c>
      <c r="BF252" s="7">
        <v>100</v>
      </c>
      <c r="BG252" s="7">
        <v>7.3497507610191697</v>
      </c>
      <c r="BH252" s="7">
        <v>9.5523050201937796</v>
      </c>
      <c r="BI252" s="7">
        <v>10</v>
      </c>
      <c r="BJ252" s="7">
        <v>10</v>
      </c>
      <c r="BK252" s="7">
        <v>10</v>
      </c>
      <c r="BL252" s="7">
        <v>99.809571640822796</v>
      </c>
      <c r="BM252" s="7">
        <v>100</v>
      </c>
      <c r="BN252" s="7">
        <v>100</v>
      </c>
      <c r="BO252" s="7">
        <v>100</v>
      </c>
      <c r="BP252" s="6">
        <v>12.0442167114361</v>
      </c>
      <c r="BQ252" s="6">
        <v>1.0973277251135201</v>
      </c>
      <c r="BR252" s="6">
        <v>3.7220530688262499</v>
      </c>
      <c r="BS252" s="6">
        <v>7.5184621340531903</v>
      </c>
      <c r="BT252" s="6">
        <v>9.2008496034486402</v>
      </c>
      <c r="BU252" s="6">
        <v>75.050222863958794</v>
      </c>
      <c r="BV252" s="6">
        <v>96.623035553602406</v>
      </c>
      <c r="BW252" s="6">
        <v>98.829702638792995</v>
      </c>
      <c r="BX252" s="6">
        <v>99.279615795090706</v>
      </c>
      <c r="BY252" s="6" t="str">
        <f>TRIM(Table1[[#This Row],[LA_Name]])</f>
        <v>Milton Keynes</v>
      </c>
      <c r="BZ252" s="7">
        <v>20.0285929128787</v>
      </c>
      <c r="CA252" s="7">
        <v>0.31016803733232901</v>
      </c>
      <c r="CB252" s="7">
        <v>2.9417519409044299</v>
      </c>
      <c r="CC252" s="7">
        <v>7.1933998786280799</v>
      </c>
      <c r="CD252" s="7">
        <v>9.6671008851779803</v>
      </c>
      <c r="CE252" s="7">
        <v>26.7138552325946</v>
      </c>
      <c r="CF252" s="7">
        <v>88.671605248289296</v>
      </c>
      <c r="CG252" s="7">
        <v>99.167660660849194</v>
      </c>
      <c r="CH252" s="7">
        <v>99.751501454370398</v>
      </c>
      <c r="CI252" s="7">
        <v>15.7167518580105</v>
      </c>
      <c r="CJ252" s="7">
        <v>0.92743842467616699</v>
      </c>
      <c r="CK252" s="7">
        <v>5.5718186954611104</v>
      </c>
      <c r="CL252" s="7">
        <v>9.0699562642559695</v>
      </c>
      <c r="CM252" s="7">
        <v>9.6883462029422205</v>
      </c>
      <c r="CN252" s="7">
        <v>57.682005566367401</v>
      </c>
      <c r="CO252" s="7">
        <v>94.865235315043805</v>
      </c>
      <c r="CP252" s="7">
        <v>96.881474041057203</v>
      </c>
      <c r="CQ252" s="7">
        <v>99.484692489589193</v>
      </c>
      <c r="CR252" s="7">
        <v>9.9768682438782399</v>
      </c>
      <c r="CS252" s="7">
        <v>5.7105541255990104</v>
      </c>
      <c r="CT252" s="7">
        <v>9.9835467805051596</v>
      </c>
      <c r="CU252" s="7">
        <v>10</v>
      </c>
      <c r="CV252" s="7">
        <v>10</v>
      </c>
      <c r="CW252" s="7">
        <v>93.707493669826505</v>
      </c>
      <c r="CX252" s="7">
        <v>100</v>
      </c>
      <c r="CY252" s="7">
        <v>100</v>
      </c>
      <c r="CZ252" s="7">
        <v>100</v>
      </c>
      <c r="DA252" s="9">
        <v>31.424488812327201</v>
      </c>
      <c r="DB252" s="9">
        <v>0.27995061418377398</v>
      </c>
      <c r="DC252" s="9">
        <v>0.98308117270387296</v>
      </c>
      <c r="DD252" s="9">
        <v>2.1592430995877501</v>
      </c>
      <c r="DE252" s="9">
        <v>3.6244846924895899</v>
      </c>
      <c r="DF252" s="9">
        <v>24.206897273317001</v>
      </c>
      <c r="DG252" s="9">
        <v>59.7259714985247</v>
      </c>
      <c r="DH252" s="9">
        <v>80.641178563207603</v>
      </c>
      <c r="DI252" s="9">
        <v>90.641806349007098</v>
      </c>
    </row>
    <row r="253" spans="1:113">
      <c r="A253" s="5" t="s">
        <v>610</v>
      </c>
      <c r="B253" s="5" t="s">
        <v>621</v>
      </c>
      <c r="C253" s="5" t="s">
        <v>622</v>
      </c>
      <c r="D253" s="6">
        <v>161187</v>
      </c>
      <c r="E253" s="7">
        <v>5.1859086753452397</v>
      </c>
      <c r="F253" s="7">
        <v>6.8667076128968203</v>
      </c>
      <c r="G253" s="7">
        <v>9.9916742665351403</v>
      </c>
      <c r="H253" s="7">
        <v>10</v>
      </c>
      <c r="I253" s="7">
        <v>10</v>
      </c>
      <c r="J253" s="7">
        <v>98.603485392742598</v>
      </c>
      <c r="K253" s="7">
        <v>100</v>
      </c>
      <c r="L253" s="7">
        <v>100</v>
      </c>
      <c r="M253" s="7">
        <v>100</v>
      </c>
      <c r="N253" s="7">
        <v>6.8134755377942904</v>
      </c>
      <c r="O253" s="7">
        <v>9.4636850366344696</v>
      </c>
      <c r="P253" s="7">
        <v>10</v>
      </c>
      <c r="Q253" s="7">
        <v>10</v>
      </c>
      <c r="R253" s="7">
        <v>10</v>
      </c>
      <c r="S253" s="7">
        <v>99.868475745562606</v>
      </c>
      <c r="T253" s="7">
        <v>100</v>
      </c>
      <c r="U253" s="7">
        <v>100</v>
      </c>
      <c r="V253" s="7">
        <v>100</v>
      </c>
      <c r="W253" s="7">
        <v>6.2171044780248899</v>
      </c>
      <c r="X253" s="7">
        <v>10</v>
      </c>
      <c r="Y253" s="7">
        <v>10</v>
      </c>
      <c r="Z253" s="7">
        <v>10</v>
      </c>
      <c r="AA253" s="7">
        <v>10</v>
      </c>
      <c r="AB253" s="7">
        <v>100</v>
      </c>
      <c r="AC253" s="7">
        <v>100</v>
      </c>
      <c r="AD253" s="7">
        <v>100</v>
      </c>
      <c r="AE253" s="7">
        <v>100</v>
      </c>
      <c r="AF253" s="6">
        <v>5.2939720497308302</v>
      </c>
      <c r="AG253" s="6">
        <v>6.1537717061549602</v>
      </c>
      <c r="AH253" s="6">
        <v>9.3993746393940008</v>
      </c>
      <c r="AI253" s="6">
        <v>9.9973695149112505</v>
      </c>
      <c r="AJ253" s="6">
        <v>10</v>
      </c>
      <c r="AK253" s="6">
        <v>97.717557867569994</v>
      </c>
      <c r="AL253" s="6">
        <v>100</v>
      </c>
      <c r="AM253" s="6">
        <v>100</v>
      </c>
      <c r="AN253" s="6">
        <v>100</v>
      </c>
      <c r="AO253" s="6">
        <v>7.6120019106576997</v>
      </c>
      <c r="AP253" s="7">
        <v>3.8625695620614602</v>
      </c>
      <c r="AQ253" s="7">
        <v>9.9071947489561794</v>
      </c>
      <c r="AR253" s="7">
        <v>10</v>
      </c>
      <c r="AS253" s="7">
        <v>10</v>
      </c>
      <c r="AT253" s="7">
        <v>94.698083592349306</v>
      </c>
      <c r="AU253" s="7">
        <v>100</v>
      </c>
      <c r="AV253" s="7">
        <v>100</v>
      </c>
      <c r="AW253" s="7">
        <v>100</v>
      </c>
      <c r="AX253" s="7">
        <v>7.6186884210114796</v>
      </c>
      <c r="AY253" s="7">
        <v>8.8689038197869596</v>
      </c>
      <c r="AZ253" s="7">
        <v>10</v>
      </c>
      <c r="BA253" s="7">
        <v>10</v>
      </c>
      <c r="BB253" s="7">
        <v>10</v>
      </c>
      <c r="BC253" s="7">
        <v>100</v>
      </c>
      <c r="BD253" s="7">
        <v>100</v>
      </c>
      <c r="BE253" s="7">
        <v>100</v>
      </c>
      <c r="BF253" s="7">
        <v>100</v>
      </c>
      <c r="BG253" s="7">
        <v>6.6936885190822002</v>
      </c>
      <c r="BH253" s="7">
        <v>9.9969662565839705</v>
      </c>
      <c r="BI253" s="7">
        <v>10</v>
      </c>
      <c r="BJ253" s="7">
        <v>10</v>
      </c>
      <c r="BK253" s="7">
        <v>10</v>
      </c>
      <c r="BL253" s="7">
        <v>100</v>
      </c>
      <c r="BM253" s="7">
        <v>100</v>
      </c>
      <c r="BN253" s="7">
        <v>100</v>
      </c>
      <c r="BO253" s="7">
        <v>100</v>
      </c>
      <c r="BP253" s="6">
        <v>7.7303168973559098</v>
      </c>
      <c r="BQ253" s="6">
        <v>3.26628698344159</v>
      </c>
      <c r="BR253" s="6">
        <v>8.6723805269655703</v>
      </c>
      <c r="BS253" s="6">
        <v>9.8550131214055696</v>
      </c>
      <c r="BT253" s="6">
        <v>10</v>
      </c>
      <c r="BU253" s="6">
        <v>92.901412644940393</v>
      </c>
      <c r="BV253" s="6">
        <v>100</v>
      </c>
      <c r="BW253" s="6">
        <v>100</v>
      </c>
      <c r="BX253" s="6">
        <v>100</v>
      </c>
      <c r="BY253" s="6" t="str">
        <f>TRIM(Table1[[#This Row],[LA_Name]])</f>
        <v>Portsmouth</v>
      </c>
      <c r="BZ253" s="7">
        <v>17.220282938394501</v>
      </c>
      <c r="CA253" s="7">
        <v>0.45490641304819901</v>
      </c>
      <c r="CB253" s="7">
        <v>2.9970096844038299</v>
      </c>
      <c r="CC253" s="7">
        <v>6.0509532406459599</v>
      </c>
      <c r="CD253" s="7">
        <v>8.4927382481217499</v>
      </c>
      <c r="CE253" s="7">
        <v>31.333172030002402</v>
      </c>
      <c r="CF253" s="7">
        <v>97.460092935534504</v>
      </c>
      <c r="CG253" s="7">
        <v>100</v>
      </c>
      <c r="CH253" s="7">
        <v>100</v>
      </c>
      <c r="CI253" s="7">
        <v>13.108299658017399</v>
      </c>
      <c r="CJ253" s="7">
        <v>1.1344215104195701</v>
      </c>
      <c r="CK253" s="7">
        <v>3.14333041746543</v>
      </c>
      <c r="CL253" s="7">
        <v>5.1157661598019697</v>
      </c>
      <c r="CM253" s="7">
        <v>6.18357559852842</v>
      </c>
      <c r="CN253" s="7">
        <v>64.567241775081101</v>
      </c>
      <c r="CO253" s="7">
        <v>100</v>
      </c>
      <c r="CP253" s="7">
        <v>100</v>
      </c>
      <c r="CQ253" s="7">
        <v>100</v>
      </c>
      <c r="CR253" s="7">
        <v>9.6568132480847897</v>
      </c>
      <c r="CS253" s="7">
        <v>2.62171887311011</v>
      </c>
      <c r="CT253" s="7">
        <v>8.5560373975568709</v>
      </c>
      <c r="CU253" s="7">
        <v>9.9974253506796504</v>
      </c>
      <c r="CV253" s="7">
        <v>10</v>
      </c>
      <c r="CW253" s="7">
        <v>100</v>
      </c>
      <c r="CX253" s="7">
        <v>100</v>
      </c>
      <c r="CY253" s="7">
        <v>100</v>
      </c>
      <c r="CZ253" s="7">
        <v>100</v>
      </c>
      <c r="DA253" s="9">
        <v>25.027211623902801</v>
      </c>
      <c r="DB253" s="9">
        <v>0.33312239820829198</v>
      </c>
      <c r="DC253" s="9">
        <v>1.06759850360141</v>
      </c>
      <c r="DD253" s="9">
        <v>1.9430847400844999</v>
      </c>
      <c r="DE253" s="9">
        <v>2.5080062287901601</v>
      </c>
      <c r="DF253" s="9">
        <v>23.676226991010399</v>
      </c>
      <c r="DG253" s="9">
        <v>61.747535471222903</v>
      </c>
      <c r="DH253" s="9">
        <v>97.161681773344</v>
      </c>
      <c r="DI253" s="9">
        <v>100</v>
      </c>
    </row>
    <row r="254" spans="1:113">
      <c r="A254" s="5" t="s">
        <v>610</v>
      </c>
      <c r="B254" s="5" t="s">
        <v>623</v>
      </c>
      <c r="C254" s="5" t="s">
        <v>624</v>
      </c>
      <c r="D254" s="6">
        <v>118335</v>
      </c>
      <c r="E254" s="7">
        <v>6.5671007707172899</v>
      </c>
      <c r="F254" s="7">
        <v>3.9754087970591998</v>
      </c>
      <c r="G254" s="7">
        <v>9.9365614568808898</v>
      </c>
      <c r="H254" s="7">
        <v>10</v>
      </c>
      <c r="I254" s="7">
        <v>10</v>
      </c>
      <c r="J254" s="7">
        <v>97.780031267165199</v>
      </c>
      <c r="K254" s="7">
        <v>100</v>
      </c>
      <c r="L254" s="7">
        <v>100</v>
      </c>
      <c r="M254" s="7">
        <v>100</v>
      </c>
      <c r="N254" s="7">
        <v>7.3004930190493598</v>
      </c>
      <c r="O254" s="7">
        <v>9.3461528710863195</v>
      </c>
      <c r="P254" s="7">
        <v>10</v>
      </c>
      <c r="Q254" s="7">
        <v>10</v>
      </c>
      <c r="R254" s="7">
        <v>10</v>
      </c>
      <c r="S254" s="7">
        <v>100</v>
      </c>
      <c r="T254" s="7">
        <v>100</v>
      </c>
      <c r="U254" s="7">
        <v>100</v>
      </c>
      <c r="V254" s="7">
        <v>100</v>
      </c>
      <c r="W254" s="7">
        <v>6.7517963391169999</v>
      </c>
      <c r="X254" s="7">
        <v>9.9970929986901602</v>
      </c>
      <c r="Y254" s="7">
        <v>10</v>
      </c>
      <c r="Z254" s="7">
        <v>10</v>
      </c>
      <c r="AA254" s="7">
        <v>10</v>
      </c>
      <c r="AB254" s="7">
        <v>100</v>
      </c>
      <c r="AC254" s="7">
        <v>100</v>
      </c>
      <c r="AD254" s="7">
        <v>100</v>
      </c>
      <c r="AE254" s="7">
        <v>100</v>
      </c>
      <c r="AF254" s="6">
        <v>6.6487788016632097</v>
      </c>
      <c r="AG254" s="6">
        <v>3.1383867832847399</v>
      </c>
      <c r="AH254" s="6">
        <v>9.2556386529767192</v>
      </c>
      <c r="AI254" s="6">
        <v>10</v>
      </c>
      <c r="AJ254" s="6">
        <v>10</v>
      </c>
      <c r="AK254" s="6">
        <v>96.836945958507599</v>
      </c>
      <c r="AL254" s="6">
        <v>100</v>
      </c>
      <c r="AM254" s="6">
        <v>100</v>
      </c>
      <c r="AN254" s="6">
        <v>100</v>
      </c>
      <c r="AO254" s="6">
        <v>8.5357613858066408</v>
      </c>
      <c r="AP254" s="7">
        <v>2.95354713313897</v>
      </c>
      <c r="AQ254" s="7">
        <v>9.3348459880846804</v>
      </c>
      <c r="AR254" s="7">
        <v>10</v>
      </c>
      <c r="AS254" s="7">
        <v>10</v>
      </c>
      <c r="AT254" s="7">
        <v>89.794228250306304</v>
      </c>
      <c r="AU254" s="7">
        <v>100</v>
      </c>
      <c r="AV254" s="7">
        <v>100</v>
      </c>
      <c r="AW254" s="7">
        <v>100</v>
      </c>
      <c r="AX254" s="7">
        <v>8.1303677683895703</v>
      </c>
      <c r="AY254" s="7">
        <v>7.3061816030760101</v>
      </c>
      <c r="AZ254" s="7">
        <v>10</v>
      </c>
      <c r="BA254" s="7">
        <v>10</v>
      </c>
      <c r="BB254" s="7">
        <v>10</v>
      </c>
      <c r="BC254" s="7">
        <v>99.151561245616307</v>
      </c>
      <c r="BD254" s="7">
        <v>100</v>
      </c>
      <c r="BE254" s="7">
        <v>100</v>
      </c>
      <c r="BF254" s="7">
        <v>100</v>
      </c>
      <c r="BG254" s="7">
        <v>7.0738635359947999</v>
      </c>
      <c r="BH254" s="7">
        <v>9.8042337431867193</v>
      </c>
      <c r="BI254" s="7">
        <v>10</v>
      </c>
      <c r="BJ254" s="7">
        <v>10</v>
      </c>
      <c r="BK254" s="7">
        <v>10</v>
      </c>
      <c r="BL254" s="7">
        <v>100</v>
      </c>
      <c r="BM254" s="7">
        <v>100</v>
      </c>
      <c r="BN254" s="7">
        <v>100</v>
      </c>
      <c r="BO254" s="7">
        <v>100</v>
      </c>
      <c r="BP254" s="6">
        <v>9.3336634451259695</v>
      </c>
      <c r="BQ254" s="6">
        <v>2.3462711792791699</v>
      </c>
      <c r="BR254" s="6">
        <v>6.97839185363586</v>
      </c>
      <c r="BS254" s="6">
        <v>9.3297671863776603</v>
      </c>
      <c r="BT254" s="6">
        <v>9.9449444374022899</v>
      </c>
      <c r="BU254" s="6">
        <v>84.752609118181397</v>
      </c>
      <c r="BV254" s="6">
        <v>98.195800059154095</v>
      </c>
      <c r="BW254" s="6">
        <v>100</v>
      </c>
      <c r="BX254" s="6">
        <v>100</v>
      </c>
      <c r="BY254" s="6" t="str">
        <f>TRIM(Table1[[#This Row],[LA_Name]])</f>
        <v>Reading</v>
      </c>
      <c r="BZ254" s="7">
        <v>16.626674762728999</v>
      </c>
      <c r="CA254" s="7">
        <v>0.88368614526556</v>
      </c>
      <c r="CB254" s="7">
        <v>4.3511978704525296</v>
      </c>
      <c r="CC254" s="7">
        <v>8.0483711497021204</v>
      </c>
      <c r="CD254" s="7">
        <v>9.9278996070477898</v>
      </c>
      <c r="CE254" s="7">
        <v>46.018506781594603</v>
      </c>
      <c r="CF254" s="7">
        <v>93.471077872142601</v>
      </c>
      <c r="CG254" s="7">
        <v>100</v>
      </c>
      <c r="CH254" s="7">
        <v>100</v>
      </c>
      <c r="CI254" s="7">
        <v>12.7000091284124</v>
      </c>
      <c r="CJ254" s="7">
        <v>2.4555118941986702</v>
      </c>
      <c r="CK254" s="7">
        <v>7.0937507922423597</v>
      </c>
      <c r="CL254" s="7">
        <v>9.5675413022351794</v>
      </c>
      <c r="CM254" s="7">
        <v>10</v>
      </c>
      <c r="CN254" s="7">
        <v>69.659863945578195</v>
      </c>
      <c r="CO254" s="7">
        <v>100</v>
      </c>
      <c r="CP254" s="7">
        <v>100</v>
      </c>
      <c r="CQ254" s="7">
        <v>100</v>
      </c>
      <c r="CR254" s="7">
        <v>10.259083197043999</v>
      </c>
      <c r="CS254" s="7">
        <v>4.2270925761609002</v>
      </c>
      <c r="CT254" s="7">
        <v>9.9241052942916301</v>
      </c>
      <c r="CU254" s="7">
        <v>10</v>
      </c>
      <c r="CV254" s="7">
        <v>10</v>
      </c>
      <c r="CW254" s="7">
        <v>91.268855368234199</v>
      </c>
      <c r="CX254" s="7">
        <v>100</v>
      </c>
      <c r="CY254" s="7">
        <v>100</v>
      </c>
      <c r="CZ254" s="7">
        <v>100</v>
      </c>
      <c r="DA254" s="9">
        <v>23.945447796315001</v>
      </c>
      <c r="DB254" s="9">
        <v>0.68037351586597405</v>
      </c>
      <c r="DC254" s="9">
        <v>2.2328643258545702</v>
      </c>
      <c r="DD254" s="9">
        <v>3.8332530527738999</v>
      </c>
      <c r="DE254" s="9">
        <v>5.3871297587357896</v>
      </c>
      <c r="DF254" s="9">
        <v>41.677441162800498</v>
      </c>
      <c r="DG254" s="9">
        <v>67.779608737905093</v>
      </c>
      <c r="DH254" s="9">
        <v>84.420501119702493</v>
      </c>
      <c r="DI254" s="9">
        <v>98.458613258968199</v>
      </c>
    </row>
    <row r="255" spans="1:113">
      <c r="A255" s="5" t="s">
        <v>610</v>
      </c>
      <c r="B255" s="5" t="s">
        <v>625</v>
      </c>
      <c r="C255" s="5" t="s">
        <v>626</v>
      </c>
      <c r="D255" s="6">
        <v>103416</v>
      </c>
      <c r="E255" s="7">
        <v>6.5313277446803299</v>
      </c>
      <c r="F255" s="7">
        <v>3.8247079755550399</v>
      </c>
      <c r="G255" s="7">
        <v>9.9407925272685098</v>
      </c>
      <c r="H255" s="7">
        <v>10</v>
      </c>
      <c r="I255" s="7">
        <v>10</v>
      </c>
      <c r="J255" s="7">
        <v>97.906513498878297</v>
      </c>
      <c r="K255" s="7">
        <v>100</v>
      </c>
      <c r="L255" s="7">
        <v>100</v>
      </c>
      <c r="M255" s="7">
        <v>100</v>
      </c>
      <c r="N255" s="7">
        <v>7.2385103968776496</v>
      </c>
      <c r="O255" s="7">
        <v>9.3266419122766298</v>
      </c>
      <c r="P255" s="7">
        <v>10</v>
      </c>
      <c r="Q255" s="7">
        <v>10</v>
      </c>
      <c r="R255" s="7">
        <v>10</v>
      </c>
      <c r="S255" s="7">
        <v>100</v>
      </c>
      <c r="T255" s="7">
        <v>100</v>
      </c>
      <c r="U255" s="7">
        <v>100</v>
      </c>
      <c r="V255" s="7">
        <v>100</v>
      </c>
      <c r="W255" s="7">
        <v>6.51913089588788</v>
      </c>
      <c r="X255" s="7">
        <v>10</v>
      </c>
      <c r="Y255" s="7">
        <v>10</v>
      </c>
      <c r="Z255" s="7">
        <v>10</v>
      </c>
      <c r="AA255" s="7">
        <v>10</v>
      </c>
      <c r="AB255" s="7">
        <v>100</v>
      </c>
      <c r="AC255" s="7">
        <v>100</v>
      </c>
      <c r="AD255" s="7">
        <v>100</v>
      </c>
      <c r="AE255" s="7">
        <v>100</v>
      </c>
      <c r="AF255" s="6">
        <v>6.6613302728903401</v>
      </c>
      <c r="AG255" s="6">
        <v>3.4948170495861399</v>
      </c>
      <c r="AH255" s="6">
        <v>9.1289935793300803</v>
      </c>
      <c r="AI255" s="6">
        <v>9.9028196797400803</v>
      </c>
      <c r="AJ255" s="6">
        <v>10</v>
      </c>
      <c r="AK255" s="6">
        <v>96.106985379438399</v>
      </c>
      <c r="AL255" s="6">
        <v>100</v>
      </c>
      <c r="AM255" s="6">
        <v>100</v>
      </c>
      <c r="AN255" s="6">
        <v>100</v>
      </c>
      <c r="AO255" s="6">
        <v>8.4967898588341999</v>
      </c>
      <c r="AP255" s="7">
        <v>2.15964647636729</v>
      </c>
      <c r="AQ255" s="7">
        <v>9.4388585905469196</v>
      </c>
      <c r="AR255" s="7">
        <v>10</v>
      </c>
      <c r="AS255" s="7">
        <v>10</v>
      </c>
      <c r="AT255" s="7">
        <v>92.323238183646595</v>
      </c>
      <c r="AU255" s="7">
        <v>100</v>
      </c>
      <c r="AV255" s="7">
        <v>100</v>
      </c>
      <c r="AW255" s="7">
        <v>100</v>
      </c>
      <c r="AX255" s="7">
        <v>7.96327483286536</v>
      </c>
      <c r="AY255" s="7">
        <v>7.3861878239344003</v>
      </c>
      <c r="AZ255" s="7">
        <v>10</v>
      </c>
      <c r="BA255" s="7">
        <v>10</v>
      </c>
      <c r="BB255" s="7">
        <v>10</v>
      </c>
      <c r="BC255" s="7">
        <v>100</v>
      </c>
      <c r="BD255" s="7">
        <v>100</v>
      </c>
      <c r="BE255" s="7">
        <v>100</v>
      </c>
      <c r="BF255" s="7">
        <v>100</v>
      </c>
      <c r="BG255" s="7">
        <v>7.0399835451006902</v>
      </c>
      <c r="BH255" s="7">
        <v>9.9945849771795494</v>
      </c>
      <c r="BI255" s="7">
        <v>10</v>
      </c>
      <c r="BJ255" s="7">
        <v>10</v>
      </c>
      <c r="BK255" s="7">
        <v>10</v>
      </c>
      <c r="BL255" s="7">
        <v>100</v>
      </c>
      <c r="BM255" s="7">
        <v>100</v>
      </c>
      <c r="BN255" s="7">
        <v>100</v>
      </c>
      <c r="BO255" s="7">
        <v>100</v>
      </c>
      <c r="BP255" s="6">
        <v>8.7467198459559903</v>
      </c>
      <c r="BQ255" s="6">
        <v>2.0276939738531801</v>
      </c>
      <c r="BR255" s="6">
        <v>7.1859770248317503</v>
      </c>
      <c r="BS255" s="6">
        <v>9.7682273536009898</v>
      </c>
      <c r="BT255" s="6">
        <v>10</v>
      </c>
      <c r="BU255" s="6">
        <v>90.231685619246505</v>
      </c>
      <c r="BV255" s="6">
        <v>100</v>
      </c>
      <c r="BW255" s="6">
        <v>100</v>
      </c>
      <c r="BX255" s="6">
        <v>100</v>
      </c>
      <c r="BY255" s="6" t="str">
        <f>TRIM(Table1[[#This Row],[LA_Name]])</f>
        <v>Slough</v>
      </c>
      <c r="BZ255" s="7">
        <v>21.4485797485641</v>
      </c>
      <c r="CA255" s="7">
        <v>0.21831244681674</v>
      </c>
      <c r="CB255" s="7">
        <v>1.3606115107913701</v>
      </c>
      <c r="CC255" s="7">
        <v>5.6188790902761703</v>
      </c>
      <c r="CD255" s="7">
        <v>9.5189719192387994</v>
      </c>
      <c r="CE255" s="7">
        <v>21.831244681674001</v>
      </c>
      <c r="CF255" s="7">
        <v>86.326100409994595</v>
      </c>
      <c r="CG255" s="7">
        <v>100</v>
      </c>
      <c r="CH255" s="7">
        <v>100</v>
      </c>
      <c r="CI255" s="7">
        <v>13.3407412441146</v>
      </c>
      <c r="CJ255" s="7">
        <v>0.69500850932157499</v>
      </c>
      <c r="CK255" s="7">
        <v>2.88065676491065</v>
      </c>
      <c r="CL255" s="7">
        <v>7.3362729171501497</v>
      </c>
      <c r="CM255" s="7">
        <v>9.9264717258451292</v>
      </c>
      <c r="CN255" s="7">
        <v>68.065869884737396</v>
      </c>
      <c r="CO255" s="7">
        <v>100</v>
      </c>
      <c r="CP255" s="7">
        <v>100</v>
      </c>
      <c r="CQ255" s="7">
        <v>100</v>
      </c>
      <c r="CR255" s="7">
        <v>10.7436437216502</v>
      </c>
      <c r="CS255" s="7">
        <v>1.6434690956911899</v>
      </c>
      <c r="CT255" s="7">
        <v>10</v>
      </c>
      <c r="CU255" s="7">
        <v>10</v>
      </c>
      <c r="CV255" s="7">
        <v>10</v>
      </c>
      <c r="CW255" s="7">
        <v>100</v>
      </c>
      <c r="CX255" s="7">
        <v>100</v>
      </c>
      <c r="CY255" s="7">
        <v>100</v>
      </c>
      <c r="CZ255" s="7">
        <v>100</v>
      </c>
      <c r="DA255" s="9">
        <v>26.2106613941794</v>
      </c>
      <c r="DB255" s="9">
        <v>0.20295698924731201</v>
      </c>
      <c r="DC255" s="9">
        <v>0.63068577396147596</v>
      </c>
      <c r="DD255" s="9">
        <v>1.23252688172043</v>
      </c>
      <c r="DE255" s="9">
        <v>1.9324379206312401</v>
      </c>
      <c r="DF255" s="9">
        <v>20.295698924731202</v>
      </c>
      <c r="DG255" s="9">
        <v>62.289200897346603</v>
      </c>
      <c r="DH255" s="9">
        <v>93.163533689177697</v>
      </c>
      <c r="DI255" s="9">
        <v>100</v>
      </c>
    </row>
    <row r="256" spans="1:113">
      <c r="A256" s="5" t="s">
        <v>610</v>
      </c>
      <c r="B256" s="5" t="s">
        <v>627</v>
      </c>
      <c r="C256" s="5" t="s">
        <v>628</v>
      </c>
      <c r="D256" s="6">
        <v>190249</v>
      </c>
      <c r="E256" s="7">
        <v>6.3255774328616203</v>
      </c>
      <c r="F256" s="7">
        <v>4.9392690631751002</v>
      </c>
      <c r="G256" s="7">
        <v>10</v>
      </c>
      <c r="H256" s="7">
        <v>10</v>
      </c>
      <c r="I256" s="7">
        <v>10</v>
      </c>
      <c r="J256" s="7">
        <v>96.260689937923502</v>
      </c>
      <c r="K256" s="7">
        <v>100</v>
      </c>
      <c r="L256" s="7">
        <v>100</v>
      </c>
      <c r="M256" s="7">
        <v>100</v>
      </c>
      <c r="N256" s="7">
        <v>7.2273780651302202</v>
      </c>
      <c r="O256" s="7">
        <v>9.7701485947363693</v>
      </c>
      <c r="P256" s="7">
        <v>10</v>
      </c>
      <c r="Q256" s="7">
        <v>10</v>
      </c>
      <c r="R256" s="7">
        <v>10</v>
      </c>
      <c r="S256" s="7">
        <v>100</v>
      </c>
      <c r="T256" s="7">
        <v>100</v>
      </c>
      <c r="U256" s="7">
        <v>100</v>
      </c>
      <c r="V256" s="7">
        <v>100</v>
      </c>
      <c r="W256" s="7">
        <v>6.4572853877082999</v>
      </c>
      <c r="X256" s="7">
        <v>10</v>
      </c>
      <c r="Y256" s="7">
        <v>10</v>
      </c>
      <c r="Z256" s="7">
        <v>10</v>
      </c>
      <c r="AA256" s="7">
        <v>10</v>
      </c>
      <c r="AB256" s="7">
        <v>100</v>
      </c>
      <c r="AC256" s="7">
        <v>100</v>
      </c>
      <c r="AD256" s="7">
        <v>100</v>
      </c>
      <c r="AE256" s="7">
        <v>100</v>
      </c>
      <c r="AF256" s="6">
        <v>6.5412094683643103</v>
      </c>
      <c r="AG256" s="6">
        <v>4.1800955589779702</v>
      </c>
      <c r="AH256" s="6">
        <v>9.6508260227386202</v>
      </c>
      <c r="AI256" s="6">
        <v>10</v>
      </c>
      <c r="AJ256" s="6">
        <v>10</v>
      </c>
      <c r="AK256" s="6">
        <v>94.323229031427203</v>
      </c>
      <c r="AL256" s="6">
        <v>100</v>
      </c>
      <c r="AM256" s="6">
        <v>100</v>
      </c>
      <c r="AN256" s="6">
        <v>100</v>
      </c>
      <c r="AO256" s="6">
        <v>9.2908851961419501</v>
      </c>
      <c r="AP256" s="7">
        <v>2.74920236111622</v>
      </c>
      <c r="AQ256" s="7">
        <v>9.7998517732024908</v>
      </c>
      <c r="AR256" s="7">
        <v>10</v>
      </c>
      <c r="AS256" s="7">
        <v>10</v>
      </c>
      <c r="AT256" s="7">
        <v>84.535529753112996</v>
      </c>
      <c r="AU256" s="7">
        <v>100</v>
      </c>
      <c r="AV256" s="7">
        <v>100</v>
      </c>
      <c r="AW256" s="7">
        <v>100</v>
      </c>
      <c r="AX256" s="7">
        <v>8.2499816804917998</v>
      </c>
      <c r="AY256" s="7">
        <v>6.9940393904829996</v>
      </c>
      <c r="AZ256" s="7">
        <v>10</v>
      </c>
      <c r="BA256" s="7">
        <v>10</v>
      </c>
      <c r="BB256" s="7">
        <v>10</v>
      </c>
      <c r="BC256" s="7">
        <v>99.882785192037801</v>
      </c>
      <c r="BD256" s="7">
        <v>100</v>
      </c>
      <c r="BE256" s="7">
        <v>100</v>
      </c>
      <c r="BF256" s="7">
        <v>100</v>
      </c>
      <c r="BG256" s="7">
        <v>7.0739113313755002</v>
      </c>
      <c r="BH256" s="7">
        <v>9.9922732839594399</v>
      </c>
      <c r="BI256" s="7">
        <v>10</v>
      </c>
      <c r="BJ256" s="7">
        <v>10</v>
      </c>
      <c r="BK256" s="7">
        <v>10</v>
      </c>
      <c r="BL256" s="7">
        <v>100</v>
      </c>
      <c r="BM256" s="7">
        <v>100</v>
      </c>
      <c r="BN256" s="7">
        <v>100</v>
      </c>
      <c r="BO256" s="7">
        <v>100</v>
      </c>
      <c r="BP256" s="6">
        <v>9.6124312890463806</v>
      </c>
      <c r="BQ256" s="6">
        <v>2.31784661154592</v>
      </c>
      <c r="BR256" s="6">
        <v>6.7125766758300998</v>
      </c>
      <c r="BS256" s="6">
        <v>9.6883295050171103</v>
      </c>
      <c r="BT256" s="6">
        <v>10</v>
      </c>
      <c r="BU256" s="6">
        <v>81.514226093172596</v>
      </c>
      <c r="BV256" s="6">
        <v>100</v>
      </c>
      <c r="BW256" s="6">
        <v>100</v>
      </c>
      <c r="BX256" s="6">
        <v>100</v>
      </c>
      <c r="BY256" s="6" t="str">
        <f>TRIM(Table1[[#This Row],[LA_Name]])</f>
        <v>Southampton</v>
      </c>
      <c r="BZ256" s="7">
        <v>18.080772974549301</v>
      </c>
      <c r="CA256" s="7">
        <v>0.447019432428029</v>
      </c>
      <c r="CB256" s="7">
        <v>2.9741444107459198</v>
      </c>
      <c r="CC256" s="7">
        <v>7.0396585527387803</v>
      </c>
      <c r="CD256" s="7">
        <v>9.3850217346740301</v>
      </c>
      <c r="CE256" s="7">
        <v>34.0064862364585</v>
      </c>
      <c r="CF256" s="7">
        <v>92.624928383329205</v>
      </c>
      <c r="CG256" s="7">
        <v>100</v>
      </c>
      <c r="CH256" s="7">
        <v>100</v>
      </c>
      <c r="CI256" s="7">
        <v>12.997519180261101</v>
      </c>
      <c r="CJ256" s="7">
        <v>1.3658731451939301</v>
      </c>
      <c r="CK256" s="7">
        <v>5.6510940924788002</v>
      </c>
      <c r="CL256" s="7">
        <v>8.9821181714490006</v>
      </c>
      <c r="CM256" s="7">
        <v>9.7006344317184308</v>
      </c>
      <c r="CN256" s="7">
        <v>72.198014181414905</v>
      </c>
      <c r="CO256" s="7">
        <v>100</v>
      </c>
      <c r="CP256" s="7">
        <v>100</v>
      </c>
      <c r="CQ256" s="7">
        <v>100</v>
      </c>
      <c r="CR256" s="7">
        <v>10.1385637130441</v>
      </c>
      <c r="CS256" s="7">
        <v>3.4814795347150298</v>
      </c>
      <c r="CT256" s="7">
        <v>9.7813917550157896</v>
      </c>
      <c r="CU256" s="7">
        <v>10</v>
      </c>
      <c r="CV256" s="7">
        <v>10</v>
      </c>
      <c r="CW256" s="7">
        <v>87.250918533080295</v>
      </c>
      <c r="CX256" s="7">
        <v>100</v>
      </c>
      <c r="CY256" s="7">
        <v>100</v>
      </c>
      <c r="CZ256" s="7">
        <v>100</v>
      </c>
      <c r="DA256" s="9">
        <v>25.102054244028899</v>
      </c>
      <c r="DB256" s="9">
        <v>0.363297573180411</v>
      </c>
      <c r="DC256" s="9">
        <v>1.2732892157120399</v>
      </c>
      <c r="DD256" s="9">
        <v>2.42809160626337</v>
      </c>
      <c r="DE256" s="9">
        <v>3.8974291586289498</v>
      </c>
      <c r="DF256" s="9">
        <v>30.548912215044499</v>
      </c>
      <c r="DG256" s="9">
        <v>69.484202282272193</v>
      </c>
      <c r="DH256" s="9">
        <v>87.158933818311795</v>
      </c>
      <c r="DI256" s="9">
        <v>95.2504349562941</v>
      </c>
    </row>
    <row r="257" spans="1:113">
      <c r="A257" s="5" t="s">
        <v>610</v>
      </c>
      <c r="B257" s="5" t="s">
        <v>629</v>
      </c>
      <c r="C257" s="5" t="s">
        <v>630</v>
      </c>
      <c r="D257" s="6">
        <v>113324</v>
      </c>
      <c r="E257" s="7">
        <v>12.580067696348401</v>
      </c>
      <c r="F257" s="7">
        <v>1.9365712470438701</v>
      </c>
      <c r="G257" s="7">
        <v>6.8638770251667802</v>
      </c>
      <c r="H257" s="7">
        <v>8.7787317779111191</v>
      </c>
      <c r="I257" s="7">
        <v>9.4804277999364697</v>
      </c>
      <c r="J257" s="7">
        <v>72.996011436235904</v>
      </c>
      <c r="K257" s="7">
        <v>92.599978821785299</v>
      </c>
      <c r="L257" s="7">
        <v>97.872471850623</v>
      </c>
      <c r="M257" s="7">
        <v>99.403480286611796</v>
      </c>
      <c r="N257" s="7">
        <v>10.2915084234325</v>
      </c>
      <c r="O257" s="7">
        <v>4.5609138399632903</v>
      </c>
      <c r="P257" s="7">
        <v>7.7412375136775999</v>
      </c>
      <c r="Q257" s="7">
        <v>9.4141311637428995</v>
      </c>
      <c r="R257" s="7">
        <v>9.9334915816596698</v>
      </c>
      <c r="S257" s="7">
        <v>84.525784476368599</v>
      </c>
      <c r="T257" s="7">
        <v>98.744308354805696</v>
      </c>
      <c r="U257" s="7">
        <v>100</v>
      </c>
      <c r="V257" s="7">
        <v>100</v>
      </c>
      <c r="W257" s="7">
        <v>7.7053522798488299</v>
      </c>
      <c r="X257" s="7">
        <v>7.4910786770675202</v>
      </c>
      <c r="Y257" s="7">
        <v>10</v>
      </c>
      <c r="Z257" s="7">
        <v>10</v>
      </c>
      <c r="AA257" s="7">
        <v>10</v>
      </c>
      <c r="AB257" s="7">
        <v>98.186615368324496</v>
      </c>
      <c r="AC257" s="7">
        <v>100</v>
      </c>
      <c r="AD257" s="7">
        <v>100</v>
      </c>
      <c r="AE257" s="7">
        <v>100</v>
      </c>
      <c r="AF257" s="6">
        <v>16.356742692223101</v>
      </c>
      <c r="AG257" s="6">
        <v>1.5631816737849</v>
      </c>
      <c r="AH257" s="6">
        <v>4.5477304013271702</v>
      </c>
      <c r="AI257" s="6">
        <v>6.35787653100844</v>
      </c>
      <c r="AJ257" s="6">
        <v>7.1235042885884701</v>
      </c>
      <c r="AK257" s="6">
        <v>67.259362535738205</v>
      </c>
      <c r="AL257" s="6">
        <v>83.476580424270196</v>
      </c>
      <c r="AM257" s="6">
        <v>91.047792171119994</v>
      </c>
      <c r="AN257" s="6">
        <v>95.300201193039399</v>
      </c>
      <c r="AO257" s="6">
        <v>13.4690301287102</v>
      </c>
      <c r="AP257" s="7">
        <v>1.14777981716141</v>
      </c>
      <c r="AQ257" s="7">
        <v>5.7203681479651296</v>
      </c>
      <c r="AR257" s="7">
        <v>8.77090466273693</v>
      </c>
      <c r="AS257" s="7">
        <v>9.5147100349440503</v>
      </c>
      <c r="AT257" s="7">
        <v>64.911227983480998</v>
      </c>
      <c r="AU257" s="7">
        <v>95.434329885990607</v>
      </c>
      <c r="AV257" s="7">
        <v>98.0039532667396</v>
      </c>
      <c r="AW257" s="7">
        <v>99.832339133811004</v>
      </c>
      <c r="AX257" s="7">
        <v>10.772274473717401</v>
      </c>
      <c r="AY257" s="7">
        <v>2.65976315696587</v>
      </c>
      <c r="AZ257" s="7">
        <v>7.9912022166531402</v>
      </c>
      <c r="BA257" s="7">
        <v>9.3441812855176298</v>
      </c>
      <c r="BB257" s="7">
        <v>9.9356799971762406</v>
      </c>
      <c r="BC257" s="7">
        <v>86.896862094525403</v>
      </c>
      <c r="BD257" s="7">
        <v>98.476933394514802</v>
      </c>
      <c r="BE257" s="7">
        <v>100</v>
      </c>
      <c r="BF257" s="7">
        <v>100</v>
      </c>
      <c r="BG257" s="7">
        <v>8.0309320211721893</v>
      </c>
      <c r="BH257" s="7">
        <v>7.44368359747273</v>
      </c>
      <c r="BI257" s="7">
        <v>10</v>
      </c>
      <c r="BJ257" s="7">
        <v>10</v>
      </c>
      <c r="BK257" s="7">
        <v>10</v>
      </c>
      <c r="BL257" s="7">
        <v>98.446048498111594</v>
      </c>
      <c r="BM257" s="7">
        <v>100</v>
      </c>
      <c r="BN257" s="7">
        <v>100</v>
      </c>
      <c r="BO257" s="7">
        <v>100</v>
      </c>
      <c r="BP257" s="6">
        <v>17.614018565594399</v>
      </c>
      <c r="BQ257" s="6">
        <v>0.956505241608132</v>
      </c>
      <c r="BR257" s="6">
        <v>2.5723765486569499</v>
      </c>
      <c r="BS257" s="6">
        <v>4.7684691680491298</v>
      </c>
      <c r="BT257" s="6">
        <v>6.7427817584977596</v>
      </c>
      <c r="BU257" s="6">
        <v>58.517172002400201</v>
      </c>
      <c r="BV257" s="6">
        <v>85.232607391196893</v>
      </c>
      <c r="BW257" s="6">
        <v>93.731248455755207</v>
      </c>
      <c r="BX257" s="6">
        <v>97.4894991352229</v>
      </c>
      <c r="BY257" s="6" t="str">
        <f>TRIM(Table1[[#This Row],[LA_Name]])</f>
        <v>West Berkshire</v>
      </c>
      <c r="BZ257" s="7">
        <v>30.859201417266899</v>
      </c>
      <c r="CA257" s="7">
        <v>0.20249902933182701</v>
      </c>
      <c r="CB257" s="7">
        <v>0.86127386961279195</v>
      </c>
      <c r="CC257" s="7">
        <v>2.94750450037062</v>
      </c>
      <c r="CD257" s="7">
        <v>6.0094154812749299</v>
      </c>
      <c r="CE257" s="7">
        <v>19.550139423246598</v>
      </c>
      <c r="CF257" s="7">
        <v>50.766827856411702</v>
      </c>
      <c r="CG257" s="7">
        <v>89.541491652253697</v>
      </c>
      <c r="CH257" s="7">
        <v>95.574635558222397</v>
      </c>
      <c r="CI257" s="7">
        <v>25.269350419677799</v>
      </c>
      <c r="CJ257" s="7">
        <v>0.484584024566729</v>
      </c>
      <c r="CK257" s="7">
        <v>1.8596325579753601</v>
      </c>
      <c r="CL257" s="7">
        <v>3.74340828068194</v>
      </c>
      <c r="CM257" s="7">
        <v>5.2136705375736803</v>
      </c>
      <c r="CN257" s="7">
        <v>29.1385761180332</v>
      </c>
      <c r="CO257" s="7">
        <v>76.234513430517794</v>
      </c>
      <c r="CP257" s="7">
        <v>88.993505347499195</v>
      </c>
      <c r="CQ257" s="7">
        <v>93.982739755038693</v>
      </c>
      <c r="CR257" s="7">
        <v>13.814017856408499</v>
      </c>
      <c r="CS257" s="7">
        <v>1.1866418410927999</v>
      </c>
      <c r="CT257" s="7">
        <v>6.4794394832515598</v>
      </c>
      <c r="CU257" s="7">
        <v>10</v>
      </c>
      <c r="CV257" s="7">
        <v>10</v>
      </c>
      <c r="CW257" s="7">
        <v>61.642723518407401</v>
      </c>
      <c r="CX257" s="7">
        <v>100</v>
      </c>
      <c r="CY257" s="7">
        <v>100</v>
      </c>
      <c r="CZ257" s="7">
        <v>100</v>
      </c>
      <c r="DA257" s="9">
        <v>58.6246765352601</v>
      </c>
      <c r="DB257" s="9">
        <v>0.153895026649253</v>
      </c>
      <c r="DC257" s="9">
        <v>0.46576188627298698</v>
      </c>
      <c r="DD257" s="9">
        <v>0.79309766686668304</v>
      </c>
      <c r="DE257" s="9">
        <v>1.1232483851611299</v>
      </c>
      <c r="DF257" s="9">
        <v>15.389502664925301</v>
      </c>
      <c r="DG257" s="9">
        <v>28.293212382196199</v>
      </c>
      <c r="DH257" s="9">
        <v>38.215205958137702</v>
      </c>
      <c r="DI257" s="9">
        <v>51.251279517136702</v>
      </c>
    </row>
    <row r="258" spans="1:113">
      <c r="A258" s="5" t="s">
        <v>610</v>
      </c>
      <c r="B258" s="5" t="s">
        <v>631</v>
      </c>
      <c r="C258" s="5" t="s">
        <v>632</v>
      </c>
      <c r="D258" s="6">
        <v>106687</v>
      </c>
      <c r="E258" s="7">
        <v>11.617730782409099</v>
      </c>
      <c r="F258" s="7">
        <v>2.0342403479336801</v>
      </c>
      <c r="G258" s="7">
        <v>7.6073560977438701</v>
      </c>
      <c r="H258" s="7">
        <v>9.7612361393609302</v>
      </c>
      <c r="I258" s="7">
        <v>9.9632757505600509</v>
      </c>
      <c r="J258" s="7">
        <v>75.288460637190994</v>
      </c>
      <c r="K258" s="7">
        <v>96.479421110350799</v>
      </c>
      <c r="L258" s="7">
        <v>99.826595555222298</v>
      </c>
      <c r="M258" s="7">
        <v>100</v>
      </c>
      <c r="N258" s="7">
        <v>10.3155490287827</v>
      </c>
      <c r="O258" s="7">
        <v>5.0864678920580797</v>
      </c>
      <c r="P258" s="7">
        <v>9.7467638981319205</v>
      </c>
      <c r="Q258" s="7">
        <v>10</v>
      </c>
      <c r="R258" s="7">
        <v>10</v>
      </c>
      <c r="S258" s="7">
        <v>82.968871558859107</v>
      </c>
      <c r="T258" s="7">
        <v>99.776917525096806</v>
      </c>
      <c r="U258" s="7">
        <v>100</v>
      </c>
      <c r="V258" s="7">
        <v>100</v>
      </c>
      <c r="W258" s="7">
        <v>7.9280314290493497</v>
      </c>
      <c r="X258" s="7">
        <v>8.6131393703075307</v>
      </c>
      <c r="Y258" s="7">
        <v>10</v>
      </c>
      <c r="Z258" s="7">
        <v>10</v>
      </c>
      <c r="AA258" s="7">
        <v>10</v>
      </c>
      <c r="AB258" s="7">
        <v>99.625071470750896</v>
      </c>
      <c r="AC258" s="7">
        <v>100</v>
      </c>
      <c r="AD258" s="7">
        <v>100</v>
      </c>
      <c r="AE258" s="7">
        <v>100</v>
      </c>
      <c r="AF258" s="6">
        <v>15.4698227642542</v>
      </c>
      <c r="AG258" s="6">
        <v>1.67929550929354</v>
      </c>
      <c r="AH258" s="6">
        <v>4.9920983812460804</v>
      </c>
      <c r="AI258" s="6">
        <v>7.12921911760571</v>
      </c>
      <c r="AJ258" s="6">
        <v>8.57503725852259</v>
      </c>
      <c r="AK258" s="6">
        <v>70.839933637650304</v>
      </c>
      <c r="AL258" s="6">
        <v>83.9633694826924</v>
      </c>
      <c r="AM258" s="6">
        <v>92.036518038748895</v>
      </c>
      <c r="AN258" s="6">
        <v>98.090676464798904</v>
      </c>
      <c r="AO258" s="6">
        <v>9.7253912041393793</v>
      </c>
      <c r="AP258" s="7">
        <v>1.9921639937386899</v>
      </c>
      <c r="AQ258" s="7">
        <v>8.4110622662555006</v>
      </c>
      <c r="AR258" s="7">
        <v>9.8289201121036296</v>
      </c>
      <c r="AS258" s="7">
        <v>9.9692371141751099</v>
      </c>
      <c r="AT258" s="7">
        <v>81.623815460177894</v>
      </c>
      <c r="AU258" s="7">
        <v>99.642880575890203</v>
      </c>
      <c r="AV258" s="7">
        <v>100</v>
      </c>
      <c r="AW258" s="7">
        <v>100</v>
      </c>
      <c r="AX258" s="7">
        <v>8.5500837012720208</v>
      </c>
      <c r="AY258" s="7">
        <v>5.5354354326206598</v>
      </c>
      <c r="AZ258" s="7">
        <v>9.9441450223551104</v>
      </c>
      <c r="BA258" s="7">
        <v>10</v>
      </c>
      <c r="BB258" s="7">
        <v>10</v>
      </c>
      <c r="BC258" s="7">
        <v>96.700628942607807</v>
      </c>
      <c r="BD258" s="7">
        <v>100</v>
      </c>
      <c r="BE258" s="7">
        <v>100</v>
      </c>
      <c r="BF258" s="7">
        <v>100</v>
      </c>
      <c r="BG258" s="7">
        <v>7.0611013624928596</v>
      </c>
      <c r="BH258" s="7">
        <v>9.7615267089711004</v>
      </c>
      <c r="BI258" s="7">
        <v>10</v>
      </c>
      <c r="BJ258" s="7">
        <v>10</v>
      </c>
      <c r="BK258" s="7">
        <v>10</v>
      </c>
      <c r="BL258" s="7">
        <v>100</v>
      </c>
      <c r="BM258" s="7">
        <v>100</v>
      </c>
      <c r="BN258" s="7">
        <v>100</v>
      </c>
      <c r="BO258" s="7">
        <v>100</v>
      </c>
      <c r="BP258" s="6">
        <v>10.7966819726908</v>
      </c>
      <c r="BQ258" s="6">
        <v>1.6521413105626701</v>
      </c>
      <c r="BR258" s="6">
        <v>5.2690112197362398</v>
      </c>
      <c r="BS258" s="6">
        <v>8.0831122817213004</v>
      </c>
      <c r="BT258" s="6">
        <v>9.5883659677373991</v>
      </c>
      <c r="BU258" s="6">
        <v>77.041251511430602</v>
      </c>
      <c r="BV258" s="6">
        <v>96.116677758302302</v>
      </c>
      <c r="BW258" s="6">
        <v>99.642880575890203</v>
      </c>
      <c r="BX258" s="6">
        <v>100</v>
      </c>
      <c r="BY258" s="6" t="str">
        <f>TRIM(Table1[[#This Row],[LA_Name]])</f>
        <v>Windsor and Maidenhead</v>
      </c>
      <c r="BZ258" s="7">
        <v>22.0299103681843</v>
      </c>
      <c r="CA258" s="7">
        <v>0.225735094247659</v>
      </c>
      <c r="CB258" s="7">
        <v>1.3111344399973801</v>
      </c>
      <c r="CC258" s="7">
        <v>3.4090845182637102</v>
      </c>
      <c r="CD258" s="7">
        <v>7.5607431083449699</v>
      </c>
      <c r="CE258" s="7">
        <v>22.311996775614599</v>
      </c>
      <c r="CF258" s="7">
        <v>84.4807708530561</v>
      </c>
      <c r="CG258" s="7">
        <v>97.482354926092199</v>
      </c>
      <c r="CH258" s="7">
        <v>99.053305463645998</v>
      </c>
      <c r="CI258" s="7">
        <v>17.145016533290601</v>
      </c>
      <c r="CJ258" s="7">
        <v>0.62183771218611505</v>
      </c>
      <c r="CK258" s="7">
        <v>1.8710995716441601</v>
      </c>
      <c r="CL258" s="7">
        <v>4.6545689727895603</v>
      </c>
      <c r="CM258" s="7">
        <v>8.9754234349077198</v>
      </c>
      <c r="CN258" s="7">
        <v>49.516810857930203</v>
      </c>
      <c r="CO258" s="7">
        <v>89.116762117221398</v>
      </c>
      <c r="CP258" s="7">
        <v>100</v>
      </c>
      <c r="CQ258" s="7">
        <v>100</v>
      </c>
      <c r="CR258" s="7">
        <v>11.420420015579101</v>
      </c>
      <c r="CS258" s="7">
        <v>1.3782091538800401</v>
      </c>
      <c r="CT258" s="7">
        <v>9.7378874652019505</v>
      </c>
      <c r="CU258" s="7">
        <v>10</v>
      </c>
      <c r="CV258" s="7">
        <v>10</v>
      </c>
      <c r="CW258" s="7">
        <v>83.775905218067805</v>
      </c>
      <c r="CX258" s="7">
        <v>100</v>
      </c>
      <c r="CY258" s="7">
        <v>100</v>
      </c>
      <c r="CZ258" s="7">
        <v>100</v>
      </c>
      <c r="DA258" s="9">
        <v>37.993571453610997</v>
      </c>
      <c r="DB258" s="9">
        <v>0.1951315530477</v>
      </c>
      <c r="DC258" s="9">
        <v>0.60458162662742398</v>
      </c>
      <c r="DD258" s="9">
        <v>1.0236392437691599</v>
      </c>
      <c r="DE258" s="9">
        <v>1.4085127522566001</v>
      </c>
      <c r="DF258" s="9">
        <v>19.513155304769999</v>
      </c>
      <c r="DG258" s="9">
        <v>48.911301283192898</v>
      </c>
      <c r="DH258" s="9">
        <v>68.067337163853097</v>
      </c>
      <c r="DI258" s="9">
        <v>82.181521647436</v>
      </c>
    </row>
    <row r="259" spans="1:113">
      <c r="A259" s="5" t="s">
        <v>610</v>
      </c>
      <c r="B259" s="5" t="s">
        <v>633</v>
      </c>
      <c r="C259" s="5" t="s">
        <v>634</v>
      </c>
      <c r="D259" s="6">
        <v>120503</v>
      </c>
      <c r="E259" s="7">
        <v>9.4412667665790408</v>
      </c>
      <c r="F259" s="7">
        <v>2.3219421923105599</v>
      </c>
      <c r="G259" s="7">
        <v>8.6320423557919703</v>
      </c>
      <c r="H259" s="7">
        <v>9.8919114046953194</v>
      </c>
      <c r="I259" s="7">
        <v>9.9635859688140496</v>
      </c>
      <c r="J259" s="7">
        <v>84.042720928109702</v>
      </c>
      <c r="K259" s="7">
        <v>98.771814809589799</v>
      </c>
      <c r="L259" s="7">
        <v>100</v>
      </c>
      <c r="M259" s="7">
        <v>100</v>
      </c>
      <c r="N259" s="7">
        <v>8.6393874050444097</v>
      </c>
      <c r="O259" s="7">
        <v>5.5585753051791196</v>
      </c>
      <c r="P259" s="7">
        <v>9.8758952059284795</v>
      </c>
      <c r="Q259" s="7">
        <v>10</v>
      </c>
      <c r="R259" s="7">
        <v>10</v>
      </c>
      <c r="S259" s="7">
        <v>96.202584168029006</v>
      </c>
      <c r="T259" s="7">
        <v>100</v>
      </c>
      <c r="U259" s="7">
        <v>100</v>
      </c>
      <c r="V259" s="7">
        <v>100</v>
      </c>
      <c r="W259" s="7">
        <v>7.2088411918134803</v>
      </c>
      <c r="X259" s="7">
        <v>9.5410819647643592</v>
      </c>
      <c r="Y259" s="7">
        <v>10</v>
      </c>
      <c r="Z259" s="7">
        <v>10</v>
      </c>
      <c r="AA259" s="7">
        <v>10</v>
      </c>
      <c r="AB259" s="7">
        <v>100</v>
      </c>
      <c r="AC259" s="7">
        <v>100</v>
      </c>
      <c r="AD259" s="7">
        <v>100</v>
      </c>
      <c r="AE259" s="7">
        <v>100</v>
      </c>
      <c r="AF259" s="6">
        <v>10.3284154817957</v>
      </c>
      <c r="AG259" s="6">
        <v>1.8849821166278</v>
      </c>
      <c r="AH259" s="6">
        <v>5.5748819531463996</v>
      </c>
      <c r="AI259" s="6">
        <v>8.1097897977643694</v>
      </c>
      <c r="AJ259" s="6">
        <v>9.51242707650432</v>
      </c>
      <c r="AK259" s="6">
        <v>79.637021484942295</v>
      </c>
      <c r="AL259" s="6">
        <v>95.705501107856193</v>
      </c>
      <c r="AM259" s="6">
        <v>99.659759508061995</v>
      </c>
      <c r="AN259" s="6">
        <v>100</v>
      </c>
      <c r="AO259" s="6">
        <v>11.874666269906699</v>
      </c>
      <c r="AP259" s="7">
        <v>1.2928640780727501</v>
      </c>
      <c r="AQ259" s="7">
        <v>7.9738429748637003</v>
      </c>
      <c r="AR259" s="7">
        <v>9.8162535372563298</v>
      </c>
      <c r="AS259" s="7">
        <v>9.9618681692571993</v>
      </c>
      <c r="AT259" s="7">
        <v>67.562633295436598</v>
      </c>
      <c r="AU259" s="7">
        <v>99.3029219189564</v>
      </c>
      <c r="AV259" s="7">
        <v>99.836518592898102</v>
      </c>
      <c r="AW259" s="7">
        <v>100</v>
      </c>
      <c r="AX259" s="7">
        <v>9.6144724219974904</v>
      </c>
      <c r="AY259" s="7">
        <v>3.9757682381351498</v>
      </c>
      <c r="AZ259" s="7">
        <v>9.8077890177008005</v>
      </c>
      <c r="BA259" s="7">
        <v>10</v>
      </c>
      <c r="BB259" s="7">
        <v>10</v>
      </c>
      <c r="BC259" s="7">
        <v>97.7137498651486</v>
      </c>
      <c r="BD259" s="7">
        <v>100</v>
      </c>
      <c r="BE259" s="7">
        <v>100</v>
      </c>
      <c r="BF259" s="7">
        <v>100</v>
      </c>
      <c r="BG259" s="7">
        <v>7.7225452417492502</v>
      </c>
      <c r="BH259" s="7">
        <v>9.4301718629411706</v>
      </c>
      <c r="BI259" s="7">
        <v>10</v>
      </c>
      <c r="BJ259" s="7">
        <v>10</v>
      </c>
      <c r="BK259" s="7">
        <v>10</v>
      </c>
      <c r="BL259" s="7">
        <v>100</v>
      </c>
      <c r="BM259" s="7">
        <v>100</v>
      </c>
      <c r="BN259" s="7">
        <v>100</v>
      </c>
      <c r="BO259" s="7">
        <v>100</v>
      </c>
      <c r="BP259" s="6">
        <v>13.536869053255099</v>
      </c>
      <c r="BQ259" s="6">
        <v>1.0296341169929399</v>
      </c>
      <c r="BR259" s="6">
        <v>3.8603188302365901</v>
      </c>
      <c r="BS259" s="6">
        <v>7.0617992913039496</v>
      </c>
      <c r="BT259" s="6">
        <v>9.0715666829871395</v>
      </c>
      <c r="BU259" s="6">
        <v>61.226691451665097</v>
      </c>
      <c r="BV259" s="6">
        <v>97.141150012862795</v>
      </c>
      <c r="BW259" s="6">
        <v>99.836518592898102</v>
      </c>
      <c r="BX259" s="6">
        <v>100</v>
      </c>
      <c r="BY259" s="6" t="str">
        <f>TRIM(Table1[[#This Row],[LA_Name]])</f>
        <v>Wokingham</v>
      </c>
      <c r="BZ259" s="7">
        <v>23.5266132807978</v>
      </c>
      <c r="CA259" s="7">
        <v>0.13305062944491</v>
      </c>
      <c r="CB259" s="7">
        <v>2.28084777972333</v>
      </c>
      <c r="CC259" s="7">
        <v>6.93381907504377</v>
      </c>
      <c r="CD259" s="7">
        <v>9.4913404645527493</v>
      </c>
      <c r="CE259" s="7">
        <v>13.18224442545</v>
      </c>
      <c r="CF259" s="7">
        <v>85.760520484967202</v>
      </c>
      <c r="CG259" s="7">
        <v>98.283860152859305</v>
      </c>
      <c r="CH259" s="7">
        <v>98.837373343402206</v>
      </c>
      <c r="CI259" s="7">
        <v>17.253802787709301</v>
      </c>
      <c r="CJ259" s="7">
        <v>0.42855364596731998</v>
      </c>
      <c r="CK259" s="7">
        <v>4.6442412222102396</v>
      </c>
      <c r="CL259" s="7">
        <v>8.7323303154278307</v>
      </c>
      <c r="CM259" s="7">
        <v>9.9828054073342596</v>
      </c>
      <c r="CN259" s="7">
        <v>36.955096553612798</v>
      </c>
      <c r="CO259" s="7">
        <v>96.1096404238899</v>
      </c>
      <c r="CP259" s="7">
        <v>99.706231380131598</v>
      </c>
      <c r="CQ259" s="7">
        <v>100</v>
      </c>
      <c r="CR259" s="7">
        <v>11.3581330111212</v>
      </c>
      <c r="CS259" s="7">
        <v>2.2351476726720501</v>
      </c>
      <c r="CT259" s="7">
        <v>9.9953860069873794</v>
      </c>
      <c r="CU259" s="7">
        <v>10</v>
      </c>
      <c r="CV259" s="7">
        <v>10</v>
      </c>
      <c r="CW259" s="7">
        <v>95.319618598707095</v>
      </c>
      <c r="CX259" s="7">
        <v>100</v>
      </c>
      <c r="CY259" s="7">
        <v>100</v>
      </c>
      <c r="CZ259" s="7">
        <v>100</v>
      </c>
      <c r="DA259" s="9">
        <v>38.476780188376203</v>
      </c>
      <c r="DB259" s="9">
        <v>0.106130137838892</v>
      </c>
      <c r="DC259" s="9">
        <v>0.41097732006672</v>
      </c>
      <c r="DD259" s="9">
        <v>1.2437781631992599</v>
      </c>
      <c r="DE259" s="9">
        <v>2.6267727774412299</v>
      </c>
      <c r="DF259" s="9">
        <v>10.613013783889199</v>
      </c>
      <c r="DG259" s="9">
        <v>38.482029493041701</v>
      </c>
      <c r="DH259" s="9">
        <v>72.606491124702302</v>
      </c>
      <c r="DI259" s="9">
        <v>86.017775491066601</v>
      </c>
    </row>
    <row r="260" spans="1:113">
      <c r="A260" s="5" t="s">
        <v>610</v>
      </c>
      <c r="B260" s="5" t="s">
        <v>635</v>
      </c>
      <c r="C260" s="5" t="s">
        <v>636</v>
      </c>
      <c r="D260" s="6">
        <v>381759</v>
      </c>
      <c r="E260" s="7">
        <v>10.9500617242877</v>
      </c>
      <c r="F260" s="7">
        <v>1.9130891478655401</v>
      </c>
      <c r="G260" s="7">
        <v>7.5093160868506104</v>
      </c>
      <c r="H260" s="7">
        <v>9.39358862528454</v>
      </c>
      <c r="I260" s="7">
        <v>9.7462063762740403</v>
      </c>
      <c r="J260" s="7">
        <v>78.620543327072795</v>
      </c>
      <c r="K260" s="7">
        <v>97.112052368117105</v>
      </c>
      <c r="L260" s="7">
        <v>98.472596585804098</v>
      </c>
      <c r="M260" s="7">
        <v>99.168847361817299</v>
      </c>
      <c r="N260" s="7">
        <v>9.4726685019566794</v>
      </c>
      <c r="O260" s="7">
        <v>4.5494068247244996</v>
      </c>
      <c r="P260" s="7">
        <v>8.8056941683103709</v>
      </c>
      <c r="Q260" s="7">
        <v>9.8162715220859198</v>
      </c>
      <c r="R260" s="7">
        <v>10</v>
      </c>
      <c r="S260" s="7">
        <v>90.506838083712495</v>
      </c>
      <c r="T260" s="7">
        <v>99.717884843579299</v>
      </c>
      <c r="U260" s="7">
        <v>100</v>
      </c>
      <c r="V260" s="7">
        <v>100</v>
      </c>
      <c r="W260" s="7">
        <v>7.3856306224537196</v>
      </c>
      <c r="X260" s="7">
        <v>8.6905036947393501</v>
      </c>
      <c r="Y260" s="7">
        <v>10</v>
      </c>
      <c r="Z260" s="7">
        <v>10</v>
      </c>
      <c r="AA260" s="7">
        <v>10</v>
      </c>
      <c r="AB260" s="7">
        <v>99.458558933777596</v>
      </c>
      <c r="AC260" s="7">
        <v>100</v>
      </c>
      <c r="AD260" s="7">
        <v>100</v>
      </c>
      <c r="AE260" s="7">
        <v>100</v>
      </c>
      <c r="AF260" s="6">
        <v>13.563865993495501</v>
      </c>
      <c r="AG260" s="6">
        <v>1.50473728189774</v>
      </c>
      <c r="AH260" s="6">
        <v>4.5666113961949799</v>
      </c>
      <c r="AI260" s="6">
        <v>6.4522303337969804</v>
      </c>
      <c r="AJ260" s="6">
        <v>7.59318575331557</v>
      </c>
      <c r="AK260" s="6">
        <v>73.040059304430301</v>
      </c>
      <c r="AL260" s="6">
        <v>89.765794650551797</v>
      </c>
      <c r="AM260" s="6">
        <v>94.869014221013799</v>
      </c>
      <c r="AN260" s="6">
        <v>98.0157638719716</v>
      </c>
      <c r="AO260" s="6">
        <v>12.4856926579155</v>
      </c>
      <c r="AP260" s="7">
        <v>1.5167003266458701</v>
      </c>
      <c r="AQ260" s="7">
        <v>7.1290369054822502</v>
      </c>
      <c r="AR260" s="7">
        <v>9.3115054261982007</v>
      </c>
      <c r="AS260" s="7">
        <v>9.7262356617656707</v>
      </c>
      <c r="AT260" s="7">
        <v>70.061740522161898</v>
      </c>
      <c r="AU260" s="7">
        <v>95.907889532401299</v>
      </c>
      <c r="AV260" s="7">
        <v>98.341623904086106</v>
      </c>
      <c r="AW260" s="7">
        <v>99.5051852084692</v>
      </c>
      <c r="AX260" s="7">
        <v>10.2822877639976</v>
      </c>
      <c r="AY260" s="7">
        <v>3.7109249552728301</v>
      </c>
      <c r="AZ260" s="7">
        <v>8.4696497004654798</v>
      </c>
      <c r="BA260" s="7">
        <v>9.7239619760110401</v>
      </c>
      <c r="BB260" s="7">
        <v>10</v>
      </c>
      <c r="BC260" s="7">
        <v>87.139268491378104</v>
      </c>
      <c r="BD260" s="7">
        <v>99.367925838028697</v>
      </c>
      <c r="BE260" s="7">
        <v>100</v>
      </c>
      <c r="BF260" s="7">
        <v>100</v>
      </c>
      <c r="BG260" s="7">
        <v>7.73906544611018</v>
      </c>
      <c r="BH260" s="7">
        <v>8.3623856935920298</v>
      </c>
      <c r="BI260" s="7">
        <v>10</v>
      </c>
      <c r="BJ260" s="7">
        <v>10</v>
      </c>
      <c r="BK260" s="7">
        <v>10</v>
      </c>
      <c r="BL260" s="7">
        <v>99.040232188370098</v>
      </c>
      <c r="BM260" s="7">
        <v>100</v>
      </c>
      <c r="BN260" s="7">
        <v>100</v>
      </c>
      <c r="BO260" s="7">
        <v>100</v>
      </c>
      <c r="BP260" s="6">
        <v>16.3360209666887</v>
      </c>
      <c r="BQ260" s="6">
        <v>1.1714144263789501</v>
      </c>
      <c r="BR260" s="6">
        <v>3.5906291665684398</v>
      </c>
      <c r="BS260" s="6">
        <v>5.7315845860870303</v>
      </c>
      <c r="BT260" s="6">
        <v>7.1999507542716703</v>
      </c>
      <c r="BU260" s="6">
        <v>63.303550145510599</v>
      </c>
      <c r="BV260" s="6">
        <v>86.612496365508093</v>
      </c>
      <c r="BW260" s="6">
        <v>92.922760170683603</v>
      </c>
      <c r="BX260" s="6">
        <v>96.868967070848399</v>
      </c>
      <c r="BY260" s="6" t="str">
        <f>TRIM(Table1[[#This Row],[LA_Name]])</f>
        <v>Buckinghamshire</v>
      </c>
      <c r="BZ260" s="7">
        <v>33.092455228105898</v>
      </c>
      <c r="CA260" s="7">
        <v>0.135129754635778</v>
      </c>
      <c r="CB260" s="7">
        <v>0.810927836671827</v>
      </c>
      <c r="CC260" s="7">
        <v>1.87981160889462</v>
      </c>
      <c r="CD260" s="7">
        <v>3.7518277237733799</v>
      </c>
      <c r="CE260" s="7">
        <v>12.0874687957586</v>
      </c>
      <c r="CF260" s="7">
        <v>52.203877315269601</v>
      </c>
      <c r="CG260" s="7">
        <v>79.885739432469194</v>
      </c>
      <c r="CH260" s="7">
        <v>94.443353005430097</v>
      </c>
      <c r="CI260" s="7">
        <v>29.184640125059001</v>
      </c>
      <c r="CJ260" s="7">
        <v>0.349078869129477</v>
      </c>
      <c r="CK260" s="7">
        <v>1.15514499985593</v>
      </c>
      <c r="CL260" s="7">
        <v>2.2353683868618699</v>
      </c>
      <c r="CM260" s="7">
        <v>3.5744330847471799</v>
      </c>
      <c r="CN260" s="7">
        <v>26.638009843906801</v>
      </c>
      <c r="CO260" s="7">
        <v>58.938754554574999</v>
      </c>
      <c r="CP260" s="7">
        <v>77.718927386125799</v>
      </c>
      <c r="CQ260" s="7">
        <v>94.113301847500693</v>
      </c>
      <c r="CR260" s="7">
        <v>15.7558226389149</v>
      </c>
      <c r="CS260" s="7">
        <v>0.79361848705597005</v>
      </c>
      <c r="CT260" s="7">
        <v>5.2504381036203496</v>
      </c>
      <c r="CU260" s="7">
        <v>9.9596839891135502</v>
      </c>
      <c r="CV260" s="7">
        <v>10</v>
      </c>
      <c r="CW260" s="7">
        <v>51.966554815996503</v>
      </c>
      <c r="CX260" s="7">
        <v>99.4294829984362</v>
      </c>
      <c r="CY260" s="7">
        <v>100</v>
      </c>
      <c r="CZ260" s="7">
        <v>100</v>
      </c>
      <c r="DA260" s="9">
        <v>68.001839136475098</v>
      </c>
      <c r="DB260" s="9">
        <v>7.58174659929432E-2</v>
      </c>
      <c r="DC260" s="9">
        <v>0.32311484470569102</v>
      </c>
      <c r="DD260" s="9">
        <v>0.57800078059718296</v>
      </c>
      <c r="DE260" s="9">
        <v>0.80689387807491098</v>
      </c>
      <c r="DF260" s="9">
        <v>6.4438559405279303</v>
      </c>
      <c r="DG260" s="9">
        <v>24.359871018103</v>
      </c>
      <c r="DH260" s="9">
        <v>39.847390631262101</v>
      </c>
      <c r="DI260" s="9">
        <v>49.102444212186199</v>
      </c>
    </row>
    <row r="261" spans="1:113">
      <c r="A261" s="5" t="s">
        <v>610</v>
      </c>
      <c r="B261" s="5" t="s">
        <v>637</v>
      </c>
      <c r="C261" s="5" t="s">
        <v>638</v>
      </c>
      <c r="D261" s="6">
        <v>145429</v>
      </c>
      <c r="E261" s="7">
        <v>11.5317794644661</v>
      </c>
      <c r="F261" s="7">
        <v>1.96817691107001</v>
      </c>
      <c r="G261" s="7">
        <v>7.1641350762227596</v>
      </c>
      <c r="H261" s="7">
        <v>8.9421985986288792</v>
      </c>
      <c r="I261" s="7">
        <v>9.4610703504803002</v>
      </c>
      <c r="J261" s="7">
        <v>78.031204230242906</v>
      </c>
      <c r="K261" s="7">
        <v>95.190092760040997</v>
      </c>
      <c r="L261" s="7">
        <v>96.833506384558802</v>
      </c>
      <c r="M261" s="7">
        <v>98.507175322666001</v>
      </c>
      <c r="N261" s="7">
        <v>9.8154346188754005</v>
      </c>
      <c r="O261" s="7">
        <v>4.5216909969813504</v>
      </c>
      <c r="P261" s="7">
        <v>7.6594833217583798</v>
      </c>
      <c r="Q261" s="7">
        <v>9.5273776206946295</v>
      </c>
      <c r="R261" s="7">
        <v>10</v>
      </c>
      <c r="S261" s="7">
        <v>86.834125243245794</v>
      </c>
      <c r="T261" s="7">
        <v>99.498036842720495</v>
      </c>
      <c r="U261" s="7">
        <v>100</v>
      </c>
      <c r="V261" s="7">
        <v>100</v>
      </c>
      <c r="W261" s="7">
        <v>7.48453650746265</v>
      </c>
      <c r="X261" s="7">
        <v>7.7600684870280299</v>
      </c>
      <c r="Y261" s="7">
        <v>10</v>
      </c>
      <c r="Z261" s="7">
        <v>10</v>
      </c>
      <c r="AA261" s="7">
        <v>10</v>
      </c>
      <c r="AB261" s="7">
        <v>99.0050127553652</v>
      </c>
      <c r="AC261" s="7">
        <v>100</v>
      </c>
      <c r="AD261" s="7">
        <v>100</v>
      </c>
      <c r="AE261" s="7">
        <v>100</v>
      </c>
      <c r="AF261" s="6">
        <v>14.772301792884299</v>
      </c>
      <c r="AG261" s="6">
        <v>1.5347489152782501</v>
      </c>
      <c r="AH261" s="6">
        <v>4.6120787463298196</v>
      </c>
      <c r="AI261" s="6">
        <v>5.8949521759759103</v>
      </c>
      <c r="AJ261" s="6">
        <v>6.5861279387192404</v>
      </c>
      <c r="AK261" s="6">
        <v>71.318650337965593</v>
      </c>
      <c r="AL261" s="6">
        <v>85.888646693575595</v>
      </c>
      <c r="AM261" s="6">
        <v>92.119866051475299</v>
      </c>
      <c r="AN261" s="6">
        <v>96.402368165909095</v>
      </c>
      <c r="AO261" s="6">
        <v>14.035111442103601</v>
      </c>
      <c r="AP261" s="7">
        <v>1.4470497631146499</v>
      </c>
      <c r="AQ261" s="7">
        <v>6.5440386717917303</v>
      </c>
      <c r="AR261" s="7">
        <v>8.7497060421236501</v>
      </c>
      <c r="AS261" s="7">
        <v>9.4378356448851299</v>
      </c>
      <c r="AT261" s="7">
        <v>64.540084852402202</v>
      </c>
      <c r="AU261" s="7">
        <v>93.050216944350893</v>
      </c>
      <c r="AV261" s="7">
        <v>96.130757964367504</v>
      </c>
      <c r="AW261" s="7">
        <v>98.829669460698994</v>
      </c>
      <c r="AX261" s="7">
        <v>11.5035491727586</v>
      </c>
      <c r="AY261" s="7">
        <v>3.6870294095400502</v>
      </c>
      <c r="AZ261" s="7">
        <v>7.2855001409622604</v>
      </c>
      <c r="BA261" s="7">
        <v>9.3336129657771103</v>
      </c>
      <c r="BB261" s="7">
        <v>10</v>
      </c>
      <c r="BC261" s="7">
        <v>79.765383795529104</v>
      </c>
      <c r="BD261" s="7">
        <v>98.340771097924105</v>
      </c>
      <c r="BE261" s="7">
        <v>100</v>
      </c>
      <c r="BF261" s="7">
        <v>100</v>
      </c>
      <c r="BG261" s="7">
        <v>8.2283344004852896</v>
      </c>
      <c r="BH261" s="7">
        <v>7.3580097504624202</v>
      </c>
      <c r="BI261" s="7">
        <v>10</v>
      </c>
      <c r="BJ261" s="7">
        <v>10</v>
      </c>
      <c r="BK261" s="7">
        <v>10</v>
      </c>
      <c r="BL261" s="7">
        <v>97.480557522915007</v>
      </c>
      <c r="BM261" s="7">
        <v>100</v>
      </c>
      <c r="BN261" s="7">
        <v>100</v>
      </c>
      <c r="BO261" s="7">
        <v>100</v>
      </c>
      <c r="BP261" s="6">
        <v>20.5011484623946</v>
      </c>
      <c r="BQ261" s="6">
        <v>1.0592179001437101</v>
      </c>
      <c r="BR261" s="6">
        <v>3.5420445715778799</v>
      </c>
      <c r="BS261" s="6">
        <v>5.3479154776557598</v>
      </c>
      <c r="BT261" s="6">
        <v>6.0982197498435697</v>
      </c>
      <c r="BU261" s="6">
        <v>56.904743895646703</v>
      </c>
      <c r="BV261" s="6">
        <v>78.652813400353395</v>
      </c>
      <c r="BW261" s="6">
        <v>85.163206788192198</v>
      </c>
      <c r="BX261" s="6">
        <v>92.298647449958395</v>
      </c>
      <c r="BY261" s="6" t="str">
        <f>TRIM(Table1[[#This Row],[LA_Name]])</f>
        <v>Aylesbury Vale</v>
      </c>
      <c r="BZ261" s="7">
        <v>34.442985031458797</v>
      </c>
      <c r="CA261" s="7">
        <v>0.18690219969882199</v>
      </c>
      <c r="CB261" s="7">
        <v>0.59172517173328598</v>
      </c>
      <c r="CC261" s="7">
        <v>0.82447104772775703</v>
      </c>
      <c r="CD261" s="7">
        <v>1.5117755055731701</v>
      </c>
      <c r="CE261" s="7">
        <v>18.6902199698822</v>
      </c>
      <c r="CF261" s="7">
        <v>58.209160483810003</v>
      </c>
      <c r="CG261" s="7">
        <v>73.118841496537797</v>
      </c>
      <c r="CH261" s="7">
        <v>89.569480640037398</v>
      </c>
      <c r="CI261" s="7">
        <v>32.270874627447398</v>
      </c>
      <c r="CJ261" s="7">
        <v>0.33815813902316599</v>
      </c>
      <c r="CK261" s="7">
        <v>0.50630204429653003</v>
      </c>
      <c r="CL261" s="7">
        <v>0.81351724896684996</v>
      </c>
      <c r="CM261" s="7">
        <v>1.2971828177323601</v>
      </c>
      <c r="CN261" s="7">
        <v>33.815813902316599</v>
      </c>
      <c r="CO261" s="7">
        <v>50.630204429652998</v>
      </c>
      <c r="CP261" s="7">
        <v>67.829662584491402</v>
      </c>
      <c r="CQ261" s="7">
        <v>85.768313059981196</v>
      </c>
      <c r="CR261" s="7">
        <v>16.633501832044502</v>
      </c>
      <c r="CS261" s="7">
        <v>0.47274615104277701</v>
      </c>
      <c r="CT261" s="7">
        <v>3.1789808085044902</v>
      </c>
      <c r="CU261" s="7">
        <v>9.8941682883056306</v>
      </c>
      <c r="CV261" s="7">
        <v>10</v>
      </c>
      <c r="CW261" s="7">
        <v>47.2746151042777</v>
      </c>
      <c r="CX261" s="7">
        <v>98.6158194032827</v>
      </c>
      <c r="CY261" s="7">
        <v>100</v>
      </c>
      <c r="CZ261" s="7">
        <v>100</v>
      </c>
      <c r="DA261" s="9">
        <v>71.459098487758993</v>
      </c>
      <c r="DB261" s="9">
        <v>7.0529261701586299E-2</v>
      </c>
      <c r="DC261" s="9">
        <v>0.293868485652793</v>
      </c>
      <c r="DD261" s="9">
        <v>0.45480612532575998</v>
      </c>
      <c r="DE261" s="9">
        <v>0.47962923488437698</v>
      </c>
      <c r="DF261" s="9">
        <v>7.0529261701586297</v>
      </c>
      <c r="DG261" s="9">
        <v>29.386848565279301</v>
      </c>
      <c r="DH261" s="9">
        <v>45.480612532575996</v>
      </c>
      <c r="DI261" s="9">
        <v>47.962923488437703</v>
      </c>
    </row>
    <row r="262" spans="1:113">
      <c r="A262" s="5" t="s">
        <v>610</v>
      </c>
      <c r="B262" s="5" t="s">
        <v>639</v>
      </c>
      <c r="C262" s="5" t="s">
        <v>640</v>
      </c>
      <c r="D262" s="6">
        <v>65608</v>
      </c>
      <c r="E262" s="7">
        <v>10.5758479526313</v>
      </c>
      <c r="F262" s="7">
        <v>1.9033197171076699</v>
      </c>
      <c r="G262" s="7">
        <v>7.6832246067552701</v>
      </c>
      <c r="H262" s="7">
        <v>9.66968967199122</v>
      </c>
      <c r="I262" s="7">
        <v>9.8829258626996701</v>
      </c>
      <c r="J262" s="7">
        <v>80.171625411535203</v>
      </c>
      <c r="K262" s="7">
        <v>98.049018412388705</v>
      </c>
      <c r="L262" s="7">
        <v>98.998597731983907</v>
      </c>
      <c r="M262" s="7">
        <v>99.340019509815903</v>
      </c>
      <c r="N262" s="7">
        <v>9.2732663404111495</v>
      </c>
      <c r="O262" s="7">
        <v>3.9252530179246401</v>
      </c>
      <c r="P262" s="7">
        <v>9.8174003170345099</v>
      </c>
      <c r="Q262" s="7">
        <v>10</v>
      </c>
      <c r="R262" s="7">
        <v>10</v>
      </c>
      <c r="S262" s="7">
        <v>92.458236800390196</v>
      </c>
      <c r="T262" s="7">
        <v>100</v>
      </c>
      <c r="U262" s="7">
        <v>100</v>
      </c>
      <c r="V262" s="7">
        <v>100</v>
      </c>
      <c r="W262" s="7">
        <v>7.2132622401622202</v>
      </c>
      <c r="X262" s="7">
        <v>9.5393244726252906</v>
      </c>
      <c r="Y262" s="7">
        <v>10</v>
      </c>
      <c r="Z262" s="7">
        <v>10</v>
      </c>
      <c r="AA262" s="7">
        <v>10</v>
      </c>
      <c r="AB262" s="7">
        <v>99.340019509815903</v>
      </c>
      <c r="AC262" s="7">
        <v>100</v>
      </c>
      <c r="AD262" s="7">
        <v>100</v>
      </c>
      <c r="AE262" s="7">
        <v>100</v>
      </c>
      <c r="AF262" s="6">
        <v>13.0036020288088</v>
      </c>
      <c r="AG262" s="6">
        <v>1.5140379222046101</v>
      </c>
      <c r="AH262" s="6">
        <v>3.8930618217290598</v>
      </c>
      <c r="AI262" s="6">
        <v>6.23730337763687</v>
      </c>
      <c r="AJ262" s="6">
        <v>8.2422417997805102</v>
      </c>
      <c r="AK262" s="6">
        <v>73.065784660407303</v>
      </c>
      <c r="AL262" s="6">
        <v>91.214486038288001</v>
      </c>
      <c r="AM262" s="6">
        <v>96.573588586757694</v>
      </c>
      <c r="AN262" s="6">
        <v>99.340019509815903</v>
      </c>
      <c r="AO262" s="6">
        <v>12.3579980887517</v>
      </c>
      <c r="AP262" s="7">
        <v>1.36305023777588</v>
      </c>
      <c r="AQ262" s="7">
        <v>6.80077124740885</v>
      </c>
      <c r="AR262" s="7">
        <v>9.4598219729301292</v>
      </c>
      <c r="AS262" s="7">
        <v>9.8488598951347406</v>
      </c>
      <c r="AT262" s="7">
        <v>67.031459578100197</v>
      </c>
      <c r="AU262" s="7">
        <v>96.829654920131702</v>
      </c>
      <c r="AV262" s="7">
        <v>100</v>
      </c>
      <c r="AW262" s="7">
        <v>100</v>
      </c>
      <c r="AX262" s="7">
        <v>9.9991851587612999</v>
      </c>
      <c r="AY262" s="7">
        <v>2.9308316059017199</v>
      </c>
      <c r="AZ262" s="7">
        <v>8.9760852335081101</v>
      </c>
      <c r="BA262" s="7">
        <v>10</v>
      </c>
      <c r="BB262" s="7">
        <v>10</v>
      </c>
      <c r="BC262" s="7">
        <v>88.002987440555998</v>
      </c>
      <c r="BD262" s="7">
        <v>100</v>
      </c>
      <c r="BE262" s="7">
        <v>100</v>
      </c>
      <c r="BF262" s="7">
        <v>100</v>
      </c>
      <c r="BG262" s="7">
        <v>7.4926784949220702</v>
      </c>
      <c r="BH262" s="7">
        <v>8.5825051822948399</v>
      </c>
      <c r="BI262" s="7">
        <v>10</v>
      </c>
      <c r="BJ262" s="7">
        <v>10</v>
      </c>
      <c r="BK262" s="7">
        <v>10</v>
      </c>
      <c r="BL262" s="7">
        <v>100</v>
      </c>
      <c r="BM262" s="7">
        <v>100</v>
      </c>
      <c r="BN262" s="7">
        <v>100</v>
      </c>
      <c r="BO262" s="7">
        <v>100</v>
      </c>
      <c r="BP262" s="6">
        <v>15.529221232979999</v>
      </c>
      <c r="BQ262" s="6">
        <v>1.0386538227045501</v>
      </c>
      <c r="BR262" s="6">
        <v>2.77810632849652</v>
      </c>
      <c r="BS262" s="6">
        <v>4.5186867455188402</v>
      </c>
      <c r="BT262" s="6">
        <v>6.4988873308133197</v>
      </c>
      <c r="BU262" s="6">
        <v>60.254846969881697</v>
      </c>
      <c r="BV262" s="6">
        <v>85.736495549323294</v>
      </c>
      <c r="BW262" s="6">
        <v>97.6512010730399</v>
      </c>
      <c r="BX262" s="6">
        <v>99.623521521765596</v>
      </c>
      <c r="BY262" s="6" t="str">
        <f>TRIM(Table1[[#This Row],[LA_Name]])</f>
        <v>Chiltern</v>
      </c>
      <c r="BZ262" s="7">
        <v>46.216089198188399</v>
      </c>
      <c r="CA262" s="7">
        <v>0</v>
      </c>
      <c r="CB262" s="7">
        <v>9.0690159736617499E-3</v>
      </c>
      <c r="CC262" s="7">
        <v>1.21082794781124</v>
      </c>
      <c r="CD262" s="7">
        <v>5.35517010120717</v>
      </c>
      <c r="CE262" s="7">
        <v>0</v>
      </c>
      <c r="CF262" s="7">
        <v>0.90690159736617504</v>
      </c>
      <c r="CG262" s="7">
        <v>53.0316424826241</v>
      </c>
      <c r="CH262" s="7">
        <v>94.140958419704901</v>
      </c>
      <c r="CI262" s="7">
        <v>40.599260742788502</v>
      </c>
      <c r="CJ262" s="7">
        <v>2.1796122424094602E-3</v>
      </c>
      <c r="CK262" s="7">
        <v>0.24567125960248801</v>
      </c>
      <c r="CL262" s="7">
        <v>1.1462321668089299</v>
      </c>
      <c r="CM262" s="7">
        <v>4.3874070235337204</v>
      </c>
      <c r="CN262" s="7">
        <v>0.21796122424094599</v>
      </c>
      <c r="CO262" s="7">
        <v>22.230520668211199</v>
      </c>
      <c r="CP262" s="7">
        <v>59.767101572978902</v>
      </c>
      <c r="CQ262" s="7">
        <v>98.504755517619799</v>
      </c>
      <c r="CR262" s="7">
        <v>20.1672282392928</v>
      </c>
      <c r="CS262" s="7">
        <v>0.126173637361297</v>
      </c>
      <c r="CT262" s="7">
        <v>6.2348646506523604</v>
      </c>
      <c r="CU262" s="7">
        <v>10</v>
      </c>
      <c r="CV262" s="7">
        <v>10</v>
      </c>
      <c r="CW262" s="7">
        <v>12.6173637361297</v>
      </c>
      <c r="CX262" s="7">
        <v>100</v>
      </c>
      <c r="CY262" s="7">
        <v>100</v>
      </c>
      <c r="CZ262" s="7">
        <v>100</v>
      </c>
      <c r="DA262" s="9">
        <v>102.53889258988499</v>
      </c>
      <c r="DB262" s="9">
        <v>0</v>
      </c>
      <c r="DC262" s="9">
        <v>0</v>
      </c>
      <c r="DD262" s="9">
        <v>1.10962077795391E-2</v>
      </c>
      <c r="DE262" s="9">
        <v>7.4945128642848399E-2</v>
      </c>
      <c r="DF262" s="9">
        <v>0</v>
      </c>
      <c r="DG262" s="9">
        <v>0</v>
      </c>
      <c r="DH262" s="9">
        <v>1.10962077795391</v>
      </c>
      <c r="DI262" s="9">
        <v>7.4945128642848404</v>
      </c>
    </row>
    <row r="263" spans="1:113">
      <c r="A263" s="5" t="s">
        <v>610</v>
      </c>
      <c r="B263" s="5" t="s">
        <v>641</v>
      </c>
      <c r="C263" s="5" t="s">
        <v>642</v>
      </c>
      <c r="D263" s="6">
        <v>49135</v>
      </c>
      <c r="E263" s="7">
        <v>12.6235961667768</v>
      </c>
      <c r="F263" s="7">
        <v>1.3303551439910499</v>
      </c>
      <c r="G263" s="7">
        <v>7.1978223262440197</v>
      </c>
      <c r="H263" s="7">
        <v>9.7140734710491508</v>
      </c>
      <c r="I263" s="7">
        <v>10</v>
      </c>
      <c r="J263" s="7">
        <v>66.239951154981199</v>
      </c>
      <c r="K263" s="7">
        <v>97.407143584003293</v>
      </c>
      <c r="L263" s="7">
        <v>100</v>
      </c>
      <c r="M263" s="7">
        <v>100</v>
      </c>
      <c r="N263" s="7">
        <v>10.1801147529355</v>
      </c>
      <c r="O263" s="7">
        <v>3.6687697160883301</v>
      </c>
      <c r="P263" s="7">
        <v>9.9163732573521894</v>
      </c>
      <c r="Q263" s="7">
        <v>10</v>
      </c>
      <c r="R263" s="7">
        <v>10</v>
      </c>
      <c r="S263" s="7">
        <v>88.383026355958094</v>
      </c>
      <c r="T263" s="7">
        <v>100</v>
      </c>
      <c r="U263" s="7">
        <v>100</v>
      </c>
      <c r="V263" s="7">
        <v>100</v>
      </c>
      <c r="W263" s="7">
        <v>7.7269632863236604</v>
      </c>
      <c r="X263" s="7">
        <v>9.2736949221532505</v>
      </c>
      <c r="Y263" s="7">
        <v>10</v>
      </c>
      <c r="Z263" s="7">
        <v>10</v>
      </c>
      <c r="AA263" s="7">
        <v>10</v>
      </c>
      <c r="AB263" s="7">
        <v>100</v>
      </c>
      <c r="AC263" s="7">
        <v>100</v>
      </c>
      <c r="AD263" s="7">
        <v>100</v>
      </c>
      <c r="AE263" s="7">
        <v>100</v>
      </c>
      <c r="AF263" s="6">
        <v>15.5711524868089</v>
      </c>
      <c r="AG263" s="6">
        <v>1.1430141447033699</v>
      </c>
      <c r="AH263" s="6">
        <v>3.56737559784268</v>
      </c>
      <c r="AI263" s="6">
        <v>6.14228146942098</v>
      </c>
      <c r="AJ263" s="6">
        <v>7.9175129744581296</v>
      </c>
      <c r="AK263" s="6">
        <v>61.998575353617603</v>
      </c>
      <c r="AL263" s="6">
        <v>88.946779281571196</v>
      </c>
      <c r="AM263" s="6">
        <v>93.707133407957699</v>
      </c>
      <c r="AN263" s="6">
        <v>99.1472473796683</v>
      </c>
      <c r="AO263" s="6">
        <v>11.6146219810453</v>
      </c>
      <c r="AP263" s="7">
        <v>1.0620942301821501</v>
      </c>
      <c r="AQ263" s="7">
        <v>7.5464129439299903</v>
      </c>
      <c r="AR263" s="7">
        <v>9.7088836877989202</v>
      </c>
      <c r="AS263" s="7">
        <v>9.9579322275363804</v>
      </c>
      <c r="AT263" s="7">
        <v>73.416098504121294</v>
      </c>
      <c r="AU263" s="7">
        <v>98.296529968454294</v>
      </c>
      <c r="AV263" s="7">
        <v>100</v>
      </c>
      <c r="AW263" s="7">
        <v>100</v>
      </c>
      <c r="AX263" s="7">
        <v>9.3245100518724797</v>
      </c>
      <c r="AY263" s="7">
        <v>2.7339371120382601</v>
      </c>
      <c r="AZ263" s="7">
        <v>10</v>
      </c>
      <c r="BA263" s="7">
        <v>10</v>
      </c>
      <c r="BB263" s="7">
        <v>10</v>
      </c>
      <c r="BC263" s="7">
        <v>96.279637732777005</v>
      </c>
      <c r="BD263" s="7">
        <v>100</v>
      </c>
      <c r="BE263" s="7">
        <v>100</v>
      </c>
      <c r="BF263" s="7">
        <v>100</v>
      </c>
      <c r="BG263" s="7">
        <v>7.4691745569107404</v>
      </c>
      <c r="BH263" s="7">
        <v>9.8098300600386708</v>
      </c>
      <c r="BI263" s="7">
        <v>10</v>
      </c>
      <c r="BJ263" s="7">
        <v>10</v>
      </c>
      <c r="BK263" s="7">
        <v>10</v>
      </c>
      <c r="BL263" s="7">
        <v>100</v>
      </c>
      <c r="BM263" s="7">
        <v>100</v>
      </c>
      <c r="BN263" s="7">
        <v>100</v>
      </c>
      <c r="BO263" s="7">
        <v>100</v>
      </c>
      <c r="BP263" s="6">
        <v>12.679792836988099</v>
      </c>
      <c r="BQ263" s="6">
        <v>0.89239849394525295</v>
      </c>
      <c r="BR263" s="6">
        <v>2.6349852447339002</v>
      </c>
      <c r="BS263" s="6">
        <v>5.7649740510837502</v>
      </c>
      <c r="BT263" s="6">
        <v>8.7650147552660993</v>
      </c>
      <c r="BU263" s="6">
        <v>68.924391981276102</v>
      </c>
      <c r="BV263" s="6">
        <v>97.411214002238694</v>
      </c>
      <c r="BW263" s="6">
        <v>100</v>
      </c>
      <c r="BX263" s="6">
        <v>100</v>
      </c>
      <c r="BY263" s="6" t="str">
        <f>TRIM(Table1[[#This Row],[LA_Name]])</f>
        <v>South Bucks</v>
      </c>
      <c r="BZ263" s="7">
        <v>28.379426267186599</v>
      </c>
      <c r="CA263" s="7">
        <v>0</v>
      </c>
      <c r="CB263" s="7">
        <v>1.11810318510227</v>
      </c>
      <c r="CC263" s="7">
        <v>4.4401343238017699</v>
      </c>
      <c r="CD263" s="7">
        <v>8.1850615650758094</v>
      </c>
      <c r="CE263" s="7">
        <v>0</v>
      </c>
      <c r="CF263" s="7">
        <v>65.204029714053107</v>
      </c>
      <c r="CG263" s="7">
        <v>97.879312099318199</v>
      </c>
      <c r="CH263" s="7">
        <v>98.797191411417501</v>
      </c>
      <c r="CI263" s="7">
        <v>22.536669755984001</v>
      </c>
      <c r="CJ263" s="7">
        <v>8.9956243003968706E-2</v>
      </c>
      <c r="CK263" s="7">
        <v>2.4161392083036501</v>
      </c>
      <c r="CL263" s="7">
        <v>6.2287575048336201</v>
      </c>
      <c r="CM263" s="7">
        <v>9.0221634272921492</v>
      </c>
      <c r="CN263" s="7">
        <v>5.22641701434822</v>
      </c>
      <c r="CO263" s="7">
        <v>87.627963773277699</v>
      </c>
      <c r="CP263" s="7">
        <v>100</v>
      </c>
      <c r="CQ263" s="7">
        <v>100</v>
      </c>
      <c r="CR263" s="7">
        <v>13.2790200266552</v>
      </c>
      <c r="CS263" s="7">
        <v>1.3480004070418199</v>
      </c>
      <c r="CT263" s="7">
        <v>9.9936297954614801</v>
      </c>
      <c r="CU263" s="7">
        <v>10</v>
      </c>
      <c r="CV263" s="7">
        <v>10</v>
      </c>
      <c r="CW263" s="7">
        <v>80.722499236796594</v>
      </c>
      <c r="CX263" s="7">
        <v>100</v>
      </c>
      <c r="CY263" s="7">
        <v>100</v>
      </c>
      <c r="CZ263" s="7">
        <v>100</v>
      </c>
      <c r="DA263" s="9">
        <v>54.788720892054798</v>
      </c>
      <c r="DB263" s="9">
        <v>0</v>
      </c>
      <c r="DC263" s="9">
        <v>0.10363284827516001</v>
      </c>
      <c r="DD263" s="9">
        <v>0.41115294596519802</v>
      </c>
      <c r="DE263" s="9">
        <v>1.178772768902</v>
      </c>
      <c r="DF263" s="9">
        <v>0</v>
      </c>
      <c r="DG263" s="9">
        <v>5.22641701434822</v>
      </c>
      <c r="DH263" s="9">
        <v>34.388928462399498</v>
      </c>
      <c r="DI263" s="9">
        <v>65.672127811132597</v>
      </c>
    </row>
    <row r="264" spans="1:113">
      <c r="A264" s="5" t="s">
        <v>610</v>
      </c>
      <c r="B264" s="5" t="s">
        <v>643</v>
      </c>
      <c r="C264" s="5" t="s">
        <v>644</v>
      </c>
      <c r="D264" s="6">
        <v>121587</v>
      </c>
      <c r="E264" s="7">
        <v>9.7799010415068892</v>
      </c>
      <c r="F264" s="7">
        <v>2.0879617064324298</v>
      </c>
      <c r="G264" s="7">
        <v>7.9542220796631202</v>
      </c>
      <c r="H264" s="7">
        <v>9.6549960110867108</v>
      </c>
      <c r="I264" s="7">
        <v>9.9109197529341095</v>
      </c>
      <c r="J264" s="7">
        <v>83.491656180348201</v>
      </c>
      <c r="K264" s="7">
        <v>98.786054430161101</v>
      </c>
      <c r="L264" s="7">
        <v>99.532022337914398</v>
      </c>
      <c r="M264" s="7">
        <v>99.532022337914398</v>
      </c>
      <c r="N264" s="7">
        <v>8.8843973204608098</v>
      </c>
      <c r="O264" s="7">
        <v>5.2752267923379996</v>
      </c>
      <c r="P264" s="7">
        <v>9.1819108950792394</v>
      </c>
      <c r="Q264" s="7">
        <v>9.9884280391818194</v>
      </c>
      <c r="R264" s="7">
        <v>10</v>
      </c>
      <c r="S264" s="7">
        <v>94.705026030743397</v>
      </c>
      <c r="T264" s="7">
        <v>99.714607647199102</v>
      </c>
      <c r="U264" s="7">
        <v>100</v>
      </c>
      <c r="V264" s="7">
        <v>100</v>
      </c>
      <c r="W264" s="7">
        <v>7.2224024848663797</v>
      </c>
      <c r="X264" s="7">
        <v>9.1096910031500098</v>
      </c>
      <c r="Y264" s="7">
        <v>10</v>
      </c>
      <c r="Z264" s="7">
        <v>10</v>
      </c>
      <c r="AA264" s="7">
        <v>10</v>
      </c>
      <c r="AB264" s="7">
        <v>99.846200662899804</v>
      </c>
      <c r="AC264" s="7">
        <v>100</v>
      </c>
      <c r="AD264" s="7">
        <v>100</v>
      </c>
      <c r="AE264" s="7">
        <v>100</v>
      </c>
      <c r="AF264" s="6">
        <v>11.609612384778201</v>
      </c>
      <c r="AG264" s="6">
        <v>1.60999942428056</v>
      </c>
      <c r="AH264" s="6">
        <v>5.2794788916578304</v>
      </c>
      <c r="AI264" s="6">
        <v>7.3600138172666503</v>
      </c>
      <c r="AJ264" s="6">
        <v>8.3164236308157893</v>
      </c>
      <c r="AK264" s="6">
        <v>79.547155534720005</v>
      </c>
      <c r="AL264" s="6">
        <v>93.952478472205101</v>
      </c>
      <c r="AM264" s="6">
        <v>97.706991701415404</v>
      </c>
      <c r="AN264" s="6">
        <v>98.773717584939206</v>
      </c>
      <c r="AO264" s="6">
        <v>11.053363697056501</v>
      </c>
      <c r="AP264" s="7">
        <v>1.86663047858735</v>
      </c>
      <c r="AQ264" s="7">
        <v>7.8372112150147597</v>
      </c>
      <c r="AR264" s="7">
        <v>9.7428507981938903</v>
      </c>
      <c r="AS264" s="7">
        <v>9.9113885530525501</v>
      </c>
      <c r="AT264" s="7">
        <v>76.9457261055869</v>
      </c>
      <c r="AU264" s="7">
        <v>97.863258407559996</v>
      </c>
      <c r="AV264" s="7">
        <v>99.420990730916998</v>
      </c>
      <c r="AW264" s="7">
        <v>99.846200662899804</v>
      </c>
      <c r="AX264" s="7">
        <v>9.3613618277948092</v>
      </c>
      <c r="AY264" s="7">
        <v>4.55525672974907</v>
      </c>
      <c r="AZ264" s="7">
        <v>8.9942921529439808</v>
      </c>
      <c r="BA264" s="7">
        <v>9.9303543964404106</v>
      </c>
      <c r="BB264" s="7">
        <v>10</v>
      </c>
      <c r="BC264" s="7">
        <v>91.799287752802499</v>
      </c>
      <c r="BD264" s="7">
        <v>100</v>
      </c>
      <c r="BE264" s="7">
        <v>100</v>
      </c>
      <c r="BF264" s="7">
        <v>100</v>
      </c>
      <c r="BG264" s="7">
        <v>7.3958720880089404</v>
      </c>
      <c r="BH264" s="7">
        <v>8.8600014804214293</v>
      </c>
      <c r="BI264" s="7">
        <v>10</v>
      </c>
      <c r="BJ264" s="7">
        <v>10</v>
      </c>
      <c r="BK264" s="7">
        <v>10</v>
      </c>
      <c r="BL264" s="7">
        <v>100</v>
      </c>
      <c r="BM264" s="7">
        <v>100</v>
      </c>
      <c r="BN264" s="7">
        <v>100</v>
      </c>
      <c r="BO264" s="7">
        <v>100</v>
      </c>
      <c r="BP264" s="6">
        <v>13.2670329951867</v>
      </c>
      <c r="BQ264" s="6">
        <v>1.4900030430884901</v>
      </c>
      <c r="BR264" s="6">
        <v>4.4733647511658301</v>
      </c>
      <c r="BS264" s="6">
        <v>6.8314704697048203</v>
      </c>
      <c r="BT264" s="6">
        <v>8.2635479121945608</v>
      </c>
      <c r="BU264" s="6">
        <v>70.330709697582805</v>
      </c>
      <c r="BV264" s="6">
        <v>92.241769268096107</v>
      </c>
      <c r="BW264" s="6">
        <v>96.792420242295606</v>
      </c>
      <c r="BX264" s="6">
        <v>99.583837087846604</v>
      </c>
      <c r="BY264" s="6" t="str">
        <f>TRIM(Table1[[#This Row],[LA_Name]])</f>
        <v>Wycombe</v>
      </c>
      <c r="BZ264" s="7">
        <v>26.300224987321901</v>
      </c>
      <c r="CA264" s="7">
        <v>0.20072869632444301</v>
      </c>
      <c r="CB264" s="7">
        <v>1.38166086834941</v>
      </c>
      <c r="CC264" s="7">
        <v>2.4684135639500902</v>
      </c>
      <c r="CD264" s="7">
        <v>3.77444134652553</v>
      </c>
      <c r="CE264" s="7">
        <v>15.5970621859245</v>
      </c>
      <c r="CF264" s="7">
        <v>67.447177741041401</v>
      </c>
      <c r="CG264" s="7">
        <v>95.198499839620993</v>
      </c>
      <c r="CH264" s="7">
        <v>98.676667735859894</v>
      </c>
      <c r="CI264" s="7">
        <v>22.020466300132401</v>
      </c>
      <c r="CJ264" s="7">
        <v>0.65404196172288198</v>
      </c>
      <c r="CK264" s="7">
        <v>1.9123837252337801</v>
      </c>
      <c r="CL264" s="7">
        <v>2.9099410298798398</v>
      </c>
      <c r="CM264" s="7">
        <v>3.6580473241382698</v>
      </c>
      <c r="CN264" s="7">
        <v>40.961615962232798</v>
      </c>
      <c r="CO264" s="7">
        <v>77.0904784228577</v>
      </c>
      <c r="CP264" s="7">
        <v>90.230041040571805</v>
      </c>
      <c r="CQ264" s="7">
        <v>99.346147203237194</v>
      </c>
      <c r="CR264" s="7">
        <v>13.3265677872133</v>
      </c>
      <c r="CS264" s="7">
        <v>1.3135285844703799</v>
      </c>
      <c r="CT264" s="7">
        <v>5.2801039584823997</v>
      </c>
      <c r="CU264" s="7">
        <v>10</v>
      </c>
      <c r="CV264" s="7">
        <v>10</v>
      </c>
      <c r="CW264" s="7">
        <v>67.190571360424997</v>
      </c>
      <c r="CX264" s="7">
        <v>99.864294702558695</v>
      </c>
      <c r="CY264" s="7">
        <v>100</v>
      </c>
      <c r="CZ264" s="7">
        <v>100</v>
      </c>
      <c r="DA264" s="9">
        <v>50.570154760435003</v>
      </c>
      <c r="DB264" s="9">
        <v>0.15369241777492701</v>
      </c>
      <c r="DC264" s="9">
        <v>0.621143707797709</v>
      </c>
      <c r="DD264" s="9">
        <v>1.09867831264856</v>
      </c>
      <c r="DE264" s="9">
        <v>1.4430078873563801</v>
      </c>
      <c r="DF264" s="9">
        <v>11.796491401218899</v>
      </c>
      <c r="DG264" s="9">
        <v>39.223765698635503</v>
      </c>
      <c r="DH264" s="9">
        <v>56.218181220031802</v>
      </c>
      <c r="DI264" s="9">
        <v>66.220895325980607</v>
      </c>
    </row>
    <row r="265" spans="1:113">
      <c r="A265" s="5" t="s">
        <v>610</v>
      </c>
      <c r="B265" s="5" t="s">
        <v>645</v>
      </c>
      <c r="C265" s="5" t="s">
        <v>646</v>
      </c>
      <c r="D265" s="6">
        <v>393361</v>
      </c>
      <c r="E265" s="7">
        <v>9.76596132656001</v>
      </c>
      <c r="F265" s="7">
        <v>2.74090974956846</v>
      </c>
      <c r="G265" s="7">
        <v>7.9684869623577299</v>
      </c>
      <c r="H265" s="7">
        <v>9.4848828429864707</v>
      </c>
      <c r="I265" s="7">
        <v>9.7799832723630509</v>
      </c>
      <c r="J265" s="7">
        <v>81.322500197020005</v>
      </c>
      <c r="K265" s="7">
        <v>97.052325980460694</v>
      </c>
      <c r="L265" s="7">
        <v>99.164889249315493</v>
      </c>
      <c r="M265" s="7">
        <v>99.604943042141898</v>
      </c>
      <c r="N265" s="7">
        <v>9.1826939531329899</v>
      </c>
      <c r="O265" s="7">
        <v>5.6600273031642701</v>
      </c>
      <c r="P265" s="7">
        <v>8.1614649139086008</v>
      </c>
      <c r="Q265" s="7">
        <v>9.7191155198405497</v>
      </c>
      <c r="R265" s="7">
        <v>9.9700732914549199</v>
      </c>
      <c r="S265" s="7">
        <v>89.723943146371894</v>
      </c>
      <c r="T265" s="7">
        <v>99.585876586646904</v>
      </c>
      <c r="U265" s="7">
        <v>100</v>
      </c>
      <c r="V265" s="7">
        <v>100</v>
      </c>
      <c r="W265" s="7">
        <v>7.1946897365600204</v>
      </c>
      <c r="X265" s="7">
        <v>8.11730700298199</v>
      </c>
      <c r="Y265" s="7">
        <v>9.9896608967335307</v>
      </c>
      <c r="Z265" s="7">
        <v>10</v>
      </c>
      <c r="AA265" s="7">
        <v>10</v>
      </c>
      <c r="AB265" s="7">
        <v>99.545964139810494</v>
      </c>
      <c r="AC265" s="7">
        <v>100</v>
      </c>
      <c r="AD265" s="7">
        <v>100</v>
      </c>
      <c r="AE265" s="7">
        <v>100</v>
      </c>
      <c r="AF265" s="6">
        <v>12.6232095232565</v>
      </c>
      <c r="AG265" s="6">
        <v>2.1351303255787899</v>
      </c>
      <c r="AH265" s="6">
        <v>5.57294190323901</v>
      </c>
      <c r="AI265" s="6">
        <v>6.9624517936450196</v>
      </c>
      <c r="AJ265" s="6">
        <v>7.4252709343325796</v>
      </c>
      <c r="AK265" s="6">
        <v>77.085933786013399</v>
      </c>
      <c r="AL265" s="6">
        <v>88.743164675705003</v>
      </c>
      <c r="AM265" s="6">
        <v>96.111459956630199</v>
      </c>
      <c r="AN265" s="6">
        <v>97.663215214523007</v>
      </c>
      <c r="AO265" s="6">
        <v>12.178201608709299</v>
      </c>
      <c r="AP265" s="7">
        <v>1.8241513520659101</v>
      </c>
      <c r="AQ265" s="7">
        <v>7.13112382773076</v>
      </c>
      <c r="AR265" s="7">
        <v>9.42883254821907</v>
      </c>
      <c r="AS265" s="7">
        <v>9.7636267957423293</v>
      </c>
      <c r="AT265" s="7">
        <v>71.607505573760506</v>
      </c>
      <c r="AU265" s="7">
        <v>96.287125566591499</v>
      </c>
      <c r="AV265" s="7">
        <v>98.784831236446905</v>
      </c>
      <c r="AW265" s="7">
        <v>99.372586504508604</v>
      </c>
      <c r="AX265" s="7">
        <v>10.574115150524801</v>
      </c>
      <c r="AY265" s="7">
        <v>3.7729007196951398</v>
      </c>
      <c r="AZ265" s="7">
        <v>7.3037057562900198</v>
      </c>
      <c r="BA265" s="7">
        <v>9.2995848597090198</v>
      </c>
      <c r="BB265" s="7">
        <v>9.9289660134075302</v>
      </c>
      <c r="BC265" s="7">
        <v>86.694410477907098</v>
      </c>
      <c r="BD265" s="7">
        <v>98.777967312468704</v>
      </c>
      <c r="BE265" s="7">
        <v>100</v>
      </c>
      <c r="BF265" s="7">
        <v>100</v>
      </c>
      <c r="BG265" s="7">
        <v>7.8381317658740199</v>
      </c>
      <c r="BH265" s="7">
        <v>7.1664628674423696</v>
      </c>
      <c r="BI265" s="7">
        <v>9.9740111500631699</v>
      </c>
      <c r="BJ265" s="7">
        <v>10</v>
      </c>
      <c r="BK265" s="7">
        <v>10</v>
      </c>
      <c r="BL265" s="7">
        <v>98.195550651945695</v>
      </c>
      <c r="BM265" s="7">
        <v>100</v>
      </c>
      <c r="BN265" s="7">
        <v>100</v>
      </c>
      <c r="BO265" s="7">
        <v>100</v>
      </c>
      <c r="BP265" s="6">
        <v>17.1430104301757</v>
      </c>
      <c r="BQ265" s="6">
        <v>1.38694227439934</v>
      </c>
      <c r="BR265" s="6">
        <v>3.6702621764740302</v>
      </c>
      <c r="BS265" s="6">
        <v>5.3069775600529798</v>
      </c>
      <c r="BT265" s="6">
        <v>6.3082359461156603</v>
      </c>
      <c r="BU265" s="6">
        <v>61.860479305269202</v>
      </c>
      <c r="BV265" s="6">
        <v>85.597199519016897</v>
      </c>
      <c r="BW265" s="6">
        <v>90.987413597179199</v>
      </c>
      <c r="BX265" s="6">
        <v>95.705980003101502</v>
      </c>
      <c r="BY265" s="6" t="str">
        <f>TRIM(Table1[[#This Row],[LA_Name]])</f>
        <v>East Sussex</v>
      </c>
      <c r="BZ265" s="7">
        <v>65.415566243545499</v>
      </c>
      <c r="CA265" s="7">
        <v>0</v>
      </c>
      <c r="CB265" s="7">
        <v>1.96638711005921E-2</v>
      </c>
      <c r="CC265" s="7">
        <v>0.36832324505988101</v>
      </c>
      <c r="CD265" s="7">
        <v>1.0894013387193999</v>
      </c>
      <c r="CE265" s="7">
        <v>0</v>
      </c>
      <c r="CF265" s="7">
        <v>1.56268669237672</v>
      </c>
      <c r="CG265" s="7">
        <v>15.007334229880399</v>
      </c>
      <c r="CH265" s="7">
        <v>37.174249607866599</v>
      </c>
      <c r="CI265" s="7">
        <v>98.125817557575303</v>
      </c>
      <c r="CJ265" s="7">
        <v>6.4825948683270597E-4</v>
      </c>
      <c r="CK265" s="7">
        <v>6.5766560487694496E-3</v>
      </c>
      <c r="CL265" s="7">
        <v>0.119704291986242</v>
      </c>
      <c r="CM265" s="7">
        <v>0.54494726218410094</v>
      </c>
      <c r="CN265" s="7">
        <v>6.4825948683270601E-2</v>
      </c>
      <c r="CO265" s="7">
        <v>0.361245776780108</v>
      </c>
      <c r="CP265" s="7">
        <v>7.9113079334250198</v>
      </c>
      <c r="CQ265" s="7">
        <v>17.775529348359399</v>
      </c>
      <c r="CR265" s="7">
        <v>38.688850320796803</v>
      </c>
      <c r="CS265" s="7">
        <v>1.4355769890761899E-2</v>
      </c>
      <c r="CT265" s="7">
        <v>0.70928485538729102</v>
      </c>
      <c r="CU265" s="7">
        <v>2.5434041503860301</v>
      </c>
      <c r="CV265" s="7">
        <v>6.5957021667119999</v>
      </c>
      <c r="CW265" s="7">
        <v>1.23194724438874</v>
      </c>
      <c r="CX265" s="7">
        <v>23.817816204453401</v>
      </c>
      <c r="CY265" s="7">
        <v>67.915985570506507</v>
      </c>
      <c r="CZ265" s="7">
        <v>99.509864984073204</v>
      </c>
      <c r="DA265" s="9">
        <v>118.901950715659</v>
      </c>
      <c r="DB265" s="9">
        <v>0</v>
      </c>
      <c r="DC265" s="9">
        <v>6.4825948683270597E-4</v>
      </c>
      <c r="DD265" s="9">
        <v>6.4825948683270597E-4</v>
      </c>
      <c r="DE265" s="9">
        <v>2.1989978670991801E-3</v>
      </c>
      <c r="DF265" s="9">
        <v>0</v>
      </c>
      <c r="DG265" s="9">
        <v>6.4825948683270601E-2</v>
      </c>
      <c r="DH265" s="9">
        <v>6.4825948683270601E-2</v>
      </c>
      <c r="DI265" s="9">
        <v>0.14236286769659401</v>
      </c>
    </row>
    <row r="266" spans="1:113">
      <c r="A266" s="5" t="s">
        <v>610</v>
      </c>
      <c r="B266" s="5" t="s">
        <v>647</v>
      </c>
      <c r="C266" s="5" t="s">
        <v>648</v>
      </c>
      <c r="D266" s="6">
        <v>72740</v>
      </c>
      <c r="E266" s="7">
        <v>7.01032788921286</v>
      </c>
      <c r="F266" s="7">
        <v>3.6636513610118202</v>
      </c>
      <c r="G266" s="7">
        <v>9.8394968380533392</v>
      </c>
      <c r="H266" s="7">
        <v>10</v>
      </c>
      <c r="I266" s="7">
        <v>10</v>
      </c>
      <c r="J266" s="7">
        <v>93.633489139400595</v>
      </c>
      <c r="K266" s="7">
        <v>100</v>
      </c>
      <c r="L266" s="7">
        <v>100</v>
      </c>
      <c r="M266" s="7">
        <v>100</v>
      </c>
      <c r="N266" s="7">
        <v>7.5397918455870201</v>
      </c>
      <c r="O266" s="7">
        <v>7.9690816607093797</v>
      </c>
      <c r="P266" s="7">
        <v>10</v>
      </c>
      <c r="Q266" s="7">
        <v>10</v>
      </c>
      <c r="R266" s="7">
        <v>10</v>
      </c>
      <c r="S266" s="7">
        <v>100</v>
      </c>
      <c r="T266" s="7">
        <v>100</v>
      </c>
      <c r="U266" s="7">
        <v>100</v>
      </c>
      <c r="V266" s="7">
        <v>100</v>
      </c>
      <c r="W266" s="7">
        <v>6.5464330329847797</v>
      </c>
      <c r="X266" s="7">
        <v>10</v>
      </c>
      <c r="Y266" s="7">
        <v>10</v>
      </c>
      <c r="Z266" s="7">
        <v>10</v>
      </c>
      <c r="AA266" s="7">
        <v>10</v>
      </c>
      <c r="AB266" s="7">
        <v>100</v>
      </c>
      <c r="AC266" s="7">
        <v>100</v>
      </c>
      <c r="AD266" s="7">
        <v>100</v>
      </c>
      <c r="AE266" s="7">
        <v>100</v>
      </c>
      <c r="AF266" s="6">
        <v>7.1852517145161698</v>
      </c>
      <c r="AG266" s="6">
        <v>2.8478691229034898</v>
      </c>
      <c r="AH266" s="6">
        <v>7.8170057739895498</v>
      </c>
      <c r="AI266" s="6">
        <v>9.9593758592246395</v>
      </c>
      <c r="AJ266" s="6">
        <v>10</v>
      </c>
      <c r="AK266" s="6">
        <v>93.332416827055297</v>
      </c>
      <c r="AL266" s="6">
        <v>100</v>
      </c>
      <c r="AM266" s="6">
        <v>100</v>
      </c>
      <c r="AN266" s="6">
        <v>100</v>
      </c>
      <c r="AO266" s="6">
        <v>9.3886905418425695</v>
      </c>
      <c r="AP266" s="7">
        <v>3.2905279076161702</v>
      </c>
      <c r="AQ266" s="7">
        <v>9.6525982952983203</v>
      </c>
      <c r="AR266" s="7">
        <v>10</v>
      </c>
      <c r="AS266" s="7">
        <v>10</v>
      </c>
      <c r="AT266" s="7">
        <v>80.973329667308207</v>
      </c>
      <c r="AU266" s="7">
        <v>100</v>
      </c>
      <c r="AV266" s="7">
        <v>100</v>
      </c>
      <c r="AW266" s="7">
        <v>100</v>
      </c>
      <c r="AX266" s="7">
        <v>8.5625853839928805</v>
      </c>
      <c r="AY266" s="7">
        <v>6.3627165246081896</v>
      </c>
      <c r="AZ266" s="7">
        <v>10</v>
      </c>
      <c r="BA266" s="7">
        <v>10</v>
      </c>
      <c r="BB266" s="7">
        <v>10</v>
      </c>
      <c r="BC266" s="7">
        <v>99.030794610943104</v>
      </c>
      <c r="BD266" s="7">
        <v>100</v>
      </c>
      <c r="BE266" s="7">
        <v>100</v>
      </c>
      <c r="BF266" s="7">
        <v>100</v>
      </c>
      <c r="BG266" s="7">
        <v>7.1400717611197502</v>
      </c>
      <c r="BH266" s="7">
        <v>9.9135551278526304</v>
      </c>
      <c r="BI266" s="7">
        <v>10</v>
      </c>
      <c r="BJ266" s="7">
        <v>10</v>
      </c>
      <c r="BK266" s="7">
        <v>10</v>
      </c>
      <c r="BL266" s="7">
        <v>100</v>
      </c>
      <c r="BM266" s="7">
        <v>100</v>
      </c>
      <c r="BN266" s="7">
        <v>100</v>
      </c>
      <c r="BO266" s="7">
        <v>100</v>
      </c>
      <c r="BP266" s="6">
        <v>10.227702623622299</v>
      </c>
      <c r="BQ266" s="6">
        <v>2.5175419301622202</v>
      </c>
      <c r="BR266" s="6">
        <v>6.1100907341215303</v>
      </c>
      <c r="BS266" s="6">
        <v>8.7751580973329695</v>
      </c>
      <c r="BT266" s="6">
        <v>9.9499999999999993</v>
      </c>
      <c r="BU266" s="6">
        <v>73.072587297222995</v>
      </c>
      <c r="BV266" s="6">
        <v>100</v>
      </c>
      <c r="BW266" s="6">
        <v>100</v>
      </c>
      <c r="BX266" s="6">
        <v>100</v>
      </c>
      <c r="BY266" s="6" t="str">
        <f>TRIM(Table1[[#This Row],[LA_Name]])</f>
        <v>Eastbourne</v>
      </c>
      <c r="BZ266" s="7">
        <v>70.554618743307003</v>
      </c>
      <c r="CA266" s="7">
        <v>0</v>
      </c>
      <c r="CB266" s="7">
        <v>0</v>
      </c>
      <c r="CC266" s="7">
        <v>0</v>
      </c>
      <c r="CD266" s="7">
        <v>0.44311245532031901</v>
      </c>
      <c r="CE266" s="7">
        <v>0</v>
      </c>
      <c r="CF266" s="7">
        <v>0</v>
      </c>
      <c r="CG266" s="7">
        <v>0</v>
      </c>
      <c r="CH266" s="7">
        <v>14.7429199890019</v>
      </c>
      <c r="CI266" s="7">
        <v>119.736021156825</v>
      </c>
      <c r="CJ266" s="7">
        <v>0</v>
      </c>
      <c r="CK266" s="7">
        <v>0</v>
      </c>
      <c r="CL266" s="7">
        <v>0</v>
      </c>
      <c r="CM266" s="7">
        <v>0</v>
      </c>
      <c r="CN266" s="7">
        <v>0</v>
      </c>
      <c r="CO266" s="7">
        <v>0</v>
      </c>
      <c r="CP266" s="7">
        <v>0</v>
      </c>
      <c r="CQ266" s="7">
        <v>0</v>
      </c>
      <c r="CR266" s="7">
        <v>40.187635915922499</v>
      </c>
      <c r="CS266" s="7">
        <v>0</v>
      </c>
      <c r="CT266" s="7">
        <v>0</v>
      </c>
      <c r="CU266" s="7">
        <v>0.99352488314544996</v>
      </c>
      <c r="CV266" s="7">
        <v>6.7442397580423403</v>
      </c>
      <c r="CW266" s="7">
        <v>0</v>
      </c>
      <c r="CX266" s="7">
        <v>0</v>
      </c>
      <c r="CY266" s="7">
        <v>98.846576849051402</v>
      </c>
      <c r="CZ266" s="7">
        <v>100</v>
      </c>
      <c r="DA266" s="9">
        <v>120</v>
      </c>
      <c r="DB266" s="9">
        <v>0</v>
      </c>
      <c r="DC266" s="9">
        <v>0</v>
      </c>
      <c r="DD266" s="9">
        <v>0</v>
      </c>
      <c r="DE266" s="9">
        <v>0</v>
      </c>
      <c r="DF266" s="9">
        <v>0</v>
      </c>
      <c r="DG266" s="9">
        <v>0</v>
      </c>
      <c r="DH266" s="9">
        <v>0</v>
      </c>
      <c r="DI266" s="9">
        <v>0</v>
      </c>
    </row>
    <row r="267" spans="1:113">
      <c r="A267" s="5" t="s">
        <v>610</v>
      </c>
      <c r="B267" s="5" t="s">
        <v>649</v>
      </c>
      <c r="C267" s="5" t="s">
        <v>650</v>
      </c>
      <c r="D267" s="6">
        <v>67279</v>
      </c>
      <c r="E267" s="7">
        <v>6.8127393688306199</v>
      </c>
      <c r="F267" s="7">
        <v>4.4593706803014301</v>
      </c>
      <c r="G267" s="7">
        <v>9.9522436421468807</v>
      </c>
      <c r="H267" s="7">
        <v>10</v>
      </c>
      <c r="I267" s="7">
        <v>10</v>
      </c>
      <c r="J267" s="7">
        <v>93.602758661692306</v>
      </c>
      <c r="K267" s="7">
        <v>100</v>
      </c>
      <c r="L267" s="7">
        <v>100</v>
      </c>
      <c r="M267" s="7">
        <v>100</v>
      </c>
      <c r="N267" s="7">
        <v>7.4734098458361302</v>
      </c>
      <c r="O267" s="7">
        <v>8.9621129921669507</v>
      </c>
      <c r="P267" s="7">
        <v>10</v>
      </c>
      <c r="Q267" s="7">
        <v>10</v>
      </c>
      <c r="R267" s="7">
        <v>10</v>
      </c>
      <c r="S267" s="7">
        <v>100</v>
      </c>
      <c r="T267" s="7">
        <v>100</v>
      </c>
      <c r="U267" s="7">
        <v>100</v>
      </c>
      <c r="V267" s="7">
        <v>100</v>
      </c>
      <c r="W267" s="7">
        <v>6.5184699511222899</v>
      </c>
      <c r="X267" s="7">
        <v>10</v>
      </c>
      <c r="Y267" s="7">
        <v>10</v>
      </c>
      <c r="Z267" s="7">
        <v>10</v>
      </c>
      <c r="AA267" s="7">
        <v>10</v>
      </c>
      <c r="AB267" s="7">
        <v>100</v>
      </c>
      <c r="AC267" s="7">
        <v>100</v>
      </c>
      <c r="AD267" s="7">
        <v>100</v>
      </c>
      <c r="AE267" s="7">
        <v>100</v>
      </c>
      <c r="AF267" s="6">
        <v>7.1143102649634802</v>
      </c>
      <c r="AG267" s="6">
        <v>3.4443882935239798</v>
      </c>
      <c r="AH267" s="6">
        <v>8.9587241189672895</v>
      </c>
      <c r="AI267" s="6">
        <v>9.9053345025936803</v>
      </c>
      <c r="AJ267" s="6">
        <v>10</v>
      </c>
      <c r="AK267" s="6">
        <v>93.347106823823196</v>
      </c>
      <c r="AL267" s="6">
        <v>100</v>
      </c>
      <c r="AM267" s="6">
        <v>100</v>
      </c>
      <c r="AN267" s="6">
        <v>100</v>
      </c>
      <c r="AO267" s="6">
        <v>8.7617555005025807</v>
      </c>
      <c r="AP267" s="7">
        <v>2.59378112040904</v>
      </c>
      <c r="AQ267" s="7">
        <v>9.6576346259605508</v>
      </c>
      <c r="AR267" s="7">
        <v>10</v>
      </c>
      <c r="AS267" s="7">
        <v>10</v>
      </c>
      <c r="AT267" s="7">
        <v>89.861621011013796</v>
      </c>
      <c r="AU267" s="7">
        <v>100</v>
      </c>
      <c r="AV267" s="7">
        <v>100</v>
      </c>
      <c r="AW267" s="7">
        <v>100</v>
      </c>
      <c r="AX267" s="7">
        <v>8.3921404622975704</v>
      </c>
      <c r="AY267" s="7">
        <v>6.0804560115340598</v>
      </c>
      <c r="AZ267" s="7">
        <v>10</v>
      </c>
      <c r="BA267" s="7">
        <v>10</v>
      </c>
      <c r="BB267" s="7">
        <v>10</v>
      </c>
      <c r="BC267" s="7">
        <v>100</v>
      </c>
      <c r="BD267" s="7">
        <v>100</v>
      </c>
      <c r="BE267" s="7">
        <v>100</v>
      </c>
      <c r="BF267" s="7">
        <v>100</v>
      </c>
      <c r="BG267" s="7">
        <v>6.9916916089310304</v>
      </c>
      <c r="BH267" s="7">
        <v>10</v>
      </c>
      <c r="BI267" s="7">
        <v>10</v>
      </c>
      <c r="BJ267" s="7">
        <v>10</v>
      </c>
      <c r="BK267" s="7">
        <v>10</v>
      </c>
      <c r="BL267" s="7">
        <v>100</v>
      </c>
      <c r="BM267" s="7">
        <v>100</v>
      </c>
      <c r="BN267" s="7">
        <v>100</v>
      </c>
      <c r="BO267" s="7">
        <v>100</v>
      </c>
      <c r="BP267" s="6">
        <v>9.8316308130142804</v>
      </c>
      <c r="BQ267" s="6">
        <v>1.8489870539098401</v>
      </c>
      <c r="BR267" s="6">
        <v>5.9764562493497202</v>
      </c>
      <c r="BS267" s="6">
        <v>9.17012738001457</v>
      </c>
      <c r="BT267" s="6">
        <v>9.9116068907088408</v>
      </c>
      <c r="BU267" s="6">
        <v>78.507409444254506</v>
      </c>
      <c r="BV267" s="6">
        <v>99.650708244771806</v>
      </c>
      <c r="BW267" s="6">
        <v>100</v>
      </c>
      <c r="BX267" s="6">
        <v>100</v>
      </c>
      <c r="BY267" s="6" t="str">
        <f>TRIM(Table1[[#This Row],[LA_Name]])</f>
        <v>Hastings</v>
      </c>
      <c r="BZ267" s="7">
        <v>68.250804574362803</v>
      </c>
      <c r="CA267" s="7">
        <v>0</v>
      </c>
      <c r="CB267" s="7">
        <v>0</v>
      </c>
      <c r="CC267" s="7">
        <v>0</v>
      </c>
      <c r="CD267" s="7">
        <v>0.37062084751557001</v>
      </c>
      <c r="CE267" s="7">
        <v>0</v>
      </c>
      <c r="CF267" s="7">
        <v>0</v>
      </c>
      <c r="CG267" s="7">
        <v>0</v>
      </c>
      <c r="CH267" s="7">
        <v>22.210496588831599</v>
      </c>
      <c r="CI267" s="7">
        <v>120</v>
      </c>
      <c r="CJ267" s="7">
        <v>0</v>
      </c>
      <c r="CK267" s="7">
        <v>0</v>
      </c>
      <c r="CL267" s="7">
        <v>0</v>
      </c>
      <c r="CM267" s="7">
        <v>0</v>
      </c>
      <c r="CN267" s="7">
        <v>0</v>
      </c>
      <c r="CO267" s="7">
        <v>0</v>
      </c>
      <c r="CP267" s="7">
        <v>0</v>
      </c>
      <c r="CQ267" s="7">
        <v>0</v>
      </c>
      <c r="CR267" s="7">
        <v>55.213845888664899</v>
      </c>
      <c r="CS267" s="7">
        <v>0</v>
      </c>
      <c r="CT267" s="7">
        <v>0</v>
      </c>
      <c r="CU267" s="7">
        <v>0</v>
      </c>
      <c r="CV267" s="7">
        <v>2.2657144131155298</v>
      </c>
      <c r="CW267" s="7">
        <v>0</v>
      </c>
      <c r="CX267" s="7">
        <v>0</v>
      </c>
      <c r="CY267" s="7">
        <v>0</v>
      </c>
      <c r="CZ267" s="7">
        <v>100</v>
      </c>
      <c r="DA267" s="9">
        <v>120</v>
      </c>
      <c r="DB267" s="9">
        <v>0</v>
      </c>
      <c r="DC267" s="9">
        <v>0</v>
      </c>
      <c r="DD267" s="9">
        <v>0</v>
      </c>
      <c r="DE267" s="9">
        <v>0</v>
      </c>
      <c r="DF267" s="9">
        <v>0</v>
      </c>
      <c r="DG267" s="9">
        <v>0</v>
      </c>
      <c r="DH267" s="9">
        <v>0</v>
      </c>
      <c r="DI267" s="9">
        <v>0</v>
      </c>
    </row>
    <row r="268" spans="1:113">
      <c r="A268" s="5" t="s">
        <v>610</v>
      </c>
      <c r="B268" s="5" t="s">
        <v>651</v>
      </c>
      <c r="C268" s="5" t="s">
        <v>652</v>
      </c>
      <c r="D268" s="6">
        <v>72552</v>
      </c>
      <c r="E268" s="7">
        <v>8.3354509872981897</v>
      </c>
      <c r="F268" s="7">
        <v>2.7850645054581502</v>
      </c>
      <c r="G268" s="7">
        <v>8.1439381409196194</v>
      </c>
      <c r="H268" s="7">
        <v>9.6176397618260001</v>
      </c>
      <c r="I268" s="7">
        <v>9.8875702944095298</v>
      </c>
      <c r="J268" s="7">
        <v>87.320818171794002</v>
      </c>
      <c r="K268" s="7">
        <v>99.029661484176899</v>
      </c>
      <c r="L268" s="7">
        <v>100</v>
      </c>
      <c r="M268" s="7">
        <v>100</v>
      </c>
      <c r="N268" s="7">
        <v>8.9286508660934807</v>
      </c>
      <c r="O268" s="7">
        <v>5.3525884882566999</v>
      </c>
      <c r="P268" s="7">
        <v>7.7283052155695202</v>
      </c>
      <c r="Q268" s="7">
        <v>9.5734094166942292</v>
      </c>
      <c r="R268" s="7">
        <v>10</v>
      </c>
      <c r="S268" s="7">
        <v>89.996140699084805</v>
      </c>
      <c r="T268" s="7">
        <v>99.685742639761799</v>
      </c>
      <c r="U268" s="7">
        <v>100</v>
      </c>
      <c r="V268" s="7">
        <v>100</v>
      </c>
      <c r="W268" s="7">
        <v>7.2178356328075202</v>
      </c>
      <c r="X268" s="7">
        <v>7.60560701290109</v>
      </c>
      <c r="Y268" s="7">
        <v>10</v>
      </c>
      <c r="Z268" s="7">
        <v>10</v>
      </c>
      <c r="AA268" s="7">
        <v>10</v>
      </c>
      <c r="AB268" s="7">
        <v>99.685742639761799</v>
      </c>
      <c r="AC268" s="7">
        <v>100</v>
      </c>
      <c r="AD268" s="7">
        <v>100</v>
      </c>
      <c r="AE268" s="7">
        <v>100</v>
      </c>
      <c r="AF268" s="6">
        <v>11.5602325411294</v>
      </c>
      <c r="AG268" s="6">
        <v>2.2487595104201099</v>
      </c>
      <c r="AH268" s="6">
        <v>5.3066765905833098</v>
      </c>
      <c r="AI268" s="6">
        <v>6.6272190980262398</v>
      </c>
      <c r="AJ268" s="6">
        <v>7.2544106296173796</v>
      </c>
      <c r="AK268" s="6">
        <v>80.248649244679697</v>
      </c>
      <c r="AL268" s="6">
        <v>90.460635130664897</v>
      </c>
      <c r="AM268" s="6">
        <v>96.916694233101794</v>
      </c>
      <c r="AN268" s="6">
        <v>97.492832726871796</v>
      </c>
      <c r="AO268" s="6">
        <v>11.4041921848538</v>
      </c>
      <c r="AP268" s="7">
        <v>1.22904950931746</v>
      </c>
      <c r="AQ268" s="7">
        <v>5.66719042893373</v>
      </c>
      <c r="AR268" s="7">
        <v>9.6692579115668806</v>
      </c>
      <c r="AS268" s="7">
        <v>9.9421104862719094</v>
      </c>
      <c r="AT268" s="7">
        <v>71.266126364538493</v>
      </c>
      <c r="AU268" s="7">
        <v>99.815304884772303</v>
      </c>
      <c r="AV268" s="7">
        <v>100</v>
      </c>
      <c r="AW268" s="7">
        <v>100</v>
      </c>
      <c r="AX268" s="7">
        <v>10.046942737777099</v>
      </c>
      <c r="AY268" s="7">
        <v>2.0812107178299701</v>
      </c>
      <c r="AZ268" s="7">
        <v>5.2467609438747402</v>
      </c>
      <c r="BA268" s="7">
        <v>8.6924964163634399</v>
      </c>
      <c r="BB268" s="7">
        <v>9.9639568860954899</v>
      </c>
      <c r="BC268" s="7">
        <v>90.637060315360003</v>
      </c>
      <c r="BD268" s="7">
        <v>100</v>
      </c>
      <c r="BE268" s="7">
        <v>100</v>
      </c>
      <c r="BF268" s="7">
        <v>100</v>
      </c>
      <c r="BG268" s="7">
        <v>7.8161446943489699</v>
      </c>
      <c r="BH268" s="7">
        <v>4.8704239717719702</v>
      </c>
      <c r="BI268" s="7">
        <v>10</v>
      </c>
      <c r="BJ268" s="7">
        <v>10</v>
      </c>
      <c r="BK268" s="7">
        <v>10</v>
      </c>
      <c r="BL268" s="7">
        <v>100</v>
      </c>
      <c r="BM268" s="7">
        <v>100</v>
      </c>
      <c r="BN268" s="7">
        <v>100</v>
      </c>
      <c r="BO268" s="7">
        <v>100</v>
      </c>
      <c r="BP268" s="6">
        <v>15.580057480952</v>
      </c>
      <c r="BQ268" s="6">
        <v>1.00254989524755</v>
      </c>
      <c r="BR268" s="6">
        <v>2.16473701620906</v>
      </c>
      <c r="BS268" s="6">
        <v>2.7324263976182599</v>
      </c>
      <c r="BT268" s="6">
        <v>3.6713529606351298</v>
      </c>
      <c r="BU268" s="6">
        <v>58.9604697320543</v>
      </c>
      <c r="BV268" s="6">
        <v>88.996857426397597</v>
      </c>
      <c r="BW268" s="6">
        <v>96.151725658837805</v>
      </c>
      <c r="BX268" s="6">
        <v>99.455562906604897</v>
      </c>
      <c r="BY268" s="6" t="str">
        <f>TRIM(Table1[[#This Row],[LA_Name]])</f>
        <v>Lewes</v>
      </c>
      <c r="BZ268" s="7">
        <v>46.826794825863203</v>
      </c>
      <c r="CA268" s="7">
        <v>0</v>
      </c>
      <c r="CB268" s="7">
        <v>5.6593891277979903E-2</v>
      </c>
      <c r="CC268" s="7">
        <v>1.4287545484617901</v>
      </c>
      <c r="CD268" s="7">
        <v>3.4279551218436399</v>
      </c>
      <c r="CE268" s="7">
        <v>0</v>
      </c>
      <c r="CF268" s="7">
        <v>5.3175653324512098</v>
      </c>
      <c r="CG268" s="7">
        <v>48.060701290109201</v>
      </c>
      <c r="CH268" s="7">
        <v>86.055518800308704</v>
      </c>
      <c r="CI268" s="7">
        <v>56.196751353088501</v>
      </c>
      <c r="CJ268" s="7">
        <v>3.5147204763479999E-3</v>
      </c>
      <c r="CK268" s="7">
        <v>3.5147204763479999E-3</v>
      </c>
      <c r="CL268" s="7">
        <v>0.53332782004631196</v>
      </c>
      <c r="CM268" s="7">
        <v>2.22729904068806</v>
      </c>
      <c r="CN268" s="7">
        <v>0.3514720476348</v>
      </c>
      <c r="CO268" s="7">
        <v>0.3514720476348</v>
      </c>
      <c r="CP268" s="7">
        <v>36.393207630389199</v>
      </c>
      <c r="CQ268" s="7">
        <v>59.871540412393898</v>
      </c>
      <c r="CR268" s="7">
        <v>24.011390727086098</v>
      </c>
      <c r="CS268" s="7">
        <v>5.57531150071673E-2</v>
      </c>
      <c r="CT268" s="7">
        <v>2.8970669313044399</v>
      </c>
      <c r="CU268" s="7">
        <v>6.5726513397287496</v>
      </c>
      <c r="CV268" s="7">
        <v>9.7007663468960192</v>
      </c>
      <c r="CW268" s="7">
        <v>5.5753115007167304</v>
      </c>
      <c r="CX268" s="7">
        <v>76.130223839453095</v>
      </c>
      <c r="CY268" s="7">
        <v>100</v>
      </c>
      <c r="CZ268" s="7">
        <v>100</v>
      </c>
      <c r="DA268" s="9">
        <v>115.545949512601</v>
      </c>
      <c r="DB268" s="9">
        <v>0</v>
      </c>
      <c r="DC268" s="9">
        <v>3.5147204763479999E-3</v>
      </c>
      <c r="DD268" s="9">
        <v>3.5147204763479999E-3</v>
      </c>
      <c r="DE268" s="9">
        <v>3.5147204763479999E-3</v>
      </c>
      <c r="DF268" s="9">
        <v>0</v>
      </c>
      <c r="DG268" s="9">
        <v>0.3514720476348</v>
      </c>
      <c r="DH268" s="9">
        <v>0.3514720476348</v>
      </c>
      <c r="DI268" s="9">
        <v>0.3514720476348</v>
      </c>
    </row>
    <row r="269" spans="1:113">
      <c r="A269" s="5" t="s">
        <v>610</v>
      </c>
      <c r="B269" s="5" t="s">
        <v>653</v>
      </c>
      <c r="C269" s="5" t="s">
        <v>654</v>
      </c>
      <c r="D269" s="6">
        <v>66717</v>
      </c>
      <c r="E269" s="7">
        <v>11.6390475038259</v>
      </c>
      <c r="F269" s="7">
        <v>2.09369426083307</v>
      </c>
      <c r="G269" s="7">
        <v>6.7058920515011202</v>
      </c>
      <c r="H269" s="7">
        <v>9.0567771332643794</v>
      </c>
      <c r="I269" s="7">
        <v>9.71428571428571</v>
      </c>
      <c r="J269" s="7">
        <v>72.405833595635301</v>
      </c>
      <c r="K269" s="7">
        <v>95.767195767195801</v>
      </c>
      <c r="L269" s="7">
        <v>98.483145225354903</v>
      </c>
      <c r="M269" s="7">
        <v>99.061708410150302</v>
      </c>
      <c r="N269" s="7">
        <v>10.6363192085261</v>
      </c>
      <c r="O269" s="7">
        <v>4.4771047858866604</v>
      </c>
      <c r="P269" s="7">
        <v>6.8192364764602704</v>
      </c>
      <c r="Q269" s="7">
        <v>8.9073099809643708</v>
      </c>
      <c r="R269" s="7">
        <v>9.8235532173209208</v>
      </c>
      <c r="S269" s="7">
        <v>80.288382271385103</v>
      </c>
      <c r="T269" s="7">
        <v>98.348247073459504</v>
      </c>
      <c r="U269" s="7">
        <v>100</v>
      </c>
      <c r="V269" s="7">
        <v>100</v>
      </c>
      <c r="W269" s="7">
        <v>7.68602349146816</v>
      </c>
      <c r="X269" s="7">
        <v>6.7415950957027402</v>
      </c>
      <c r="Y269" s="7">
        <v>9.9390410240268601</v>
      </c>
      <c r="Z269" s="7">
        <v>10</v>
      </c>
      <c r="AA269" s="7">
        <v>10</v>
      </c>
      <c r="AB269" s="7">
        <v>98.547596564593704</v>
      </c>
      <c r="AC269" s="7">
        <v>100</v>
      </c>
      <c r="AD269" s="7">
        <v>100</v>
      </c>
      <c r="AE269" s="7">
        <v>100</v>
      </c>
      <c r="AF269" s="6">
        <v>17.800001630547399</v>
      </c>
      <c r="AG269" s="6">
        <v>1.5669169776818499</v>
      </c>
      <c r="AH269" s="6">
        <v>4.3260937991816197</v>
      </c>
      <c r="AI269" s="6">
        <v>5.2264040649309802</v>
      </c>
      <c r="AJ269" s="6">
        <v>5.6790623079574898</v>
      </c>
      <c r="AK269" s="6">
        <v>66.901988998306294</v>
      </c>
      <c r="AL269" s="6">
        <v>77.427042582850007</v>
      </c>
      <c r="AM269" s="6">
        <v>91.156676709084607</v>
      </c>
      <c r="AN269" s="6">
        <v>93.779696329271403</v>
      </c>
      <c r="AO269" s="6">
        <v>15.2434179890754</v>
      </c>
      <c r="AP269" s="7">
        <v>1.2111605737668101</v>
      </c>
      <c r="AQ269" s="7">
        <v>5.5693601330995097</v>
      </c>
      <c r="AR269" s="7">
        <v>8.7714825306893296</v>
      </c>
      <c r="AS269" s="7">
        <v>9.6555150861099897</v>
      </c>
      <c r="AT269" s="7">
        <v>53.714945216361599</v>
      </c>
      <c r="AU269" s="7">
        <v>94.927829488735995</v>
      </c>
      <c r="AV269" s="7">
        <v>98.361736888649105</v>
      </c>
      <c r="AW269" s="7">
        <v>98.361736888649105</v>
      </c>
      <c r="AX269" s="7">
        <v>13.3652226665347</v>
      </c>
      <c r="AY269" s="7">
        <v>2.70521756074164</v>
      </c>
      <c r="AZ269" s="7">
        <v>5.5097651273288699</v>
      </c>
      <c r="BA269" s="7">
        <v>8.2913200533597102</v>
      </c>
      <c r="BB269" s="7">
        <v>9.6240838167183806</v>
      </c>
      <c r="BC269" s="7">
        <v>71.5754605273019</v>
      </c>
      <c r="BD269" s="7">
        <v>95.584333827959895</v>
      </c>
      <c r="BE269" s="7">
        <v>100</v>
      </c>
      <c r="BF269" s="7">
        <v>100</v>
      </c>
      <c r="BG269" s="7">
        <v>8.8199168075297294</v>
      </c>
      <c r="BH269" s="7">
        <v>5.1419578218445103</v>
      </c>
      <c r="BI269" s="7">
        <v>9.8467706881304604</v>
      </c>
      <c r="BJ269" s="7">
        <v>10</v>
      </c>
      <c r="BK269" s="7">
        <v>10</v>
      </c>
      <c r="BL269" s="7">
        <v>93.976048083696796</v>
      </c>
      <c r="BM269" s="7">
        <v>100</v>
      </c>
      <c r="BN269" s="7">
        <v>100</v>
      </c>
      <c r="BO269" s="7">
        <v>100</v>
      </c>
      <c r="BP269" s="6">
        <v>26.824858329907102</v>
      </c>
      <c r="BQ269" s="6">
        <v>0.91898616544508904</v>
      </c>
      <c r="BR269" s="6">
        <v>2.51130896173389</v>
      </c>
      <c r="BS269" s="6">
        <v>3.45124930677339</v>
      </c>
      <c r="BT269" s="6">
        <v>4.1561521051605999</v>
      </c>
      <c r="BU269" s="6">
        <v>43.219868998905802</v>
      </c>
      <c r="BV269" s="6">
        <v>70.085585383035806</v>
      </c>
      <c r="BW269" s="6">
        <v>77.824242696763903</v>
      </c>
      <c r="BX269" s="6">
        <v>86.487701785152197</v>
      </c>
      <c r="BY269" s="6" t="str">
        <f>TRIM(Table1[[#This Row],[LA_Name]])</f>
        <v>Rother</v>
      </c>
      <c r="BZ269" s="7">
        <v>74.597212019964005</v>
      </c>
      <c r="CA269" s="7">
        <v>0</v>
      </c>
      <c r="CB269" s="7">
        <v>0</v>
      </c>
      <c r="CC269" s="7">
        <v>7.2979900175367596E-2</v>
      </c>
      <c r="CD269" s="7">
        <v>0.33588140953579998</v>
      </c>
      <c r="CE269" s="7">
        <v>0</v>
      </c>
      <c r="CF269" s="7">
        <v>0</v>
      </c>
      <c r="CG269" s="7">
        <v>4.9567576479757802</v>
      </c>
      <c r="CH269" s="7">
        <v>20.669394607071698</v>
      </c>
      <c r="CI269" s="7">
        <v>114.99306549113901</v>
      </c>
      <c r="CJ269" s="7">
        <v>0</v>
      </c>
      <c r="CK269" s="7">
        <v>0</v>
      </c>
      <c r="CL269" s="7">
        <v>0</v>
      </c>
      <c r="CM269" s="7">
        <v>0</v>
      </c>
      <c r="CN269" s="7">
        <v>0</v>
      </c>
      <c r="CO269" s="7">
        <v>0</v>
      </c>
      <c r="CP269" s="7">
        <v>0</v>
      </c>
      <c r="CQ269" s="7">
        <v>0</v>
      </c>
      <c r="CR269" s="7">
        <v>48.364929407544203</v>
      </c>
      <c r="CS269" s="7">
        <v>0</v>
      </c>
      <c r="CT269" s="7">
        <v>2.19134553412174E-2</v>
      </c>
      <c r="CU269" s="7">
        <v>0.407976977382077</v>
      </c>
      <c r="CV269" s="7">
        <v>3.2510754380442801</v>
      </c>
      <c r="CW269" s="7">
        <v>0</v>
      </c>
      <c r="CX269" s="7">
        <v>1.2650448911072101</v>
      </c>
      <c r="CY269" s="7">
        <v>18.630933645098001</v>
      </c>
      <c r="CZ269" s="7">
        <v>97.110181812731398</v>
      </c>
      <c r="DA269" s="9">
        <v>120</v>
      </c>
      <c r="DB269" s="9">
        <v>0</v>
      </c>
      <c r="DC269" s="9">
        <v>0</v>
      </c>
      <c r="DD269" s="9">
        <v>0</v>
      </c>
      <c r="DE269" s="9">
        <v>0</v>
      </c>
      <c r="DF269" s="9">
        <v>0</v>
      </c>
      <c r="DG269" s="9">
        <v>0</v>
      </c>
      <c r="DH269" s="9">
        <v>0</v>
      </c>
      <c r="DI269" s="9">
        <v>0</v>
      </c>
    </row>
    <row r="270" spans="1:113">
      <c r="A270" s="5" t="s">
        <v>610</v>
      </c>
      <c r="B270" s="5" t="s">
        <v>655</v>
      </c>
      <c r="C270" s="5" t="s">
        <v>656</v>
      </c>
      <c r="D270" s="6">
        <v>114073</v>
      </c>
      <c r="E270" s="7">
        <v>13.079228199283399</v>
      </c>
      <c r="F270" s="7">
        <v>1.48943220569285</v>
      </c>
      <c r="G270" s="7">
        <v>6.2322723168497403</v>
      </c>
      <c r="H270" s="7">
        <v>9.0185495253039694</v>
      </c>
      <c r="I270" s="7">
        <v>9.4799207525005897</v>
      </c>
      <c r="J270" s="7">
        <v>67.629500407633699</v>
      </c>
      <c r="K270" s="7">
        <v>92.928212635768304</v>
      </c>
      <c r="L270" s="7">
        <v>98.007416303595093</v>
      </c>
      <c r="M270" s="7">
        <v>99.186485846782304</v>
      </c>
      <c r="N270" s="7">
        <v>10.549831160399799</v>
      </c>
      <c r="O270" s="7">
        <v>3.1274797717251199</v>
      </c>
      <c r="P270" s="7">
        <v>6.9652678547947398</v>
      </c>
      <c r="Q270" s="7">
        <v>9.9418091923592797</v>
      </c>
      <c r="R270" s="7">
        <v>10</v>
      </c>
      <c r="S270" s="7">
        <v>82.455971176351994</v>
      </c>
      <c r="T270" s="7">
        <v>99.737887142443896</v>
      </c>
      <c r="U270" s="7">
        <v>100</v>
      </c>
      <c r="V270" s="7">
        <v>100</v>
      </c>
      <c r="W270" s="7">
        <v>7.7048015804825303</v>
      </c>
      <c r="X270" s="7">
        <v>6.9364442067798704</v>
      </c>
      <c r="Y270" s="7">
        <v>10</v>
      </c>
      <c r="Z270" s="7">
        <v>10</v>
      </c>
      <c r="AA270" s="7">
        <v>10</v>
      </c>
      <c r="AB270" s="7">
        <v>99.483663969563395</v>
      </c>
      <c r="AC270" s="7">
        <v>100</v>
      </c>
      <c r="AD270" s="7">
        <v>100</v>
      </c>
      <c r="AE270" s="7">
        <v>100</v>
      </c>
      <c r="AF270" s="6">
        <v>16.988233246588202</v>
      </c>
      <c r="AG270" s="6">
        <v>1.1685148983545599</v>
      </c>
      <c r="AH270" s="6">
        <v>3.0436737878376099</v>
      </c>
      <c r="AI270" s="6">
        <v>4.5443093457698103</v>
      </c>
      <c r="AJ270" s="6">
        <v>5.3948787180139002</v>
      </c>
      <c r="AK270" s="6">
        <v>61.080185495252998</v>
      </c>
      <c r="AL270" s="6">
        <v>80.451991268748998</v>
      </c>
      <c r="AM270" s="6">
        <v>93.724194156373599</v>
      </c>
      <c r="AN270" s="6">
        <v>97.174616254503704</v>
      </c>
      <c r="AO270" s="6">
        <v>14.671499787845701</v>
      </c>
      <c r="AP270" s="7">
        <v>1.1721879848868699</v>
      </c>
      <c r="AQ270" s="7">
        <v>5.8776660559466301</v>
      </c>
      <c r="AR270" s="7">
        <v>8.9592979933901997</v>
      </c>
      <c r="AS270" s="7">
        <v>9.4232026859993194</v>
      </c>
      <c r="AT270" s="7">
        <v>65.551006811427797</v>
      </c>
      <c r="AU270" s="7">
        <v>90.280785111288395</v>
      </c>
      <c r="AV270" s="7">
        <v>96.767859177894806</v>
      </c>
      <c r="AW270" s="7">
        <v>98.794631507894096</v>
      </c>
      <c r="AX270" s="7">
        <v>11.8465708851052</v>
      </c>
      <c r="AY270" s="7">
        <v>2.46088907979978</v>
      </c>
      <c r="AZ270" s="7">
        <v>6.3515906480937598</v>
      </c>
      <c r="BA270" s="7">
        <v>9.4156724202922693</v>
      </c>
      <c r="BB270" s="7">
        <v>9.9978347198723601</v>
      </c>
      <c r="BC270" s="7">
        <v>77.315403294381696</v>
      </c>
      <c r="BD270" s="7">
        <v>98.368588535411504</v>
      </c>
      <c r="BE270" s="7">
        <v>100</v>
      </c>
      <c r="BF270" s="7">
        <v>100</v>
      </c>
      <c r="BG270" s="7">
        <v>8.2222540862647708</v>
      </c>
      <c r="BH270" s="7">
        <v>6.3879270291830696</v>
      </c>
      <c r="BI270" s="7">
        <v>10</v>
      </c>
      <c r="BJ270" s="7">
        <v>10</v>
      </c>
      <c r="BK270" s="7">
        <v>10</v>
      </c>
      <c r="BL270" s="7">
        <v>97.300851209313294</v>
      </c>
      <c r="BM270" s="7">
        <v>100</v>
      </c>
      <c r="BN270" s="7">
        <v>100</v>
      </c>
      <c r="BO270" s="7">
        <v>100</v>
      </c>
      <c r="BP270" s="6">
        <v>21.196321162403201</v>
      </c>
      <c r="BQ270" s="6">
        <v>0.91166183058217098</v>
      </c>
      <c r="BR270" s="6">
        <v>2.3896715261280099</v>
      </c>
      <c r="BS270" s="6">
        <v>3.53980345918841</v>
      </c>
      <c r="BT270" s="6">
        <v>4.7965600974814402</v>
      </c>
      <c r="BU270" s="6">
        <v>57.639406345059697</v>
      </c>
      <c r="BV270" s="6">
        <v>75.034407791501906</v>
      </c>
      <c r="BW270" s="6">
        <v>84.338975918929094</v>
      </c>
      <c r="BX270" s="6">
        <v>93.441918771313098</v>
      </c>
      <c r="BY270" s="6" t="str">
        <f>TRIM(Table1[[#This Row],[LA_Name]])</f>
        <v>Wealden</v>
      </c>
      <c r="BZ270" s="7">
        <v>66.919112254772102</v>
      </c>
      <c r="CA270" s="7">
        <v>0</v>
      </c>
      <c r="CB270" s="7">
        <v>3.1812961875290403E-2</v>
      </c>
      <c r="CC270" s="7">
        <v>0.31870819562911501</v>
      </c>
      <c r="CD270" s="7">
        <v>0.878796910750134</v>
      </c>
      <c r="CE270" s="7">
        <v>0</v>
      </c>
      <c r="CF270" s="7">
        <v>2.0066098024948902</v>
      </c>
      <c r="CG270" s="7">
        <v>18.2839059198934</v>
      </c>
      <c r="CH270" s="7">
        <v>38.867216606909601</v>
      </c>
      <c r="CI270" s="7">
        <v>88.2471091912753</v>
      </c>
      <c r="CJ270" s="7">
        <v>0</v>
      </c>
      <c r="CK270" s="7">
        <v>2.0443049626116601E-2</v>
      </c>
      <c r="CL270" s="7">
        <v>7.35756927581461E-2</v>
      </c>
      <c r="CM270" s="7">
        <v>0.46256344621426598</v>
      </c>
      <c r="CN270" s="7">
        <v>0</v>
      </c>
      <c r="CO270" s="7">
        <v>1.02215248130583</v>
      </c>
      <c r="CP270" s="7">
        <v>4.1341947700156902</v>
      </c>
      <c r="CQ270" s="7">
        <v>23.216712105406199</v>
      </c>
      <c r="CR270" s="7">
        <v>31.662763858727001</v>
      </c>
      <c r="CS270" s="7">
        <v>1.40436387225724E-2</v>
      </c>
      <c r="CT270" s="7">
        <v>0.59045523480578199</v>
      </c>
      <c r="CU270" s="7">
        <v>3.7180489686428899</v>
      </c>
      <c r="CV270" s="7">
        <v>9.0360470926512004</v>
      </c>
      <c r="CW270" s="7">
        <v>0.70218193612861901</v>
      </c>
      <c r="CX270" s="7">
        <v>32.971868890973298</v>
      </c>
      <c r="CY270" s="7">
        <v>96.667923172003896</v>
      </c>
      <c r="CZ270" s="7">
        <v>100</v>
      </c>
      <c r="DA270" s="9">
        <v>119.04640455168099</v>
      </c>
      <c r="DB270" s="9">
        <v>0</v>
      </c>
      <c r="DC270" s="9">
        <v>0</v>
      </c>
      <c r="DD270" s="9">
        <v>0</v>
      </c>
      <c r="DE270" s="9">
        <v>5.34745294679723E-3</v>
      </c>
      <c r="DF270" s="9">
        <v>0</v>
      </c>
      <c r="DG270" s="9">
        <v>0</v>
      </c>
      <c r="DH270" s="9">
        <v>0</v>
      </c>
      <c r="DI270" s="9">
        <v>0.26737264733986099</v>
      </c>
    </row>
    <row r="271" spans="1:113">
      <c r="A271" s="5" t="s">
        <v>610</v>
      </c>
      <c r="B271" s="5" t="s">
        <v>657</v>
      </c>
      <c r="C271" s="5" t="s">
        <v>658</v>
      </c>
      <c r="D271" s="6">
        <v>985454</v>
      </c>
      <c r="E271" s="7">
        <v>10.545631066636499</v>
      </c>
      <c r="F271" s="7">
        <v>2.34909087588056</v>
      </c>
      <c r="G271" s="7">
        <v>7.9911451980508499</v>
      </c>
      <c r="H271" s="7">
        <v>9.3812232737398205</v>
      </c>
      <c r="I271" s="7">
        <v>9.7244508622421808</v>
      </c>
      <c r="J271" s="7">
        <v>81.757240825040995</v>
      </c>
      <c r="K271" s="7">
        <v>95.676003141699198</v>
      </c>
      <c r="L271" s="7">
        <v>98.434325701656306</v>
      </c>
      <c r="M271" s="7">
        <v>99.090064071991193</v>
      </c>
      <c r="N271" s="7">
        <v>9.4787438002730298</v>
      </c>
      <c r="O271" s="7">
        <v>5.3808427384738398</v>
      </c>
      <c r="P271" s="7">
        <v>8.7732040257586892</v>
      </c>
      <c r="Q271" s="7">
        <v>9.65152508386997</v>
      </c>
      <c r="R271" s="7">
        <v>9.9598083725876592</v>
      </c>
      <c r="S271" s="7">
        <v>90.123942873031098</v>
      </c>
      <c r="T271" s="7">
        <v>98.510635706993895</v>
      </c>
      <c r="U271" s="7">
        <v>99.943376352422305</v>
      </c>
      <c r="V271" s="7">
        <v>100</v>
      </c>
      <c r="W271" s="7">
        <v>7.3727223314886299</v>
      </c>
      <c r="X271" s="7">
        <v>8.6618441855226092</v>
      </c>
      <c r="Y271" s="7">
        <v>10</v>
      </c>
      <c r="Z271" s="7">
        <v>10</v>
      </c>
      <c r="AA271" s="7">
        <v>10</v>
      </c>
      <c r="AB271" s="7">
        <v>98.277849600285805</v>
      </c>
      <c r="AC271" s="7">
        <v>100</v>
      </c>
      <c r="AD271" s="7">
        <v>100</v>
      </c>
      <c r="AE271" s="7">
        <v>100</v>
      </c>
      <c r="AF271" s="6">
        <v>13.384605069628201</v>
      </c>
      <c r="AG271" s="6">
        <v>1.89051340803325</v>
      </c>
      <c r="AH271" s="6">
        <v>5.4521367816255202</v>
      </c>
      <c r="AI271" s="6">
        <v>7.4174715410359102</v>
      </c>
      <c r="AJ271" s="6">
        <v>8.1588415085838601</v>
      </c>
      <c r="AK271" s="6">
        <v>78.597580404564795</v>
      </c>
      <c r="AL271" s="6">
        <v>89.811295098502796</v>
      </c>
      <c r="AM271" s="6">
        <v>93.413188236082107</v>
      </c>
      <c r="AN271" s="6">
        <v>96.418605028748203</v>
      </c>
      <c r="AO271" s="6">
        <v>12.429465540499599</v>
      </c>
      <c r="AP271" s="7">
        <v>1.3536390333795401</v>
      </c>
      <c r="AQ271" s="7">
        <v>7.20275629303854</v>
      </c>
      <c r="AR271" s="7">
        <v>9.3794261325236903</v>
      </c>
      <c r="AS271" s="7">
        <v>9.7369324189662798</v>
      </c>
      <c r="AT271" s="7">
        <v>70.190084976061797</v>
      </c>
      <c r="AU271" s="7">
        <v>97.319103682160701</v>
      </c>
      <c r="AV271" s="7">
        <v>98.944953290564598</v>
      </c>
      <c r="AW271" s="7">
        <v>99.388200768376805</v>
      </c>
      <c r="AX271" s="7">
        <v>10.132983110010599</v>
      </c>
      <c r="AY271" s="7">
        <v>3.41552117095268</v>
      </c>
      <c r="AZ271" s="7">
        <v>8.5001309041315007</v>
      </c>
      <c r="BA271" s="7">
        <v>9.6916629289647194</v>
      </c>
      <c r="BB271" s="7">
        <v>9.9507546775394893</v>
      </c>
      <c r="BC271" s="7">
        <v>90.369819392888999</v>
      </c>
      <c r="BD271" s="7">
        <v>99.656706452051594</v>
      </c>
      <c r="BE271" s="7">
        <v>100</v>
      </c>
      <c r="BF271" s="7">
        <v>100</v>
      </c>
      <c r="BG271" s="7">
        <v>7.7435115505335697</v>
      </c>
      <c r="BH271" s="7">
        <v>8.2788308738916303</v>
      </c>
      <c r="BI271" s="7">
        <v>9.9766858727043601</v>
      </c>
      <c r="BJ271" s="7">
        <v>10</v>
      </c>
      <c r="BK271" s="7">
        <v>10</v>
      </c>
      <c r="BL271" s="7">
        <v>99.369326219184202</v>
      </c>
      <c r="BM271" s="7">
        <v>100</v>
      </c>
      <c r="BN271" s="7">
        <v>100</v>
      </c>
      <c r="BO271" s="7">
        <v>100</v>
      </c>
      <c r="BP271" s="6">
        <v>15.3766532031444</v>
      </c>
      <c r="BQ271" s="6">
        <v>1.0870451588810801</v>
      </c>
      <c r="BR271" s="6">
        <v>3.4089089901710299</v>
      </c>
      <c r="BS271" s="6">
        <v>5.8622249237407296</v>
      </c>
      <c r="BT271" s="6">
        <v>7.3826551011006103</v>
      </c>
      <c r="BU271" s="6">
        <v>63.355976027293003</v>
      </c>
      <c r="BV271" s="6">
        <v>89.853103239725002</v>
      </c>
      <c r="BW271" s="6">
        <v>94.974397587304907</v>
      </c>
      <c r="BX271" s="6">
        <v>98.446502830167603</v>
      </c>
      <c r="BY271" s="6" t="str">
        <f>TRIM(Table1[[#This Row],[LA_Name]])</f>
        <v>Hampshire</v>
      </c>
      <c r="BZ271" s="7">
        <v>35.948457625193299</v>
      </c>
      <c r="CA271" s="7">
        <v>0.136405149301743</v>
      </c>
      <c r="CB271" s="7">
        <v>0.95440172752863195</v>
      </c>
      <c r="CC271" s="7">
        <v>2.9673673251110699</v>
      </c>
      <c r="CD271" s="7">
        <v>6.1278872479080704</v>
      </c>
      <c r="CE271" s="7">
        <v>11.133650073976099</v>
      </c>
      <c r="CF271" s="7">
        <v>43.563068392842297</v>
      </c>
      <c r="CG271" s="7">
        <v>72.368370314596106</v>
      </c>
      <c r="CH271" s="7">
        <v>90.811443253566395</v>
      </c>
      <c r="CI271" s="7">
        <v>34.014651597682899</v>
      </c>
      <c r="CJ271" s="7">
        <v>0.35126652284124898</v>
      </c>
      <c r="CK271" s="7">
        <v>1.47472332549262</v>
      </c>
      <c r="CL271" s="7">
        <v>3.0117620913812302</v>
      </c>
      <c r="CM271" s="7">
        <v>4.7903250684456102</v>
      </c>
      <c r="CN271" s="7">
        <v>20.903969135038299</v>
      </c>
      <c r="CO271" s="7">
        <v>54.329983946485598</v>
      </c>
      <c r="CP271" s="7">
        <v>74.143085319050897</v>
      </c>
      <c r="CQ271" s="7">
        <v>86.056173093822693</v>
      </c>
      <c r="CR271" s="7">
        <v>17.048309807366302</v>
      </c>
      <c r="CS271" s="7">
        <v>1.11768179945487</v>
      </c>
      <c r="CT271" s="7">
        <v>6.5920641653491696</v>
      </c>
      <c r="CU271" s="7">
        <v>9.77268954207908</v>
      </c>
      <c r="CV271" s="7">
        <v>10</v>
      </c>
      <c r="CW271" s="7">
        <v>46.662959407542097</v>
      </c>
      <c r="CX271" s="7">
        <v>93.300245369139503</v>
      </c>
      <c r="CY271" s="7">
        <v>100</v>
      </c>
      <c r="CZ271" s="7">
        <v>100</v>
      </c>
      <c r="DA271" s="9">
        <v>71.914653063788407</v>
      </c>
      <c r="DB271" s="9">
        <v>0.106066848376484</v>
      </c>
      <c r="DC271" s="9">
        <v>0.35341477126278897</v>
      </c>
      <c r="DD271" s="9">
        <v>0.681564030385995</v>
      </c>
      <c r="DE271" s="9">
        <v>1.02109180134233</v>
      </c>
      <c r="DF271" s="9">
        <v>8.5889346433217604</v>
      </c>
      <c r="DG271" s="9">
        <v>20.801376827330301</v>
      </c>
      <c r="DH271" s="9">
        <v>32.200894207136997</v>
      </c>
      <c r="DI271" s="9">
        <v>42.299894261934099</v>
      </c>
    </row>
    <row r="272" spans="1:113">
      <c r="A272" s="5" t="s">
        <v>610</v>
      </c>
      <c r="B272" s="5" t="s">
        <v>659</v>
      </c>
      <c r="C272" s="5" t="s">
        <v>660</v>
      </c>
      <c r="D272" s="6">
        <v>127465</v>
      </c>
      <c r="E272" s="7">
        <v>10.6884643380178</v>
      </c>
      <c r="F272" s="7">
        <v>2.3516494724041901</v>
      </c>
      <c r="G272" s="7">
        <v>7.8666849723453502</v>
      </c>
      <c r="H272" s="7">
        <v>9.3157886478641192</v>
      </c>
      <c r="I272" s="7">
        <v>9.5592672498332902</v>
      </c>
      <c r="J272" s="7">
        <v>83.8002588945985</v>
      </c>
      <c r="K272" s="7">
        <v>95.021378417604794</v>
      </c>
      <c r="L272" s="7">
        <v>96.851684776213105</v>
      </c>
      <c r="M272" s="7">
        <v>98.136743419762297</v>
      </c>
      <c r="N272" s="7">
        <v>9.1835915019614802</v>
      </c>
      <c r="O272" s="7">
        <v>4.9628525477582102</v>
      </c>
      <c r="P272" s="7">
        <v>8.8212372023692804</v>
      </c>
      <c r="Q272" s="7">
        <v>9.7760640175734501</v>
      </c>
      <c r="R272" s="7">
        <v>10</v>
      </c>
      <c r="S272" s="7">
        <v>92.346134232926701</v>
      </c>
      <c r="T272" s="7">
        <v>99.366885027262398</v>
      </c>
      <c r="U272" s="7">
        <v>100</v>
      </c>
      <c r="V272" s="7">
        <v>100</v>
      </c>
      <c r="W272" s="7">
        <v>7.2650811573656</v>
      </c>
      <c r="X272" s="7">
        <v>8.8361511003020397</v>
      </c>
      <c r="Y272" s="7">
        <v>10</v>
      </c>
      <c r="Z272" s="7">
        <v>10</v>
      </c>
      <c r="AA272" s="7">
        <v>10</v>
      </c>
      <c r="AB272" s="7">
        <v>99.230376966226004</v>
      </c>
      <c r="AC272" s="7">
        <v>100</v>
      </c>
      <c r="AD272" s="7">
        <v>100</v>
      </c>
      <c r="AE272" s="7">
        <v>100</v>
      </c>
      <c r="AF272" s="6">
        <v>11.9852109033499</v>
      </c>
      <c r="AG272" s="6">
        <v>1.91002235907896</v>
      </c>
      <c r="AH272" s="6">
        <v>5.5360608794571098</v>
      </c>
      <c r="AI272" s="6">
        <v>7.4851449417487199</v>
      </c>
      <c r="AJ272" s="6">
        <v>8.2518103008669108</v>
      </c>
      <c r="AK272" s="6">
        <v>79.893304044247401</v>
      </c>
      <c r="AL272" s="6">
        <v>91.301141489820694</v>
      </c>
      <c r="AM272" s="6">
        <v>95.174361589455899</v>
      </c>
      <c r="AN272" s="6">
        <v>97.854312948652606</v>
      </c>
      <c r="AO272" s="6">
        <v>14.0073679081185</v>
      </c>
      <c r="AP272" s="7">
        <v>1.1759306476287601</v>
      </c>
      <c r="AQ272" s="7">
        <v>6.7142352802730203</v>
      </c>
      <c r="AR272" s="7">
        <v>9.0870591927195701</v>
      </c>
      <c r="AS272" s="7">
        <v>9.4552230023928097</v>
      </c>
      <c r="AT272" s="7">
        <v>66.180520142784303</v>
      </c>
      <c r="AU272" s="7">
        <v>94.382771741262303</v>
      </c>
      <c r="AV272" s="7">
        <v>97.483230690777901</v>
      </c>
      <c r="AW272" s="7">
        <v>98.456831287019995</v>
      </c>
      <c r="AX272" s="7">
        <v>10.7979188120604</v>
      </c>
      <c r="AY272" s="7">
        <v>2.7980229867022302</v>
      </c>
      <c r="AZ272" s="7">
        <v>7.6985682344172899</v>
      </c>
      <c r="BA272" s="7">
        <v>9.5449574392970593</v>
      </c>
      <c r="BB272" s="7">
        <v>10</v>
      </c>
      <c r="BC272" s="7">
        <v>87.9127603655906</v>
      </c>
      <c r="BD272" s="7">
        <v>99.441415290471895</v>
      </c>
      <c r="BE272" s="7">
        <v>100</v>
      </c>
      <c r="BF272" s="7">
        <v>100</v>
      </c>
      <c r="BG272" s="7">
        <v>8.1130055286069407</v>
      </c>
      <c r="BH272" s="7">
        <v>7.53850861020672</v>
      </c>
      <c r="BI272" s="7">
        <v>10</v>
      </c>
      <c r="BJ272" s="7">
        <v>10</v>
      </c>
      <c r="BK272" s="7">
        <v>10</v>
      </c>
      <c r="BL272" s="7">
        <v>98.770642921586301</v>
      </c>
      <c r="BM272" s="7">
        <v>100</v>
      </c>
      <c r="BN272" s="7">
        <v>100</v>
      </c>
      <c r="BO272" s="7">
        <v>100</v>
      </c>
      <c r="BP272" s="6">
        <v>16.891440475034699</v>
      </c>
      <c r="BQ272" s="6">
        <v>0.91376456282116703</v>
      </c>
      <c r="BR272" s="6">
        <v>3.1847722904326701</v>
      </c>
      <c r="BS272" s="6">
        <v>5.74101910328325</v>
      </c>
      <c r="BT272" s="6">
        <v>6.9475228494096397</v>
      </c>
      <c r="BU272" s="6">
        <v>58.098301494527902</v>
      </c>
      <c r="BV272" s="6">
        <v>87.715059035813795</v>
      </c>
      <c r="BW272" s="6">
        <v>91.782057819793707</v>
      </c>
      <c r="BX272" s="6">
        <v>97.7813517436159</v>
      </c>
      <c r="BY272" s="6" t="str">
        <f>TRIM(Table1[[#This Row],[LA_Name]])</f>
        <v>Basingstoke and Deane</v>
      </c>
      <c r="BZ272" s="7">
        <v>27.42277829775</v>
      </c>
      <c r="CA272" s="7">
        <v>0.294449456713608</v>
      </c>
      <c r="CB272" s="7">
        <v>2.09540658219903</v>
      </c>
      <c r="CC272" s="7">
        <v>4.6621033224806796</v>
      </c>
      <c r="CD272" s="7">
        <v>7.6489389244106203</v>
      </c>
      <c r="CE272" s="7">
        <v>23.271486290354201</v>
      </c>
      <c r="CF272" s="7">
        <v>69.875652139803094</v>
      </c>
      <c r="CG272" s="7">
        <v>91.6196602989056</v>
      </c>
      <c r="CH272" s="7">
        <v>94.248617267485201</v>
      </c>
      <c r="CI272" s="7">
        <v>21.165851549338502</v>
      </c>
      <c r="CJ272" s="7">
        <v>0.80201623975208902</v>
      </c>
      <c r="CK272" s="7">
        <v>3.1562468128505898</v>
      </c>
      <c r="CL272" s="7">
        <v>4.1941081865610199</v>
      </c>
      <c r="CM272" s="7">
        <v>5.2046522574824499</v>
      </c>
      <c r="CN272" s="7">
        <v>36.697917075275598</v>
      </c>
      <c r="CO272" s="7">
        <v>80.1247401247401</v>
      </c>
      <c r="CP272" s="7">
        <v>95.128858902443795</v>
      </c>
      <c r="CQ272" s="7">
        <v>99.864276468050093</v>
      </c>
      <c r="CR272" s="7">
        <v>12.5957601380321</v>
      </c>
      <c r="CS272" s="7">
        <v>2.7388616482956101</v>
      </c>
      <c r="CT272" s="7">
        <v>7.37217275330483</v>
      </c>
      <c r="CU272" s="7">
        <v>10</v>
      </c>
      <c r="CV272" s="7">
        <v>10</v>
      </c>
      <c r="CW272" s="7">
        <v>74.063468403091093</v>
      </c>
      <c r="CX272" s="7">
        <v>100</v>
      </c>
      <c r="CY272" s="7">
        <v>100</v>
      </c>
      <c r="CZ272" s="7">
        <v>100</v>
      </c>
      <c r="DA272" s="9">
        <v>48.173845096335498</v>
      </c>
      <c r="DB272" s="9">
        <v>0.243494292550896</v>
      </c>
      <c r="DC272" s="9">
        <v>0.87281214451025801</v>
      </c>
      <c r="DD272" s="9">
        <v>1.7002706625348101</v>
      </c>
      <c r="DE272" s="9">
        <v>2.49021299964696</v>
      </c>
      <c r="DF272" s="9">
        <v>20.149060526418999</v>
      </c>
      <c r="DG272" s="9">
        <v>37.600910053740201</v>
      </c>
      <c r="DH272" s="9">
        <v>54.431412544620102</v>
      </c>
      <c r="DI272" s="9">
        <v>66.066763425253995</v>
      </c>
    </row>
    <row r="273" spans="1:113">
      <c r="A273" s="5" t="s">
        <v>610</v>
      </c>
      <c r="B273" s="5" t="s">
        <v>661</v>
      </c>
      <c r="C273" s="5" t="s">
        <v>662</v>
      </c>
      <c r="D273" s="6">
        <v>86505</v>
      </c>
      <c r="E273" s="7">
        <v>16.1076213739377</v>
      </c>
      <c r="F273" s="7">
        <v>1.4246575342465799</v>
      </c>
      <c r="G273" s="7">
        <v>5.4265764984683003</v>
      </c>
      <c r="H273" s="7">
        <v>8.4095370209814497</v>
      </c>
      <c r="I273" s="7">
        <v>9.3105138431304493</v>
      </c>
      <c r="J273" s="7">
        <v>56.977053349517398</v>
      </c>
      <c r="K273" s="7">
        <v>87.493208485058702</v>
      </c>
      <c r="L273" s="7">
        <v>96.212935668458499</v>
      </c>
      <c r="M273" s="7">
        <v>97.813999190798199</v>
      </c>
      <c r="N273" s="7">
        <v>11.6911121061045</v>
      </c>
      <c r="O273" s="7">
        <v>2.9440263568579899</v>
      </c>
      <c r="P273" s="7">
        <v>5.9399225478295996</v>
      </c>
      <c r="Q273" s="7">
        <v>8.2548060805733794</v>
      </c>
      <c r="R273" s="7">
        <v>9.7608924339633507</v>
      </c>
      <c r="S273" s="7">
        <v>78.951505693312498</v>
      </c>
      <c r="T273" s="7">
        <v>96.6025085255188</v>
      </c>
      <c r="U273" s="7">
        <v>100</v>
      </c>
      <c r="V273" s="7">
        <v>100</v>
      </c>
      <c r="W273" s="7">
        <v>8.3014486076666305</v>
      </c>
      <c r="X273" s="7">
        <v>6.1141552511415496</v>
      </c>
      <c r="Y273" s="7">
        <v>10</v>
      </c>
      <c r="Z273" s="7">
        <v>10</v>
      </c>
      <c r="AA273" s="7">
        <v>10</v>
      </c>
      <c r="AB273" s="7">
        <v>95.682330501127097</v>
      </c>
      <c r="AC273" s="7">
        <v>100</v>
      </c>
      <c r="AD273" s="7">
        <v>100</v>
      </c>
      <c r="AE273" s="7">
        <v>100</v>
      </c>
      <c r="AF273" s="6">
        <v>20.783860101303301</v>
      </c>
      <c r="AG273" s="6">
        <v>1.1872955320501699</v>
      </c>
      <c r="AH273" s="6">
        <v>2.8689555517022098</v>
      </c>
      <c r="AI273" s="6">
        <v>4.0232818912201598</v>
      </c>
      <c r="AJ273" s="6">
        <v>4.90708051557713</v>
      </c>
      <c r="AK273" s="6">
        <v>55.4557540026588</v>
      </c>
      <c r="AL273" s="6">
        <v>77.143517715738994</v>
      </c>
      <c r="AM273" s="6">
        <v>87.253915958615096</v>
      </c>
      <c r="AN273" s="6">
        <v>93.043176694988702</v>
      </c>
      <c r="AO273" s="6">
        <v>14.550254781290301</v>
      </c>
      <c r="AP273" s="7">
        <v>1.1535171377377</v>
      </c>
      <c r="AQ273" s="7">
        <v>5.2524593954106704</v>
      </c>
      <c r="AR273" s="7">
        <v>9.1051499913299807</v>
      </c>
      <c r="AS273" s="7">
        <v>9.6158025547656205</v>
      </c>
      <c r="AT273" s="7">
        <v>54.026934859256698</v>
      </c>
      <c r="AU273" s="7">
        <v>96.081151378532994</v>
      </c>
      <c r="AV273" s="7">
        <v>98.393156464944198</v>
      </c>
      <c r="AW273" s="7">
        <v>99.789607537136604</v>
      </c>
      <c r="AX273" s="7">
        <v>11.8265282723361</v>
      </c>
      <c r="AY273" s="7">
        <v>2.4413964510721899</v>
      </c>
      <c r="AZ273" s="7">
        <v>6.1215999075198004</v>
      </c>
      <c r="BA273" s="7">
        <v>9.8646552222414901</v>
      </c>
      <c r="BB273" s="7">
        <v>10</v>
      </c>
      <c r="BC273" s="7">
        <v>73.568001849604101</v>
      </c>
      <c r="BD273" s="7">
        <v>99.342234552915997</v>
      </c>
      <c r="BE273" s="7">
        <v>100</v>
      </c>
      <c r="BF273" s="7">
        <v>100</v>
      </c>
      <c r="BG273" s="7">
        <v>8.1858845081035003</v>
      </c>
      <c r="BH273" s="7">
        <v>6.5027455060401103</v>
      </c>
      <c r="BI273" s="7">
        <v>10</v>
      </c>
      <c r="BJ273" s="7">
        <v>10</v>
      </c>
      <c r="BK273" s="7">
        <v>10</v>
      </c>
      <c r="BL273" s="7">
        <v>99.514478931853603</v>
      </c>
      <c r="BM273" s="7">
        <v>100</v>
      </c>
      <c r="BN273" s="7">
        <v>100</v>
      </c>
      <c r="BO273" s="7">
        <v>100</v>
      </c>
      <c r="BP273" s="6">
        <v>21.1244084639123</v>
      </c>
      <c r="BQ273" s="6">
        <v>0.98019767643488798</v>
      </c>
      <c r="BR273" s="6">
        <v>2.3741517831339198</v>
      </c>
      <c r="BS273" s="6">
        <v>3.3841049650309198</v>
      </c>
      <c r="BT273" s="6">
        <v>4.3426507138315698</v>
      </c>
      <c r="BU273" s="6">
        <v>48.928963643720003</v>
      </c>
      <c r="BV273" s="6">
        <v>72.1426507138316</v>
      </c>
      <c r="BW273" s="6">
        <v>87.438876365528003</v>
      </c>
      <c r="BX273" s="6">
        <v>97.522686549910404</v>
      </c>
      <c r="BY273" s="6" t="str">
        <f>TRIM(Table1[[#This Row],[LA_Name]])</f>
        <v>East Hampshire</v>
      </c>
      <c r="BZ273" s="7">
        <v>58.839406073274603</v>
      </c>
      <c r="CA273" s="7">
        <v>0</v>
      </c>
      <c r="CB273" s="7">
        <v>2.29119704063349E-2</v>
      </c>
      <c r="CC273" s="7">
        <v>0.48828391422461098</v>
      </c>
      <c r="CD273" s="7">
        <v>2.3873880122536302</v>
      </c>
      <c r="CE273" s="7">
        <v>0</v>
      </c>
      <c r="CF273" s="7">
        <v>2.2911970406334898</v>
      </c>
      <c r="CG273" s="7">
        <v>23.935032657071801</v>
      </c>
      <c r="CH273" s="7">
        <v>62.432229350904599</v>
      </c>
      <c r="CI273" s="7">
        <v>76.148658154252104</v>
      </c>
      <c r="CJ273" s="7">
        <v>0</v>
      </c>
      <c r="CK273" s="7">
        <v>4.0575689266516397E-2</v>
      </c>
      <c r="CL273" s="7">
        <v>0.41142130512687097</v>
      </c>
      <c r="CM273" s="7">
        <v>0.738361944396278</v>
      </c>
      <c r="CN273" s="7">
        <v>0</v>
      </c>
      <c r="CO273" s="7">
        <v>2.14554072018958</v>
      </c>
      <c r="CP273" s="7">
        <v>12.810820183804401</v>
      </c>
      <c r="CQ273" s="7">
        <v>19.185018207040098</v>
      </c>
      <c r="CR273" s="7">
        <v>26.236264633111201</v>
      </c>
      <c r="CS273" s="7">
        <v>2.8992543783596302E-2</v>
      </c>
      <c r="CT273" s="7">
        <v>2.8769319692503301</v>
      </c>
      <c r="CU273" s="7">
        <v>9.9710421362927004</v>
      </c>
      <c r="CV273" s="7">
        <v>10</v>
      </c>
      <c r="CW273" s="7">
        <v>2.0738685625108402</v>
      </c>
      <c r="CX273" s="7">
        <v>69.755505462111998</v>
      </c>
      <c r="CY273" s="7">
        <v>100</v>
      </c>
      <c r="CZ273" s="7">
        <v>100</v>
      </c>
      <c r="DA273" s="9">
        <v>117.86020495116701</v>
      </c>
      <c r="DB273" s="9">
        <v>0</v>
      </c>
      <c r="DC273" s="9">
        <v>0</v>
      </c>
      <c r="DD273" s="9">
        <v>0</v>
      </c>
      <c r="DE273" s="9">
        <v>1.1155424541934E-2</v>
      </c>
      <c r="DF273" s="9">
        <v>0</v>
      </c>
      <c r="DG273" s="9">
        <v>0</v>
      </c>
      <c r="DH273" s="9">
        <v>0</v>
      </c>
      <c r="DI273" s="9">
        <v>0.825385815848795</v>
      </c>
    </row>
    <row r="274" spans="1:113">
      <c r="A274" s="5" t="s">
        <v>610</v>
      </c>
      <c r="B274" s="5" t="s">
        <v>663</v>
      </c>
      <c r="C274" s="5" t="s">
        <v>664</v>
      </c>
      <c r="D274" s="6">
        <v>95596</v>
      </c>
      <c r="E274" s="7">
        <v>8.4407893574052597</v>
      </c>
      <c r="F274" s="7">
        <v>2.4686074731160299</v>
      </c>
      <c r="G274" s="7">
        <v>9.6090108372735301</v>
      </c>
      <c r="H274" s="7">
        <v>10</v>
      </c>
      <c r="I274" s="7">
        <v>10</v>
      </c>
      <c r="J274" s="7">
        <v>88.523578392401404</v>
      </c>
      <c r="K274" s="7">
        <v>99.801246914096794</v>
      </c>
      <c r="L274" s="7">
        <v>100</v>
      </c>
      <c r="M274" s="7">
        <v>100</v>
      </c>
      <c r="N274" s="7">
        <v>8.3062037281114307</v>
      </c>
      <c r="O274" s="7">
        <v>5.7832022260345601</v>
      </c>
      <c r="P274" s="7">
        <v>9.9886396920373208</v>
      </c>
      <c r="Q274" s="7">
        <v>10</v>
      </c>
      <c r="R274" s="7">
        <v>10</v>
      </c>
      <c r="S274" s="7">
        <v>95.820954851667395</v>
      </c>
      <c r="T274" s="7">
        <v>100</v>
      </c>
      <c r="U274" s="7">
        <v>100</v>
      </c>
      <c r="V274" s="7">
        <v>100</v>
      </c>
      <c r="W274" s="7">
        <v>6.9761475163367201</v>
      </c>
      <c r="X274" s="7">
        <v>9.8297104481359092</v>
      </c>
      <c r="Y274" s="7">
        <v>10</v>
      </c>
      <c r="Z274" s="7">
        <v>10</v>
      </c>
      <c r="AA274" s="7">
        <v>10</v>
      </c>
      <c r="AB274" s="7">
        <v>100</v>
      </c>
      <c r="AC274" s="7">
        <v>100</v>
      </c>
      <c r="AD274" s="7">
        <v>100</v>
      </c>
      <c r="AE274" s="7">
        <v>100</v>
      </c>
      <c r="AF274" s="6">
        <v>9.4868786253494601</v>
      </c>
      <c r="AG274" s="6">
        <v>1.9240240177413299</v>
      </c>
      <c r="AH274" s="6">
        <v>5.8193020628478198</v>
      </c>
      <c r="AI274" s="6">
        <v>9.3379639315452501</v>
      </c>
      <c r="AJ274" s="6">
        <v>9.7395183898907902</v>
      </c>
      <c r="AK274" s="6">
        <v>85.727436294405607</v>
      </c>
      <c r="AL274" s="6">
        <v>96.341897150508402</v>
      </c>
      <c r="AM274" s="6">
        <v>99.108749320055196</v>
      </c>
      <c r="AN274" s="6">
        <v>100</v>
      </c>
      <c r="AO274" s="6">
        <v>9.5433366374606798</v>
      </c>
      <c r="AP274" s="7">
        <v>1.7627097368090701</v>
      </c>
      <c r="AQ274" s="7">
        <v>9.2590275743754997</v>
      </c>
      <c r="AR274" s="7">
        <v>9.9960249382819395</v>
      </c>
      <c r="AS274" s="7">
        <v>10</v>
      </c>
      <c r="AT274" s="7">
        <v>87.029792041508003</v>
      </c>
      <c r="AU274" s="7">
        <v>100</v>
      </c>
      <c r="AV274" s="7">
        <v>100</v>
      </c>
      <c r="AW274" s="7">
        <v>100</v>
      </c>
      <c r="AX274" s="7">
        <v>8.6625634953189508</v>
      </c>
      <c r="AY274" s="7">
        <v>4.1609899995815702</v>
      </c>
      <c r="AZ274" s="7">
        <v>9.9795388928407007</v>
      </c>
      <c r="BA274" s="7">
        <v>10</v>
      </c>
      <c r="BB274" s="7">
        <v>10</v>
      </c>
      <c r="BC274" s="7">
        <v>99.019833465835404</v>
      </c>
      <c r="BD274" s="7">
        <v>100</v>
      </c>
      <c r="BE274" s="7">
        <v>100</v>
      </c>
      <c r="BF274" s="7">
        <v>100</v>
      </c>
      <c r="BG274" s="7">
        <v>7.1431984461033702</v>
      </c>
      <c r="BH274" s="7">
        <v>9.4627076446713208</v>
      </c>
      <c r="BI274" s="7">
        <v>10</v>
      </c>
      <c r="BJ274" s="7">
        <v>10</v>
      </c>
      <c r="BK274" s="7">
        <v>10</v>
      </c>
      <c r="BL274" s="7">
        <v>100</v>
      </c>
      <c r="BM274" s="7">
        <v>100</v>
      </c>
      <c r="BN274" s="7">
        <v>100</v>
      </c>
      <c r="BO274" s="7">
        <v>100</v>
      </c>
      <c r="BP274" s="6">
        <v>10.6875481268551</v>
      </c>
      <c r="BQ274" s="6">
        <v>1.38482781706348</v>
      </c>
      <c r="BR274" s="6">
        <v>4.29309803757479</v>
      </c>
      <c r="BS274" s="6">
        <v>7.8240930582869597</v>
      </c>
      <c r="BT274" s="6">
        <v>9.4745282229382006</v>
      </c>
      <c r="BU274" s="6">
        <v>78.653918573998894</v>
      </c>
      <c r="BV274" s="6">
        <v>99.412109293275904</v>
      </c>
      <c r="BW274" s="6">
        <v>100</v>
      </c>
      <c r="BX274" s="6">
        <v>100</v>
      </c>
      <c r="BY274" s="6" t="str">
        <f>TRIM(Table1[[#This Row],[LA_Name]])</f>
        <v>Eastleigh</v>
      </c>
      <c r="BZ274" s="7">
        <v>25.4350576225577</v>
      </c>
      <c r="CA274" s="7">
        <v>0.28385078873593</v>
      </c>
      <c r="CB274" s="7">
        <v>1.3647119126323299</v>
      </c>
      <c r="CC274" s="7">
        <v>4.6539813381312998</v>
      </c>
      <c r="CD274" s="7">
        <v>8.5479308757688592</v>
      </c>
      <c r="CE274" s="7">
        <v>23.566885643750801</v>
      </c>
      <c r="CF274" s="7">
        <v>61.736892757019099</v>
      </c>
      <c r="CG274" s="7">
        <v>96.634796434997298</v>
      </c>
      <c r="CH274" s="7">
        <v>100</v>
      </c>
      <c r="CI274" s="7">
        <v>21.155972335108</v>
      </c>
      <c r="CJ274" s="7">
        <v>0.64971337712874999</v>
      </c>
      <c r="CK274" s="7">
        <v>2.2686932507636302</v>
      </c>
      <c r="CL274" s="7">
        <v>7.0075526172643201</v>
      </c>
      <c r="CM274" s="7">
        <v>9.9173291769530092</v>
      </c>
      <c r="CN274" s="7">
        <v>38.071676639189903</v>
      </c>
      <c r="CO274" s="7">
        <v>75.856730407130001</v>
      </c>
      <c r="CP274" s="7">
        <v>100</v>
      </c>
      <c r="CQ274" s="7">
        <v>100</v>
      </c>
      <c r="CR274" s="7">
        <v>13.6482733692094</v>
      </c>
      <c r="CS274" s="7">
        <v>1.32972090882464</v>
      </c>
      <c r="CT274" s="7">
        <v>9.7793526925812806</v>
      </c>
      <c r="CU274" s="7">
        <v>10</v>
      </c>
      <c r="CV274" s="7">
        <v>10</v>
      </c>
      <c r="CW274" s="7">
        <v>50.9780743964183</v>
      </c>
      <c r="CX274" s="7">
        <v>100</v>
      </c>
      <c r="CY274" s="7">
        <v>100</v>
      </c>
      <c r="CZ274" s="7">
        <v>100</v>
      </c>
      <c r="DA274" s="9">
        <v>51.119515639547799</v>
      </c>
      <c r="DB274" s="9">
        <v>0.245303150759446</v>
      </c>
      <c r="DC274" s="9">
        <v>0.61912632327712502</v>
      </c>
      <c r="DD274" s="9">
        <v>1.08507678145529</v>
      </c>
      <c r="DE274" s="9">
        <v>1.41145026988577</v>
      </c>
      <c r="DF274" s="9">
        <v>20.904640361521398</v>
      </c>
      <c r="DG274" s="9">
        <v>36.568475668437998</v>
      </c>
      <c r="DH274" s="9">
        <v>47.2854512741119</v>
      </c>
      <c r="DI274" s="9">
        <v>57.085024478011597</v>
      </c>
    </row>
    <row r="275" spans="1:113">
      <c r="A275" s="5" t="s">
        <v>610</v>
      </c>
      <c r="B275" s="5" t="s">
        <v>665</v>
      </c>
      <c r="C275" s="5" t="s">
        <v>666</v>
      </c>
      <c r="D275" s="6">
        <v>83315</v>
      </c>
      <c r="E275" s="7">
        <v>7.1514489619815098</v>
      </c>
      <c r="F275" s="7">
        <v>3.41634759647122</v>
      </c>
      <c r="G275" s="7">
        <v>9.6550081017823892</v>
      </c>
      <c r="H275" s="7">
        <v>9.9841565144331792</v>
      </c>
      <c r="I275" s="7">
        <v>10</v>
      </c>
      <c r="J275" s="7">
        <v>93.296525235551798</v>
      </c>
      <c r="K275" s="7">
        <v>100</v>
      </c>
      <c r="L275" s="7">
        <v>100</v>
      </c>
      <c r="M275" s="7">
        <v>100</v>
      </c>
      <c r="N275" s="7">
        <v>7.6304635539429997</v>
      </c>
      <c r="O275" s="7">
        <v>7.9747104362959904</v>
      </c>
      <c r="P275" s="7">
        <v>10</v>
      </c>
      <c r="Q275" s="7">
        <v>10</v>
      </c>
      <c r="R275" s="7">
        <v>10</v>
      </c>
      <c r="S275" s="7">
        <v>99.204224929484496</v>
      </c>
      <c r="T275" s="7">
        <v>100</v>
      </c>
      <c r="U275" s="7">
        <v>100</v>
      </c>
      <c r="V275" s="7">
        <v>100</v>
      </c>
      <c r="W275" s="7">
        <v>6.71789786057162</v>
      </c>
      <c r="X275" s="7">
        <v>9.9965192342315294</v>
      </c>
      <c r="Y275" s="7">
        <v>10</v>
      </c>
      <c r="Z275" s="7">
        <v>10</v>
      </c>
      <c r="AA275" s="7">
        <v>10</v>
      </c>
      <c r="AB275" s="7">
        <v>100</v>
      </c>
      <c r="AC275" s="7">
        <v>100</v>
      </c>
      <c r="AD275" s="7">
        <v>100</v>
      </c>
      <c r="AE275" s="7">
        <v>100</v>
      </c>
      <c r="AF275" s="6">
        <v>7.5603902260604903</v>
      </c>
      <c r="AG275" s="6">
        <v>2.7088999579907602</v>
      </c>
      <c r="AH275" s="6">
        <v>7.73139290643942</v>
      </c>
      <c r="AI275" s="6">
        <v>9.7072796015123295</v>
      </c>
      <c r="AJ275" s="6">
        <v>10</v>
      </c>
      <c r="AK275" s="6">
        <v>90.3918862149673</v>
      </c>
      <c r="AL275" s="6">
        <v>99.204224929484496</v>
      </c>
      <c r="AM275" s="6">
        <v>100</v>
      </c>
      <c r="AN275" s="6">
        <v>100</v>
      </c>
      <c r="AO275" s="6">
        <v>12.0983697931216</v>
      </c>
      <c r="AP275" s="7">
        <v>1.2194202724599399</v>
      </c>
      <c r="AQ275" s="7">
        <v>8.0551401308287804</v>
      </c>
      <c r="AR275" s="7">
        <v>9.9820920602532599</v>
      </c>
      <c r="AS275" s="7">
        <v>10</v>
      </c>
      <c r="AT275" s="7">
        <v>67.267598871751801</v>
      </c>
      <c r="AU275" s="7">
        <v>100</v>
      </c>
      <c r="AV275" s="7">
        <v>100</v>
      </c>
      <c r="AW275" s="7">
        <v>100</v>
      </c>
      <c r="AX275" s="7">
        <v>9.8155053579770808</v>
      </c>
      <c r="AY275" s="7">
        <v>3.6591130048610698</v>
      </c>
      <c r="AZ275" s="7">
        <v>9.9340454900078008</v>
      </c>
      <c r="BA275" s="7">
        <v>10</v>
      </c>
      <c r="BB275" s="7">
        <v>10</v>
      </c>
      <c r="BC275" s="7">
        <v>96.099141811198507</v>
      </c>
      <c r="BD275" s="7">
        <v>100</v>
      </c>
      <c r="BE275" s="7">
        <v>100</v>
      </c>
      <c r="BF275" s="7">
        <v>100</v>
      </c>
      <c r="BG275" s="7">
        <v>7.7565848779830002</v>
      </c>
      <c r="BH275" s="7">
        <v>9.0399927984156498</v>
      </c>
      <c r="BI275" s="7">
        <v>10</v>
      </c>
      <c r="BJ275" s="7">
        <v>10</v>
      </c>
      <c r="BK275" s="7">
        <v>10</v>
      </c>
      <c r="BL275" s="7">
        <v>100</v>
      </c>
      <c r="BM275" s="7">
        <v>100</v>
      </c>
      <c r="BN275" s="7">
        <v>100</v>
      </c>
      <c r="BO275" s="7">
        <v>100</v>
      </c>
      <c r="BP275" s="6">
        <v>14.3787004360741</v>
      </c>
      <c r="BQ275" s="6">
        <v>0.98470863589989799</v>
      </c>
      <c r="BR275" s="6">
        <v>3.4065294364760201</v>
      </c>
      <c r="BS275" s="6">
        <v>6.91575346576247</v>
      </c>
      <c r="BT275" s="6">
        <v>8.9795595030906803</v>
      </c>
      <c r="BU275" s="6">
        <v>59.692732401128197</v>
      </c>
      <c r="BV275" s="6">
        <v>95.302166476624905</v>
      </c>
      <c r="BW275" s="6">
        <v>100</v>
      </c>
      <c r="BX275" s="6">
        <v>100</v>
      </c>
      <c r="BY275" s="6" t="str">
        <f>TRIM(Table1[[#This Row],[LA_Name]])</f>
        <v>Fareham</v>
      </c>
      <c r="BZ275" s="7">
        <v>30.2363449497898</v>
      </c>
      <c r="CA275" s="7">
        <v>5.3543779631518899E-2</v>
      </c>
      <c r="CB275" s="7">
        <v>0.95992318310028202</v>
      </c>
      <c r="CC275" s="7">
        <v>4.0623777230990799</v>
      </c>
      <c r="CD275" s="7">
        <v>8.4204404969093201</v>
      </c>
      <c r="CE275" s="7">
        <v>5.3543779631518902</v>
      </c>
      <c r="CF275" s="7">
        <v>52.319510292264297</v>
      </c>
      <c r="CG275" s="7">
        <v>93.206505431194898</v>
      </c>
      <c r="CH275" s="7">
        <v>99.735941907219598</v>
      </c>
      <c r="CI275" s="7">
        <v>21.137419821813499</v>
      </c>
      <c r="CJ275" s="7">
        <v>0.212278701314289</v>
      </c>
      <c r="CK275" s="7">
        <v>1.6506271379703501</v>
      </c>
      <c r="CL275" s="7">
        <v>2.9650243053471801</v>
      </c>
      <c r="CM275" s="7">
        <v>5.6485626837904297</v>
      </c>
      <c r="CN275" s="7">
        <v>15.2577567064754</v>
      </c>
      <c r="CO275" s="7">
        <v>94.913280921802794</v>
      </c>
      <c r="CP275" s="7">
        <v>100</v>
      </c>
      <c r="CQ275" s="7">
        <v>100</v>
      </c>
      <c r="CR275" s="7">
        <v>13.448801299932301</v>
      </c>
      <c r="CS275" s="7">
        <v>1.13296525235552</v>
      </c>
      <c r="CT275" s="7">
        <v>7.6012962851827401</v>
      </c>
      <c r="CU275" s="7">
        <v>10</v>
      </c>
      <c r="CV275" s="7">
        <v>10</v>
      </c>
      <c r="CW275" s="7">
        <v>72.230690751965398</v>
      </c>
      <c r="CX275" s="7">
        <v>100</v>
      </c>
      <c r="CY275" s="7">
        <v>100</v>
      </c>
      <c r="CZ275" s="7">
        <v>100</v>
      </c>
      <c r="DA275" s="9">
        <v>50.9264296740878</v>
      </c>
      <c r="DB275" s="9">
        <v>1.8520074416371601E-2</v>
      </c>
      <c r="DC275" s="9">
        <v>0.19875172537958399</v>
      </c>
      <c r="DD275" s="9">
        <v>0.53795835083718402</v>
      </c>
      <c r="DE275" s="9">
        <v>1.05605233151293</v>
      </c>
      <c r="DF275" s="9">
        <v>1.8520074416371599</v>
      </c>
      <c r="DG275" s="9">
        <v>15.2481545940107</v>
      </c>
      <c r="DH275" s="9">
        <v>35.320170437496301</v>
      </c>
      <c r="DI275" s="9">
        <v>64.284942687391194</v>
      </c>
    </row>
    <row r="276" spans="1:113">
      <c r="A276" s="5" t="s">
        <v>610</v>
      </c>
      <c r="B276" s="5" t="s">
        <v>667</v>
      </c>
      <c r="C276" s="5" t="s">
        <v>668</v>
      </c>
      <c r="D276" s="6">
        <v>61406</v>
      </c>
      <c r="E276" s="7">
        <v>6.2731894362083702</v>
      </c>
      <c r="F276" s="7">
        <v>3.7578575383513</v>
      </c>
      <c r="G276" s="7">
        <v>9.8529133960850697</v>
      </c>
      <c r="H276" s="7">
        <v>10</v>
      </c>
      <c r="I276" s="7">
        <v>10</v>
      </c>
      <c r="J276" s="7">
        <v>100</v>
      </c>
      <c r="K276" s="7">
        <v>100</v>
      </c>
      <c r="L276" s="7">
        <v>100</v>
      </c>
      <c r="M276" s="7">
        <v>100</v>
      </c>
      <c r="N276" s="7">
        <v>7.3447022888049496</v>
      </c>
      <c r="O276" s="7">
        <v>8.1786958929094897</v>
      </c>
      <c r="P276" s="7">
        <v>10</v>
      </c>
      <c r="Q276" s="7">
        <v>10</v>
      </c>
      <c r="R276" s="7">
        <v>10</v>
      </c>
      <c r="S276" s="7">
        <v>100</v>
      </c>
      <c r="T276" s="7">
        <v>100</v>
      </c>
      <c r="U276" s="7">
        <v>100</v>
      </c>
      <c r="V276" s="7">
        <v>100</v>
      </c>
      <c r="W276" s="7">
        <v>6.3707517123209199</v>
      </c>
      <c r="X276" s="7">
        <v>10</v>
      </c>
      <c r="Y276" s="7">
        <v>10</v>
      </c>
      <c r="Z276" s="7">
        <v>10</v>
      </c>
      <c r="AA276" s="7">
        <v>10</v>
      </c>
      <c r="AB276" s="7">
        <v>100</v>
      </c>
      <c r="AC276" s="7">
        <v>100</v>
      </c>
      <c r="AD276" s="7">
        <v>100</v>
      </c>
      <c r="AE276" s="7">
        <v>100</v>
      </c>
      <c r="AF276" s="6">
        <v>6.3802543686912099</v>
      </c>
      <c r="AG276" s="6">
        <v>3.1625248347067099</v>
      </c>
      <c r="AH276" s="6">
        <v>8.3186333583037495</v>
      </c>
      <c r="AI276" s="6">
        <v>9.9966289939093897</v>
      </c>
      <c r="AJ276" s="6">
        <v>10</v>
      </c>
      <c r="AK276" s="6">
        <v>98.475718985115506</v>
      </c>
      <c r="AL276" s="6">
        <v>100</v>
      </c>
      <c r="AM276" s="6">
        <v>100</v>
      </c>
      <c r="AN276" s="6">
        <v>100</v>
      </c>
      <c r="AO276" s="6">
        <v>9.2260150492038004</v>
      </c>
      <c r="AP276" s="7">
        <v>1.98680910660196</v>
      </c>
      <c r="AQ276" s="7">
        <v>9.0763117610656892</v>
      </c>
      <c r="AR276" s="7">
        <v>9.9804579357066103</v>
      </c>
      <c r="AS276" s="7">
        <v>10</v>
      </c>
      <c r="AT276" s="7">
        <v>92.705924502491598</v>
      </c>
      <c r="AU276" s="7">
        <v>100</v>
      </c>
      <c r="AV276" s="7">
        <v>100</v>
      </c>
      <c r="AW276" s="7">
        <v>100</v>
      </c>
      <c r="AX276" s="7">
        <v>8.3589147683700808</v>
      </c>
      <c r="AY276" s="7">
        <v>5.2398788392013804</v>
      </c>
      <c r="AZ276" s="7">
        <v>10</v>
      </c>
      <c r="BA276" s="7">
        <v>10</v>
      </c>
      <c r="BB276" s="7">
        <v>10</v>
      </c>
      <c r="BC276" s="7">
        <v>100</v>
      </c>
      <c r="BD276" s="7">
        <v>100</v>
      </c>
      <c r="BE276" s="7">
        <v>100</v>
      </c>
      <c r="BF276" s="7">
        <v>100</v>
      </c>
      <c r="BG276" s="7">
        <v>6.9646861695064501</v>
      </c>
      <c r="BH276" s="7">
        <v>10</v>
      </c>
      <c r="BI276" s="7">
        <v>10</v>
      </c>
      <c r="BJ276" s="7">
        <v>10</v>
      </c>
      <c r="BK276" s="7">
        <v>10</v>
      </c>
      <c r="BL276" s="7">
        <v>100</v>
      </c>
      <c r="BM276" s="7">
        <v>100</v>
      </c>
      <c r="BN276" s="7">
        <v>100</v>
      </c>
      <c r="BO276" s="7">
        <v>100</v>
      </c>
      <c r="BP276" s="6">
        <v>9.4902327048274895</v>
      </c>
      <c r="BQ276" s="6">
        <v>1.62370126697717</v>
      </c>
      <c r="BR276" s="6">
        <v>5.1237664071914804</v>
      </c>
      <c r="BS276" s="6">
        <v>8.7608702732631993</v>
      </c>
      <c r="BT276" s="6">
        <v>9.8859720548480592</v>
      </c>
      <c r="BU276" s="6">
        <v>88.838224277757902</v>
      </c>
      <c r="BV276" s="6">
        <v>100</v>
      </c>
      <c r="BW276" s="6">
        <v>100</v>
      </c>
      <c r="BX276" s="6">
        <v>100</v>
      </c>
      <c r="BY276" s="6" t="str">
        <f>TRIM(Table1[[#This Row],[LA_Name]])</f>
        <v>Gosport</v>
      </c>
      <c r="BZ276" s="7">
        <v>46.036100348839803</v>
      </c>
      <c r="CA276" s="7">
        <v>0</v>
      </c>
      <c r="CB276" s="7">
        <v>1.2181220076214101E-2</v>
      </c>
      <c r="CC276" s="7">
        <v>0.92674982900693703</v>
      </c>
      <c r="CD276" s="7">
        <v>5.2913396085073101</v>
      </c>
      <c r="CE276" s="7">
        <v>0</v>
      </c>
      <c r="CF276" s="7">
        <v>1.2181220076214001</v>
      </c>
      <c r="CG276" s="7">
        <v>47.093117936357999</v>
      </c>
      <c r="CH276" s="7">
        <v>99.534247467674206</v>
      </c>
      <c r="CI276" s="7">
        <v>45.914067139001403</v>
      </c>
      <c r="CJ276" s="7">
        <v>0</v>
      </c>
      <c r="CK276" s="7">
        <v>0</v>
      </c>
      <c r="CL276" s="7">
        <v>0.64242907859166898</v>
      </c>
      <c r="CM276" s="7">
        <v>2.9616975539849499</v>
      </c>
      <c r="CN276" s="7">
        <v>0</v>
      </c>
      <c r="CO276" s="7">
        <v>0</v>
      </c>
      <c r="CP276" s="7">
        <v>44.407712601374499</v>
      </c>
      <c r="CQ276" s="7">
        <v>99.246002019346605</v>
      </c>
      <c r="CR276" s="7">
        <v>24.311248257809101</v>
      </c>
      <c r="CS276" s="7">
        <v>0</v>
      </c>
      <c r="CT276" s="7">
        <v>3.3201967234472201</v>
      </c>
      <c r="CU276" s="7">
        <v>9.0221313878122693</v>
      </c>
      <c r="CV276" s="7">
        <v>10</v>
      </c>
      <c r="CW276" s="7">
        <v>0</v>
      </c>
      <c r="CX276" s="7">
        <v>98.863303260267699</v>
      </c>
      <c r="CY276" s="7">
        <v>100</v>
      </c>
      <c r="CZ276" s="7">
        <v>100</v>
      </c>
      <c r="DA276" s="9">
        <v>115.137981647258</v>
      </c>
      <c r="DB276" s="9">
        <v>0</v>
      </c>
      <c r="DC276" s="9">
        <v>0</v>
      </c>
      <c r="DD276" s="9">
        <v>0</v>
      </c>
      <c r="DE276" s="9">
        <v>0</v>
      </c>
      <c r="DF276" s="9">
        <v>0</v>
      </c>
      <c r="DG276" s="9">
        <v>0</v>
      </c>
      <c r="DH276" s="9">
        <v>0</v>
      </c>
      <c r="DI276" s="9">
        <v>0</v>
      </c>
    </row>
    <row r="277" spans="1:113">
      <c r="A277" s="5" t="s">
        <v>610</v>
      </c>
      <c r="B277" s="5" t="s">
        <v>669</v>
      </c>
      <c r="C277" s="5" t="s">
        <v>670</v>
      </c>
      <c r="D277" s="6">
        <v>68420</v>
      </c>
      <c r="E277" s="7">
        <v>11.6718060550155</v>
      </c>
      <c r="F277" s="7">
        <v>1.74674071908799</v>
      </c>
      <c r="G277" s="7">
        <v>7.4913621748026902</v>
      </c>
      <c r="H277" s="7">
        <v>9.3364220988015205</v>
      </c>
      <c r="I277" s="7">
        <v>9.7777258111663308</v>
      </c>
      <c r="J277" s="7">
        <v>79.111370944168399</v>
      </c>
      <c r="K277" s="7">
        <v>94.858228588132107</v>
      </c>
      <c r="L277" s="7">
        <v>98.301666179479696</v>
      </c>
      <c r="M277" s="7">
        <v>98.607132417421795</v>
      </c>
      <c r="N277" s="7">
        <v>9.7756858946321596</v>
      </c>
      <c r="O277" s="7">
        <v>4.8586816720257202</v>
      </c>
      <c r="P277" s="7">
        <v>8.5130078924291102</v>
      </c>
      <c r="Q277" s="7">
        <v>9.9615755627009595</v>
      </c>
      <c r="R277" s="7">
        <v>10</v>
      </c>
      <c r="S277" s="7">
        <v>87.2259573224203</v>
      </c>
      <c r="T277" s="7">
        <v>100</v>
      </c>
      <c r="U277" s="7">
        <v>100</v>
      </c>
      <c r="V277" s="7">
        <v>100</v>
      </c>
      <c r="W277" s="7">
        <v>7.4076556520690602</v>
      </c>
      <c r="X277" s="7">
        <v>8.6931745103770801</v>
      </c>
      <c r="Y277" s="7">
        <v>10</v>
      </c>
      <c r="Z277" s="7">
        <v>10</v>
      </c>
      <c r="AA277" s="7">
        <v>10</v>
      </c>
      <c r="AB277" s="7">
        <v>100</v>
      </c>
      <c r="AC277" s="7">
        <v>100</v>
      </c>
      <c r="AD277" s="7">
        <v>100</v>
      </c>
      <c r="AE277" s="7">
        <v>100</v>
      </c>
      <c r="AF277" s="6">
        <v>14.730942146274099</v>
      </c>
      <c r="AG277" s="6">
        <v>1.52664425606548</v>
      </c>
      <c r="AH277" s="6">
        <v>4.8476468868751796</v>
      </c>
      <c r="AI277" s="6">
        <v>7.1130078924291098</v>
      </c>
      <c r="AJ277" s="6">
        <v>7.9211926337328302</v>
      </c>
      <c r="AK277" s="6">
        <v>73.203741596024599</v>
      </c>
      <c r="AL277" s="6">
        <v>86.248173048816099</v>
      </c>
      <c r="AM277" s="6">
        <v>88.693364513300196</v>
      </c>
      <c r="AN277" s="6">
        <v>97.819351066939504</v>
      </c>
      <c r="AO277" s="6">
        <v>11.7517750753742</v>
      </c>
      <c r="AP277" s="7">
        <v>1.1495615317158701</v>
      </c>
      <c r="AQ277" s="7">
        <v>6.6968430283542801</v>
      </c>
      <c r="AR277" s="7">
        <v>9.6412160187079792</v>
      </c>
      <c r="AS277" s="7">
        <v>9.8571178018123398</v>
      </c>
      <c r="AT277" s="7">
        <v>73.015200233849797</v>
      </c>
      <c r="AU277" s="7">
        <v>98.205203156971606</v>
      </c>
      <c r="AV277" s="7">
        <v>100</v>
      </c>
      <c r="AW277" s="7">
        <v>100</v>
      </c>
      <c r="AX277" s="7">
        <v>9.1859660930293394</v>
      </c>
      <c r="AY277" s="7">
        <v>3.1260888629055801</v>
      </c>
      <c r="AZ277" s="7">
        <v>9.50062847120725</v>
      </c>
      <c r="BA277" s="7">
        <v>10</v>
      </c>
      <c r="BB277" s="7">
        <v>10</v>
      </c>
      <c r="BC277" s="7">
        <v>97.154340836012906</v>
      </c>
      <c r="BD277" s="7">
        <v>100</v>
      </c>
      <c r="BE277" s="7">
        <v>100</v>
      </c>
      <c r="BF277" s="7">
        <v>100</v>
      </c>
      <c r="BG277" s="7">
        <v>7.3375442830486897</v>
      </c>
      <c r="BH277" s="7">
        <v>9.2206518561823998</v>
      </c>
      <c r="BI277" s="7">
        <v>10</v>
      </c>
      <c r="BJ277" s="7">
        <v>10</v>
      </c>
      <c r="BK277" s="7">
        <v>10</v>
      </c>
      <c r="BL277" s="7">
        <v>100</v>
      </c>
      <c r="BM277" s="7">
        <v>100</v>
      </c>
      <c r="BN277" s="7">
        <v>100</v>
      </c>
      <c r="BO277" s="7">
        <v>100</v>
      </c>
      <c r="BP277" s="6">
        <v>12.7027092965326</v>
      </c>
      <c r="BQ277" s="6">
        <v>1.0321689564454799</v>
      </c>
      <c r="BR277" s="6">
        <v>3.03420052616194</v>
      </c>
      <c r="BS277" s="6">
        <v>5.2616194095293798</v>
      </c>
      <c r="BT277" s="6">
        <v>7.4169687225957297</v>
      </c>
      <c r="BU277" s="6">
        <v>69.152294650686898</v>
      </c>
      <c r="BV277" s="6">
        <v>95.838935983630506</v>
      </c>
      <c r="BW277" s="6">
        <v>99.479684302835395</v>
      </c>
      <c r="BX277" s="6">
        <v>100</v>
      </c>
      <c r="BY277" s="6" t="str">
        <f>TRIM(Table1[[#This Row],[LA_Name]])</f>
        <v>Hart</v>
      </c>
      <c r="BZ277" s="7">
        <v>43.972733564719697</v>
      </c>
      <c r="CA277" s="7">
        <v>0</v>
      </c>
      <c r="CB277" s="7">
        <v>0.123662671733411</v>
      </c>
      <c r="CC277" s="7">
        <v>1.5970184156679299</v>
      </c>
      <c r="CD277" s="7">
        <v>5.6622186495176896</v>
      </c>
      <c r="CE277" s="7">
        <v>0</v>
      </c>
      <c r="CF277" s="7">
        <v>10.7731657410114</v>
      </c>
      <c r="CG277" s="7">
        <v>57.054954691610597</v>
      </c>
      <c r="CH277" s="7">
        <v>95.040923706518598</v>
      </c>
      <c r="CI277" s="7">
        <v>33.768849231638598</v>
      </c>
      <c r="CJ277" s="7">
        <v>5.3493130663548702E-2</v>
      </c>
      <c r="CK277" s="7">
        <v>0.55054077755042397</v>
      </c>
      <c r="CL277" s="7">
        <v>3.3378105817012602</v>
      </c>
      <c r="CM277" s="7">
        <v>6.3819789535223599</v>
      </c>
      <c r="CN277" s="7">
        <v>5.3493130663548696</v>
      </c>
      <c r="CO277" s="7">
        <v>34.486992107570899</v>
      </c>
      <c r="CP277" s="7">
        <v>83.579362759427099</v>
      </c>
      <c r="CQ277" s="7">
        <v>99.571762642502193</v>
      </c>
      <c r="CR277" s="7">
        <v>16.703145144829701</v>
      </c>
      <c r="CS277" s="7">
        <v>0.33887752119263398</v>
      </c>
      <c r="CT277" s="7">
        <v>9.7659163987138307</v>
      </c>
      <c r="CU277" s="7">
        <v>10</v>
      </c>
      <c r="CV277" s="7">
        <v>10</v>
      </c>
      <c r="CW277" s="7">
        <v>24.3949137679041</v>
      </c>
      <c r="CX277" s="7">
        <v>100</v>
      </c>
      <c r="CY277" s="7">
        <v>100</v>
      </c>
      <c r="CZ277" s="7">
        <v>100</v>
      </c>
      <c r="DA277" s="9">
        <v>86.723626022093597</v>
      </c>
      <c r="DB277" s="9">
        <v>0</v>
      </c>
      <c r="DC277" s="9">
        <v>3.4258988599824597E-2</v>
      </c>
      <c r="DD277" s="9">
        <v>0.107483192049108</v>
      </c>
      <c r="DE277" s="9">
        <v>0.15893013738672901</v>
      </c>
      <c r="DF277" s="9">
        <v>0</v>
      </c>
      <c r="DG277" s="9">
        <v>3.42589885998246</v>
      </c>
      <c r="DH277" s="9">
        <v>10.7483192049108</v>
      </c>
      <c r="DI277" s="9">
        <v>12.812043262204</v>
      </c>
    </row>
    <row r="278" spans="1:113">
      <c r="A278" s="5" t="s">
        <v>610</v>
      </c>
      <c r="B278" s="5" t="s">
        <v>671</v>
      </c>
      <c r="C278" s="5" t="s">
        <v>672</v>
      </c>
      <c r="D278" s="6">
        <v>89569</v>
      </c>
      <c r="E278" s="7">
        <v>6.9166406760496901</v>
      </c>
      <c r="F278" s="7">
        <v>3.65220109636146</v>
      </c>
      <c r="G278" s="7">
        <v>9.4242427625629404</v>
      </c>
      <c r="H278" s="7">
        <v>9.6498342060311106</v>
      </c>
      <c r="I278" s="7">
        <v>9.9339280331364606</v>
      </c>
      <c r="J278" s="7">
        <v>95.6446985005973</v>
      </c>
      <c r="K278" s="7">
        <v>99.816900936707995</v>
      </c>
      <c r="L278" s="7">
        <v>100</v>
      </c>
      <c r="M278" s="7">
        <v>100</v>
      </c>
      <c r="N278" s="7">
        <v>7.5329553799633002</v>
      </c>
      <c r="O278" s="7">
        <v>8.0747468432158396</v>
      </c>
      <c r="P278" s="7">
        <v>9.4733557369179096</v>
      </c>
      <c r="Q278" s="7">
        <v>9.6619924304167704</v>
      </c>
      <c r="R278" s="7">
        <v>9.8852393127086398</v>
      </c>
      <c r="S278" s="7">
        <v>99.473031964184003</v>
      </c>
      <c r="T278" s="7">
        <v>100</v>
      </c>
      <c r="U278" s="7">
        <v>100</v>
      </c>
      <c r="V278" s="7">
        <v>100</v>
      </c>
      <c r="W278" s="7">
        <v>6.5919494491608397</v>
      </c>
      <c r="X278" s="7">
        <v>9.4538735500005604</v>
      </c>
      <c r="Y278" s="7">
        <v>10</v>
      </c>
      <c r="Z278" s="7">
        <v>10</v>
      </c>
      <c r="AA278" s="7">
        <v>10</v>
      </c>
      <c r="AB278" s="7">
        <v>100</v>
      </c>
      <c r="AC278" s="7">
        <v>100</v>
      </c>
      <c r="AD278" s="7">
        <v>100</v>
      </c>
      <c r="AE278" s="7">
        <v>100</v>
      </c>
      <c r="AF278" s="6">
        <v>7.2574870695602298</v>
      </c>
      <c r="AG278" s="6">
        <v>2.71965747077672</v>
      </c>
      <c r="AH278" s="6">
        <v>8.0376581183221898</v>
      </c>
      <c r="AI278" s="6">
        <v>9.1552657727562003</v>
      </c>
      <c r="AJ278" s="6">
        <v>9.3269099800154098</v>
      </c>
      <c r="AK278" s="6">
        <v>92.991994998269504</v>
      </c>
      <c r="AL278" s="6">
        <v>99.473031964184003</v>
      </c>
      <c r="AM278" s="6">
        <v>100</v>
      </c>
      <c r="AN278" s="6">
        <v>100</v>
      </c>
      <c r="AO278" s="6">
        <v>13.3669393378712</v>
      </c>
      <c r="AP278" s="7">
        <v>0.83850439326106097</v>
      </c>
      <c r="AQ278" s="7">
        <v>6.5891435652960304</v>
      </c>
      <c r="AR278" s="7">
        <v>9.6063258493452004</v>
      </c>
      <c r="AS278" s="7">
        <v>10</v>
      </c>
      <c r="AT278" s="7">
        <v>60.856992932822699</v>
      </c>
      <c r="AU278" s="7">
        <v>99.647199365852003</v>
      </c>
      <c r="AV278" s="7">
        <v>100</v>
      </c>
      <c r="AW278" s="7">
        <v>100</v>
      </c>
      <c r="AX278" s="7">
        <v>10.272977467613099</v>
      </c>
      <c r="AY278" s="7">
        <v>2.5109022094697901</v>
      </c>
      <c r="AZ278" s="7">
        <v>8.8733043798635691</v>
      </c>
      <c r="BA278" s="7">
        <v>9.6447208297513605</v>
      </c>
      <c r="BB278" s="7">
        <v>9.9950429277986803</v>
      </c>
      <c r="BC278" s="7">
        <v>96.001964965557306</v>
      </c>
      <c r="BD278" s="7">
        <v>100</v>
      </c>
      <c r="BE278" s="7">
        <v>100</v>
      </c>
      <c r="BF278" s="7">
        <v>100</v>
      </c>
      <c r="BG278" s="7">
        <v>8.1559144597551292</v>
      </c>
      <c r="BH278" s="7">
        <v>8.4027732809342499</v>
      </c>
      <c r="BI278" s="7">
        <v>10</v>
      </c>
      <c r="BJ278" s="7">
        <v>10</v>
      </c>
      <c r="BK278" s="7">
        <v>10</v>
      </c>
      <c r="BL278" s="7">
        <v>100</v>
      </c>
      <c r="BM278" s="7">
        <v>100</v>
      </c>
      <c r="BN278" s="7">
        <v>100</v>
      </c>
      <c r="BO278" s="7">
        <v>100</v>
      </c>
      <c r="BP278" s="6">
        <v>15.7565960971429</v>
      </c>
      <c r="BQ278" s="6">
        <v>0.60210563922785798</v>
      </c>
      <c r="BR278" s="6">
        <v>2.42615190523507</v>
      </c>
      <c r="BS278" s="6">
        <v>4.8301197959115303</v>
      </c>
      <c r="BT278" s="6">
        <v>7.18443881253559</v>
      </c>
      <c r="BU278" s="6">
        <v>47.515323381973701</v>
      </c>
      <c r="BV278" s="6">
        <v>95.798769663611296</v>
      </c>
      <c r="BW278" s="6">
        <v>99.334591209012004</v>
      </c>
      <c r="BX278" s="6">
        <v>100</v>
      </c>
      <c r="BY278" s="6" t="str">
        <f>TRIM(Table1[[#This Row],[LA_Name]])</f>
        <v>Havant</v>
      </c>
      <c r="BZ278" s="7">
        <v>24.135681788811599</v>
      </c>
      <c r="CA278" s="7">
        <v>0.1400819479954</v>
      </c>
      <c r="CB278" s="7">
        <v>1.7435608301979499</v>
      </c>
      <c r="CC278" s="7">
        <v>4.3958065848675298</v>
      </c>
      <c r="CD278" s="7">
        <v>6.1408857975415598</v>
      </c>
      <c r="CE278" s="7">
        <v>10.7972624457122</v>
      </c>
      <c r="CF278" s="7">
        <v>73.651598209201794</v>
      </c>
      <c r="CG278" s="7">
        <v>99.527738391631004</v>
      </c>
      <c r="CH278" s="7">
        <v>100</v>
      </c>
      <c r="CI278" s="7">
        <v>22.289712617883101</v>
      </c>
      <c r="CJ278" s="7">
        <v>0.37950630240373301</v>
      </c>
      <c r="CK278" s="7">
        <v>2.04024830019315</v>
      </c>
      <c r="CL278" s="7">
        <v>3.8805836840871302</v>
      </c>
      <c r="CM278" s="7">
        <v>5.5181145262311704</v>
      </c>
      <c r="CN278" s="7">
        <v>25.246458037937199</v>
      </c>
      <c r="CO278" s="7">
        <v>74.346034900467799</v>
      </c>
      <c r="CP278" s="7">
        <v>99.757728678448998</v>
      </c>
      <c r="CQ278" s="7">
        <v>100</v>
      </c>
      <c r="CR278" s="7">
        <v>12.746056456089301</v>
      </c>
      <c r="CS278" s="7">
        <v>1.6309660708504099</v>
      </c>
      <c r="CT278" s="7">
        <v>8.1193269992966304</v>
      </c>
      <c r="CU278" s="7">
        <v>9.7359242595094297</v>
      </c>
      <c r="CV278" s="7">
        <v>10</v>
      </c>
      <c r="CW278" s="7">
        <v>72.882358851834894</v>
      </c>
      <c r="CX278" s="7">
        <v>100</v>
      </c>
      <c r="CY278" s="7">
        <v>100</v>
      </c>
      <c r="CZ278" s="7">
        <v>100</v>
      </c>
      <c r="DA278" s="9">
        <v>54.809992599272199</v>
      </c>
      <c r="DB278" s="9">
        <v>8.6123547209413995E-2</v>
      </c>
      <c r="DC278" s="9">
        <v>0.36320601993993501</v>
      </c>
      <c r="DD278" s="9">
        <v>0.84879813328272102</v>
      </c>
      <c r="DE278" s="9">
        <v>1.2686643816498999</v>
      </c>
      <c r="DF278" s="9">
        <v>5.6861190813785996</v>
      </c>
      <c r="DG278" s="9">
        <v>24.1110205539863</v>
      </c>
      <c r="DH278" s="9">
        <v>46.684678850941701</v>
      </c>
      <c r="DI278" s="9">
        <v>60.708504058323797</v>
      </c>
    </row>
    <row r="279" spans="1:113">
      <c r="A279" s="5" t="s">
        <v>610</v>
      </c>
      <c r="B279" s="5" t="s">
        <v>673</v>
      </c>
      <c r="C279" s="5" t="s">
        <v>674</v>
      </c>
      <c r="D279" s="6">
        <v>125550</v>
      </c>
      <c r="E279" s="7">
        <v>11.7380240192717</v>
      </c>
      <c r="F279" s="7">
        <v>1.79292712066906</v>
      </c>
      <c r="G279" s="7">
        <v>6.9353405017921101</v>
      </c>
      <c r="H279" s="7">
        <v>9.0253922739944201</v>
      </c>
      <c r="I279" s="7">
        <v>9.5366069295101603</v>
      </c>
      <c r="J279" s="7">
        <v>76.600557546794093</v>
      </c>
      <c r="K279" s="7">
        <v>93.792911190760606</v>
      </c>
      <c r="L279" s="7">
        <v>98.610115491835899</v>
      </c>
      <c r="M279" s="7">
        <v>99.407407407407405</v>
      </c>
      <c r="N279" s="7">
        <v>10.194774364929501</v>
      </c>
      <c r="O279" s="7">
        <v>4.0228116288331304</v>
      </c>
      <c r="P279" s="7">
        <v>8.33213859020311</v>
      </c>
      <c r="Q279" s="7">
        <v>9.8620230983671906</v>
      </c>
      <c r="R279" s="7">
        <v>9.9986618876941495</v>
      </c>
      <c r="S279" s="7">
        <v>87.288729589804902</v>
      </c>
      <c r="T279" s="7">
        <v>98.5344484269216</v>
      </c>
      <c r="U279" s="7">
        <v>100</v>
      </c>
      <c r="V279" s="7">
        <v>100</v>
      </c>
      <c r="W279" s="7">
        <v>7.6763984001209797</v>
      </c>
      <c r="X279" s="7">
        <v>7.9881083233771397</v>
      </c>
      <c r="Y279" s="7">
        <v>10</v>
      </c>
      <c r="Z279" s="7">
        <v>10</v>
      </c>
      <c r="AA279" s="7">
        <v>10</v>
      </c>
      <c r="AB279" s="7">
        <v>97.718040621266397</v>
      </c>
      <c r="AC279" s="7">
        <v>100</v>
      </c>
      <c r="AD279" s="7">
        <v>100</v>
      </c>
      <c r="AE279" s="7">
        <v>100</v>
      </c>
      <c r="AF279" s="6">
        <v>15.928053924717</v>
      </c>
      <c r="AG279" s="6">
        <v>1.52778972520908</v>
      </c>
      <c r="AH279" s="6">
        <v>4.0697013142174399</v>
      </c>
      <c r="AI279" s="6">
        <v>5.8003345280764602</v>
      </c>
      <c r="AJ279" s="6">
        <v>6.8643249701314204</v>
      </c>
      <c r="AK279" s="6">
        <v>74.355236957387504</v>
      </c>
      <c r="AL279" s="6">
        <v>86.5710872162485</v>
      </c>
      <c r="AM279" s="6">
        <v>91.089605734767005</v>
      </c>
      <c r="AN279" s="6">
        <v>93.487853444842699</v>
      </c>
      <c r="AO279" s="6">
        <v>13.272520719031</v>
      </c>
      <c r="AP279" s="7">
        <v>1.2384309040223</v>
      </c>
      <c r="AQ279" s="7">
        <v>6.28108323377141</v>
      </c>
      <c r="AR279" s="7">
        <v>8.43488649940263</v>
      </c>
      <c r="AS279" s="7">
        <v>9.2748785344484297</v>
      </c>
      <c r="AT279" s="7">
        <v>67.962564715252896</v>
      </c>
      <c r="AU279" s="7">
        <v>94.884109916368004</v>
      </c>
      <c r="AV279" s="7">
        <v>96.939068100358398</v>
      </c>
      <c r="AW279" s="7">
        <v>97.469534050179206</v>
      </c>
      <c r="AX279" s="7">
        <v>10.4402449235722</v>
      </c>
      <c r="AY279" s="7">
        <v>2.89140581441657</v>
      </c>
      <c r="AZ279" s="7">
        <v>7.1079569892473096</v>
      </c>
      <c r="BA279" s="7">
        <v>9.0167343687773798</v>
      </c>
      <c r="BB279" s="7">
        <v>9.6241258462763799</v>
      </c>
      <c r="BC279" s="7">
        <v>88.159299084030295</v>
      </c>
      <c r="BD279" s="7">
        <v>99.602548785344496</v>
      </c>
      <c r="BE279" s="7">
        <v>100</v>
      </c>
      <c r="BF279" s="7">
        <v>100</v>
      </c>
      <c r="BG279" s="7">
        <v>7.7736419971584603</v>
      </c>
      <c r="BH279" s="7">
        <v>7.0446117084826803</v>
      </c>
      <c r="BI279" s="7">
        <v>9.8170051772202296</v>
      </c>
      <c r="BJ279" s="7">
        <v>10</v>
      </c>
      <c r="BK279" s="7">
        <v>10</v>
      </c>
      <c r="BL279" s="7">
        <v>98.461967343687803</v>
      </c>
      <c r="BM279" s="7">
        <v>100</v>
      </c>
      <c r="BN279" s="7">
        <v>100</v>
      </c>
      <c r="BO279" s="7">
        <v>100</v>
      </c>
      <c r="BP279" s="6">
        <v>16.402354497935001</v>
      </c>
      <c r="BQ279" s="6">
        <v>1.02124253285544</v>
      </c>
      <c r="BR279" s="6">
        <v>2.8924332935085602</v>
      </c>
      <c r="BS279" s="6">
        <v>4.4491198725607299</v>
      </c>
      <c r="BT279" s="6">
        <v>5.6282676224611699</v>
      </c>
      <c r="BU279" s="6">
        <v>62.483472720031898</v>
      </c>
      <c r="BV279" s="6">
        <v>87.436081242532893</v>
      </c>
      <c r="BW279" s="6">
        <v>94.296296296296305</v>
      </c>
      <c r="BX279" s="6">
        <v>96.449223416965395</v>
      </c>
      <c r="BY279" s="6" t="str">
        <f>TRIM(Table1[[#This Row],[LA_Name]])</f>
        <v>New Forest</v>
      </c>
      <c r="BZ279" s="7">
        <v>53.059910618893298</v>
      </c>
      <c r="CA279" s="7">
        <v>0</v>
      </c>
      <c r="CB279" s="7">
        <v>3.2353643966547198E-2</v>
      </c>
      <c r="CC279" s="7">
        <v>0.74817204301075302</v>
      </c>
      <c r="CD279" s="7">
        <v>3.39272799681402</v>
      </c>
      <c r="CE279" s="7">
        <v>0</v>
      </c>
      <c r="CF279" s="7">
        <v>3.0115491835921899</v>
      </c>
      <c r="CG279" s="7">
        <v>32.5710872162485</v>
      </c>
      <c r="CH279" s="7">
        <v>72.913580246913597</v>
      </c>
      <c r="CI279" s="7">
        <v>58.9246138963506</v>
      </c>
      <c r="CJ279" s="7">
        <v>0</v>
      </c>
      <c r="CK279" s="7">
        <v>0.130330545599363</v>
      </c>
      <c r="CL279" s="7">
        <v>1.18089207487057</v>
      </c>
      <c r="CM279" s="7">
        <v>2.3664834727200299</v>
      </c>
      <c r="CN279" s="7">
        <v>0</v>
      </c>
      <c r="CO279" s="7">
        <v>6.6045400238948604</v>
      </c>
      <c r="CP279" s="7">
        <v>24.452409398646001</v>
      </c>
      <c r="CQ279" s="7">
        <v>52.689765033851103</v>
      </c>
      <c r="CR279" s="7">
        <v>26.720924813571699</v>
      </c>
      <c r="CS279" s="7">
        <v>3.9896455595380298E-2</v>
      </c>
      <c r="CT279" s="7">
        <v>3.8810274790919999</v>
      </c>
      <c r="CU279" s="7">
        <v>8.9454161688570295</v>
      </c>
      <c r="CV279" s="7">
        <v>10</v>
      </c>
      <c r="CW279" s="7">
        <v>3.0641178813221801</v>
      </c>
      <c r="CX279" s="7">
        <v>69.725209080047804</v>
      </c>
      <c r="CY279" s="7">
        <v>100</v>
      </c>
      <c r="CZ279" s="7">
        <v>100</v>
      </c>
      <c r="DA279" s="9">
        <v>112.00315346620999</v>
      </c>
      <c r="DB279" s="9">
        <v>0</v>
      </c>
      <c r="DC279" s="9">
        <v>0</v>
      </c>
      <c r="DD279" s="9">
        <v>0</v>
      </c>
      <c r="DE279" s="9">
        <v>1.46873755475906E-2</v>
      </c>
      <c r="DF279" s="9">
        <v>0</v>
      </c>
      <c r="DG279" s="9">
        <v>0</v>
      </c>
      <c r="DH279" s="9">
        <v>0</v>
      </c>
      <c r="DI279" s="9">
        <v>0.73436877737952999</v>
      </c>
    </row>
    <row r="280" spans="1:113">
      <c r="A280" s="5" t="s">
        <v>610</v>
      </c>
      <c r="B280" s="5" t="s">
        <v>675</v>
      </c>
      <c r="C280" s="5" t="s">
        <v>676</v>
      </c>
      <c r="D280" s="6">
        <v>69205</v>
      </c>
      <c r="E280" s="7">
        <v>6.7530331571390203</v>
      </c>
      <c r="F280" s="7">
        <v>3.3229535438190898</v>
      </c>
      <c r="G280" s="7">
        <v>9.7989307130987608</v>
      </c>
      <c r="H280" s="7">
        <v>10</v>
      </c>
      <c r="I280" s="7">
        <v>10</v>
      </c>
      <c r="J280" s="7">
        <v>97.966909905353702</v>
      </c>
      <c r="K280" s="7">
        <v>100</v>
      </c>
      <c r="L280" s="7">
        <v>100</v>
      </c>
      <c r="M280" s="7">
        <v>100</v>
      </c>
      <c r="N280" s="7">
        <v>7.4147061576578697</v>
      </c>
      <c r="O280" s="7">
        <v>8.5010620619897406</v>
      </c>
      <c r="P280" s="7">
        <v>10</v>
      </c>
      <c r="Q280" s="7">
        <v>10</v>
      </c>
      <c r="R280" s="7">
        <v>10</v>
      </c>
      <c r="S280" s="7">
        <v>100</v>
      </c>
      <c r="T280" s="7">
        <v>100</v>
      </c>
      <c r="U280" s="7">
        <v>100</v>
      </c>
      <c r="V280" s="7">
        <v>100</v>
      </c>
      <c r="W280" s="7">
        <v>6.5175288015927402</v>
      </c>
      <c r="X280" s="7">
        <v>10</v>
      </c>
      <c r="Y280" s="7">
        <v>10</v>
      </c>
      <c r="Z280" s="7">
        <v>10</v>
      </c>
      <c r="AA280" s="7">
        <v>10</v>
      </c>
      <c r="AB280" s="7">
        <v>100</v>
      </c>
      <c r="AC280" s="7">
        <v>100</v>
      </c>
      <c r="AD280" s="7">
        <v>100</v>
      </c>
      <c r="AE280" s="7">
        <v>100</v>
      </c>
      <c r="AF280" s="6">
        <v>6.7795838465705902</v>
      </c>
      <c r="AG280" s="6">
        <v>2.7802759916191002</v>
      </c>
      <c r="AH280" s="6">
        <v>8.6516292175420908</v>
      </c>
      <c r="AI280" s="6">
        <v>10</v>
      </c>
      <c r="AJ280" s="6">
        <v>10</v>
      </c>
      <c r="AK280" s="6">
        <v>97.381692074272095</v>
      </c>
      <c r="AL280" s="6">
        <v>100</v>
      </c>
      <c r="AM280" s="6">
        <v>100</v>
      </c>
      <c r="AN280" s="6">
        <v>100</v>
      </c>
      <c r="AO280" s="6">
        <v>9.6681387342692897</v>
      </c>
      <c r="AP280" s="7">
        <v>1.78818004479445</v>
      </c>
      <c r="AQ280" s="7">
        <v>8.7293403655805193</v>
      </c>
      <c r="AR280" s="7">
        <v>10</v>
      </c>
      <c r="AS280" s="7">
        <v>10</v>
      </c>
      <c r="AT280" s="7">
        <v>83.1096019073766</v>
      </c>
      <c r="AU280" s="7">
        <v>100</v>
      </c>
      <c r="AV280" s="7">
        <v>100</v>
      </c>
      <c r="AW280" s="7">
        <v>100</v>
      </c>
      <c r="AX280" s="7">
        <v>8.3995252037365304</v>
      </c>
      <c r="AY280" s="7">
        <v>5.35851455819666</v>
      </c>
      <c r="AZ280" s="7">
        <v>10</v>
      </c>
      <c r="BA280" s="7">
        <v>10</v>
      </c>
      <c r="BB280" s="7">
        <v>10</v>
      </c>
      <c r="BC280" s="7">
        <v>100</v>
      </c>
      <c r="BD280" s="7">
        <v>100</v>
      </c>
      <c r="BE280" s="7">
        <v>100</v>
      </c>
      <c r="BF280" s="7">
        <v>100</v>
      </c>
      <c r="BG280" s="7">
        <v>6.9587402590557401</v>
      </c>
      <c r="BH280" s="7">
        <v>10</v>
      </c>
      <c r="BI280" s="7">
        <v>10</v>
      </c>
      <c r="BJ280" s="7">
        <v>10</v>
      </c>
      <c r="BK280" s="7">
        <v>10</v>
      </c>
      <c r="BL280" s="7">
        <v>100</v>
      </c>
      <c r="BM280" s="7">
        <v>100</v>
      </c>
      <c r="BN280" s="7">
        <v>100</v>
      </c>
      <c r="BO280" s="7">
        <v>100</v>
      </c>
      <c r="BP280" s="6">
        <v>10.150949518950901</v>
      </c>
      <c r="BQ280" s="6">
        <v>1.50109096163572</v>
      </c>
      <c r="BR280" s="6">
        <v>5.0957300773065501</v>
      </c>
      <c r="BS280" s="6">
        <v>8.70750668304313</v>
      </c>
      <c r="BT280" s="6">
        <v>9.9967487898273202</v>
      </c>
      <c r="BU280" s="6">
        <v>79.917636008958894</v>
      </c>
      <c r="BV280" s="6">
        <v>100</v>
      </c>
      <c r="BW280" s="6">
        <v>100</v>
      </c>
      <c r="BX280" s="6">
        <v>100</v>
      </c>
      <c r="BY280" s="6" t="str">
        <f>TRIM(Table1[[#This Row],[LA_Name]])</f>
        <v>Rushmoor</v>
      </c>
      <c r="BZ280" s="7">
        <v>22.761157810384798</v>
      </c>
      <c r="CA280" s="7">
        <v>0.260920453724442</v>
      </c>
      <c r="CB280" s="7">
        <v>1.8118055053825599</v>
      </c>
      <c r="CC280" s="7">
        <v>5.1355971389350499</v>
      </c>
      <c r="CD280" s="7">
        <v>9.0863665920092505</v>
      </c>
      <c r="CE280" s="7">
        <v>18.933603063362501</v>
      </c>
      <c r="CF280" s="7">
        <v>80.335235893360306</v>
      </c>
      <c r="CG280" s="7">
        <v>99.689328805722099</v>
      </c>
      <c r="CH280" s="7">
        <v>100</v>
      </c>
      <c r="CI280" s="7">
        <v>16.352274070651799</v>
      </c>
      <c r="CJ280" s="7">
        <v>0.71958673506249504</v>
      </c>
      <c r="CK280" s="7">
        <v>3.6740553428220499</v>
      </c>
      <c r="CL280" s="7">
        <v>4.6080485514052496</v>
      </c>
      <c r="CM280" s="7">
        <v>6.3768369337475601</v>
      </c>
      <c r="CN280" s="7">
        <v>45.1788165594972</v>
      </c>
      <c r="CO280" s="7">
        <v>100</v>
      </c>
      <c r="CP280" s="7">
        <v>100</v>
      </c>
      <c r="CQ280" s="7">
        <v>100</v>
      </c>
      <c r="CR280" s="7">
        <v>10.5271733126417</v>
      </c>
      <c r="CS280" s="7">
        <v>2.7821978180767299</v>
      </c>
      <c r="CT280" s="7">
        <v>9.2530886496640399</v>
      </c>
      <c r="CU280" s="7">
        <v>10</v>
      </c>
      <c r="CV280" s="7">
        <v>10</v>
      </c>
      <c r="CW280" s="7">
        <v>95.747417094140602</v>
      </c>
      <c r="CX280" s="7">
        <v>100</v>
      </c>
      <c r="CY280" s="7">
        <v>100</v>
      </c>
      <c r="CZ280" s="7">
        <v>100</v>
      </c>
      <c r="DA280" s="9">
        <v>35.381196922420003</v>
      </c>
      <c r="DB280" s="9">
        <v>0.245646990824362</v>
      </c>
      <c r="DC280" s="9">
        <v>0.69090383642800401</v>
      </c>
      <c r="DD280" s="9">
        <v>1.4726826096380301</v>
      </c>
      <c r="DE280" s="9">
        <v>2.66081930496351</v>
      </c>
      <c r="DF280" s="9">
        <v>17.880210967415699</v>
      </c>
      <c r="DG280" s="9">
        <v>42.531608987789902</v>
      </c>
      <c r="DH280" s="9">
        <v>64.388411241962302</v>
      </c>
      <c r="DI280" s="9">
        <v>87.691640777400494</v>
      </c>
    </row>
    <row r="281" spans="1:113">
      <c r="A281" s="5" t="s">
        <v>610</v>
      </c>
      <c r="B281" s="5" t="s">
        <v>677</v>
      </c>
      <c r="C281" s="5" t="s">
        <v>678</v>
      </c>
      <c r="D281" s="6">
        <v>89614</v>
      </c>
      <c r="E281" s="7">
        <v>14.4186251041498</v>
      </c>
      <c r="F281" s="7">
        <v>1.4327448836119401</v>
      </c>
      <c r="G281" s="7">
        <v>6.6103064253353301</v>
      </c>
      <c r="H281" s="7">
        <v>8.7062177784721104</v>
      </c>
      <c r="I281" s="7">
        <v>9.48174392394046</v>
      </c>
      <c r="J281" s="7">
        <v>68.955743522217503</v>
      </c>
      <c r="K281" s="7">
        <v>89.548508045617893</v>
      </c>
      <c r="L281" s="7">
        <v>95.980538755105201</v>
      </c>
      <c r="M281" s="7">
        <v>98.1844354676725</v>
      </c>
      <c r="N281" s="7">
        <v>12.1350412693143</v>
      </c>
      <c r="O281" s="7">
        <v>3.51529894882496</v>
      </c>
      <c r="P281" s="7">
        <v>7.9884727832704696</v>
      </c>
      <c r="Q281" s="7">
        <v>9.4196777289262794</v>
      </c>
      <c r="R281" s="7">
        <v>9.9543932867632297</v>
      </c>
      <c r="S281" s="7">
        <v>78.664048028209905</v>
      </c>
      <c r="T281" s="7">
        <v>93.812350748766903</v>
      </c>
      <c r="U281" s="7">
        <v>100</v>
      </c>
      <c r="V281" s="7">
        <v>100</v>
      </c>
      <c r="W281" s="7">
        <v>8.4395035724281104</v>
      </c>
      <c r="X281" s="7">
        <v>7.7380431628986504</v>
      </c>
      <c r="Y281" s="7">
        <v>10</v>
      </c>
      <c r="Z281" s="7">
        <v>10</v>
      </c>
      <c r="AA281" s="7">
        <v>10</v>
      </c>
      <c r="AB281" s="7">
        <v>93.809003057558002</v>
      </c>
      <c r="AC281" s="7">
        <v>100</v>
      </c>
      <c r="AD281" s="7">
        <v>100</v>
      </c>
      <c r="AE281" s="7">
        <v>100</v>
      </c>
      <c r="AF281" s="6">
        <v>21.617489371031098</v>
      </c>
      <c r="AG281" s="6">
        <v>1.12432209253019</v>
      </c>
      <c r="AH281" s="6">
        <v>3.66120249068226</v>
      </c>
      <c r="AI281" s="6">
        <v>6.0946169125359901</v>
      </c>
      <c r="AJ281" s="6">
        <v>7.17014082621019</v>
      </c>
      <c r="AK281" s="6">
        <v>67.832035173075596</v>
      </c>
      <c r="AL281" s="6">
        <v>78.53460396813</v>
      </c>
      <c r="AM281" s="6">
        <v>81.861093132769398</v>
      </c>
      <c r="AN281" s="6">
        <v>88.904635436427398</v>
      </c>
      <c r="AO281" s="6">
        <v>14.3889971179256</v>
      </c>
      <c r="AP281" s="7">
        <v>1.10741625192492</v>
      </c>
      <c r="AQ281" s="7">
        <v>6.4171669605195598</v>
      </c>
      <c r="AR281" s="7">
        <v>8.9100475372151706</v>
      </c>
      <c r="AS281" s="7">
        <v>9.5616867900104907</v>
      </c>
      <c r="AT281" s="7">
        <v>61.443524449304803</v>
      </c>
      <c r="AU281" s="7">
        <v>94.334590577365105</v>
      </c>
      <c r="AV281" s="7">
        <v>98.530363559265297</v>
      </c>
      <c r="AW281" s="7">
        <v>99.397415582386699</v>
      </c>
      <c r="AX281" s="7">
        <v>11.5923277473052</v>
      </c>
      <c r="AY281" s="7">
        <v>3.00222063516861</v>
      </c>
      <c r="AZ281" s="7">
        <v>8.0608833441203398</v>
      </c>
      <c r="BA281" s="7">
        <v>9.5029794451759795</v>
      </c>
      <c r="BB281" s="7">
        <v>9.99002388019729</v>
      </c>
      <c r="BC281" s="7">
        <v>82.839734862856204</v>
      </c>
      <c r="BD281" s="7">
        <v>98.211216997344195</v>
      </c>
      <c r="BE281" s="7">
        <v>100</v>
      </c>
      <c r="BF281" s="7">
        <v>100</v>
      </c>
      <c r="BG281" s="7">
        <v>8.3497349650128694</v>
      </c>
      <c r="BH281" s="7">
        <v>7.9661548418773904</v>
      </c>
      <c r="BI281" s="7">
        <v>10</v>
      </c>
      <c r="BJ281" s="7">
        <v>10</v>
      </c>
      <c r="BK281" s="7">
        <v>10</v>
      </c>
      <c r="BL281" s="7">
        <v>97.436784431004099</v>
      </c>
      <c r="BM281" s="7">
        <v>100</v>
      </c>
      <c r="BN281" s="7">
        <v>100</v>
      </c>
      <c r="BO281" s="7">
        <v>100</v>
      </c>
      <c r="BP281" s="6">
        <v>19.810997483104501</v>
      </c>
      <c r="BQ281" s="6">
        <v>0.91274800812373102</v>
      </c>
      <c r="BR281" s="6">
        <v>3.0591760216037698</v>
      </c>
      <c r="BS281" s="6">
        <v>5.1778628339321999</v>
      </c>
      <c r="BT281" s="6">
        <v>6.8375811815118199</v>
      </c>
      <c r="BU281" s="6">
        <v>55.480170509072202</v>
      </c>
      <c r="BV281" s="6">
        <v>81.959292074898997</v>
      </c>
      <c r="BW281" s="6">
        <v>87.8657352645792</v>
      </c>
      <c r="BX281" s="6">
        <v>94.8479032294061</v>
      </c>
      <c r="BY281" s="6" t="str">
        <f>TRIM(Table1[[#This Row],[LA_Name]])</f>
        <v>Test Valley</v>
      </c>
      <c r="BZ281" s="7">
        <v>33.922848381012301</v>
      </c>
      <c r="CA281" s="7">
        <v>8.9829714107170694E-2</v>
      </c>
      <c r="CB281" s="7">
        <v>0.67935813600553496</v>
      </c>
      <c r="CC281" s="7">
        <v>2.4376548307184098</v>
      </c>
      <c r="CD281" s="7">
        <v>4.9774142433102</v>
      </c>
      <c r="CE281" s="7">
        <v>8.9829714107170808</v>
      </c>
      <c r="CF281" s="7">
        <v>52.338920257995397</v>
      </c>
      <c r="CG281" s="7">
        <v>79.0646550762158</v>
      </c>
      <c r="CH281" s="7">
        <v>90.552815408306699</v>
      </c>
      <c r="CI281" s="7">
        <v>26.5179187175534</v>
      </c>
      <c r="CJ281" s="7">
        <v>0.24344410471578101</v>
      </c>
      <c r="CK281" s="7">
        <v>1.0725779454103199</v>
      </c>
      <c r="CL281" s="7">
        <v>2.4952128015711801</v>
      </c>
      <c r="CM281" s="7">
        <v>3.7196643381614498</v>
      </c>
      <c r="CN281" s="7">
        <v>24.049813645189399</v>
      </c>
      <c r="CO281" s="7">
        <v>66.080076773718403</v>
      </c>
      <c r="CP281" s="7">
        <v>85.006806972124906</v>
      </c>
      <c r="CQ281" s="7">
        <v>95.276407704153399</v>
      </c>
      <c r="CR281" s="7">
        <v>14.318006767809299</v>
      </c>
      <c r="CS281" s="7">
        <v>0.788202736179615</v>
      </c>
      <c r="CT281" s="7">
        <v>4.5897739192536902</v>
      </c>
      <c r="CU281" s="7">
        <v>9.9397861941214494</v>
      </c>
      <c r="CV281" s="7">
        <v>10</v>
      </c>
      <c r="CW281" s="7">
        <v>62.559421518959098</v>
      </c>
      <c r="CX281" s="7">
        <v>99.019126475773902</v>
      </c>
      <c r="CY281" s="7">
        <v>100</v>
      </c>
      <c r="CZ281" s="7">
        <v>100</v>
      </c>
      <c r="DA281" s="9">
        <v>60.059919404165797</v>
      </c>
      <c r="DB281" s="9">
        <v>7.1428571428571397E-2</v>
      </c>
      <c r="DC281" s="9">
        <v>0.28710915705135398</v>
      </c>
      <c r="DD281" s="9">
        <v>0.52437119200125004</v>
      </c>
      <c r="DE281" s="9">
        <v>0.75448032673466203</v>
      </c>
      <c r="DF281" s="9">
        <v>7.1428571428571397</v>
      </c>
      <c r="DG281" s="9">
        <v>28.416318878746601</v>
      </c>
      <c r="DH281" s="9">
        <v>45.643537840069598</v>
      </c>
      <c r="DI281" s="9">
        <v>58.833441203383401</v>
      </c>
    </row>
    <row r="282" spans="1:113">
      <c r="A282" s="5" t="s">
        <v>610</v>
      </c>
      <c r="B282" s="5" t="s">
        <v>679</v>
      </c>
      <c r="C282" s="5" t="s">
        <v>680</v>
      </c>
      <c r="D282" s="6">
        <v>88809</v>
      </c>
      <c r="E282" s="7">
        <v>13.4810039388531</v>
      </c>
      <c r="F282" s="7">
        <v>1.24372529811168</v>
      </c>
      <c r="G282" s="7">
        <v>6.4949836165253503</v>
      </c>
      <c r="H282" s="7">
        <v>9.2276571068247595</v>
      </c>
      <c r="I282" s="7">
        <v>9.6625229424945704</v>
      </c>
      <c r="J282" s="7">
        <v>67.847853258115705</v>
      </c>
      <c r="K282" s="7">
        <v>95.028657005483694</v>
      </c>
      <c r="L282" s="7">
        <v>98.163474422637293</v>
      </c>
      <c r="M282" s="7">
        <v>98.449481471472495</v>
      </c>
      <c r="N282" s="7">
        <v>11.8684950768266</v>
      </c>
      <c r="O282" s="7">
        <v>2.6094990372597402</v>
      </c>
      <c r="P282" s="7">
        <v>8.1102703554819904</v>
      </c>
      <c r="Q282" s="7">
        <v>9.3056784785325792</v>
      </c>
      <c r="R282" s="7">
        <v>9.9505793331756909</v>
      </c>
      <c r="S282" s="7">
        <v>77.016969000889503</v>
      </c>
      <c r="T282" s="7">
        <v>96.007161436340894</v>
      </c>
      <c r="U282" s="7">
        <v>99.371685302165304</v>
      </c>
      <c r="V282" s="7">
        <v>100</v>
      </c>
      <c r="W282" s="7">
        <v>8.2777792806756096</v>
      </c>
      <c r="X282" s="7">
        <v>7.4777105923949101</v>
      </c>
      <c r="Y282" s="7">
        <v>10</v>
      </c>
      <c r="Z282" s="7">
        <v>10</v>
      </c>
      <c r="AA282" s="7">
        <v>10</v>
      </c>
      <c r="AB282" s="7">
        <v>95.673861883367707</v>
      </c>
      <c r="AC282" s="7">
        <v>100</v>
      </c>
      <c r="AD282" s="7">
        <v>100</v>
      </c>
      <c r="AE282" s="7">
        <v>100</v>
      </c>
      <c r="AF282" s="6">
        <v>21.074525488210298</v>
      </c>
      <c r="AG282" s="6">
        <v>0.90079834251033097</v>
      </c>
      <c r="AH282" s="6">
        <v>2.4587260300194802</v>
      </c>
      <c r="AI282" s="6">
        <v>4.7181817158170896</v>
      </c>
      <c r="AJ282" s="6">
        <v>6.8890427771960097</v>
      </c>
      <c r="AK282" s="6">
        <v>58.656217275276198</v>
      </c>
      <c r="AL282" s="6">
        <v>78.146359040187406</v>
      </c>
      <c r="AM282" s="6">
        <v>86.822281525521106</v>
      </c>
      <c r="AN282" s="6">
        <v>92.197862829217797</v>
      </c>
      <c r="AO282" s="6">
        <v>12.2905390281105</v>
      </c>
      <c r="AP282" s="7">
        <v>1.8008872974585901</v>
      </c>
      <c r="AQ282" s="7">
        <v>7.4098120685966498</v>
      </c>
      <c r="AR282" s="7">
        <v>9.31635307232375</v>
      </c>
      <c r="AS282" s="7">
        <v>9.8145233028184098</v>
      </c>
      <c r="AT282" s="7">
        <v>69.879178912047195</v>
      </c>
      <c r="AU282" s="7">
        <v>96.8190160907115</v>
      </c>
      <c r="AV282" s="7">
        <v>99.280478329898997</v>
      </c>
      <c r="AW282" s="7">
        <v>99.816460043464105</v>
      </c>
      <c r="AX282" s="7">
        <v>10.668564554740501</v>
      </c>
      <c r="AY282" s="7">
        <v>3.7375040817935101</v>
      </c>
      <c r="AZ282" s="7">
        <v>8.0880766588971795</v>
      </c>
      <c r="BA282" s="7">
        <v>9.6134288191512098</v>
      </c>
      <c r="BB282" s="7">
        <v>10</v>
      </c>
      <c r="BC282" s="7">
        <v>81.229379905189802</v>
      </c>
      <c r="BD282" s="7">
        <v>100</v>
      </c>
      <c r="BE282" s="7">
        <v>100</v>
      </c>
      <c r="BF282" s="7">
        <v>100</v>
      </c>
      <c r="BG282" s="7">
        <v>7.80878348069123</v>
      </c>
      <c r="BH282" s="7">
        <v>7.7613980565032801</v>
      </c>
      <c r="BI282" s="7">
        <v>10</v>
      </c>
      <c r="BJ282" s="7">
        <v>10</v>
      </c>
      <c r="BK282" s="7">
        <v>10</v>
      </c>
      <c r="BL282" s="7">
        <v>100</v>
      </c>
      <c r="BM282" s="7">
        <v>100</v>
      </c>
      <c r="BN282" s="7">
        <v>100</v>
      </c>
      <c r="BO282" s="7">
        <v>100</v>
      </c>
      <c r="BP282" s="6">
        <v>17.482099351101699</v>
      </c>
      <c r="BQ282" s="6">
        <v>1.3218480108998001</v>
      </c>
      <c r="BR282" s="6">
        <v>3.6517019671429698</v>
      </c>
      <c r="BS282" s="6">
        <v>5.3203616750554596</v>
      </c>
      <c r="BT282" s="6">
        <v>6.6542129739103002</v>
      </c>
      <c r="BU282" s="6">
        <v>62.090553885304402</v>
      </c>
      <c r="BV282" s="6">
        <v>80.622459435417596</v>
      </c>
      <c r="BW282" s="6">
        <v>89.644067605760696</v>
      </c>
      <c r="BX282" s="6">
        <v>98.577846839847297</v>
      </c>
      <c r="BY282" s="6" t="str">
        <f>TRIM(Table1[[#This Row],[LA_Name]])</f>
        <v>Winchester</v>
      </c>
      <c r="BZ282" s="7">
        <v>29.450138213034201</v>
      </c>
      <c r="CA282" s="7">
        <v>0.29995833755587797</v>
      </c>
      <c r="CB282" s="7">
        <v>1.18572441982232</v>
      </c>
      <c r="CC282" s="7">
        <v>3.1151910279363602</v>
      </c>
      <c r="CD282" s="7">
        <v>6.4787803037980396</v>
      </c>
      <c r="CE282" s="7">
        <v>25.0425069531241</v>
      </c>
      <c r="CF282" s="7">
        <v>62.233557409722003</v>
      </c>
      <c r="CG282" s="7">
        <v>76.341361798916793</v>
      </c>
      <c r="CH282" s="7">
        <v>95.104099809703996</v>
      </c>
      <c r="CI282" s="7">
        <v>27.236955263916201</v>
      </c>
      <c r="CJ282" s="7">
        <v>0.61778648560393701</v>
      </c>
      <c r="CK282" s="7">
        <v>1.1924016710018099</v>
      </c>
      <c r="CL282" s="7">
        <v>1.9667713857829701</v>
      </c>
      <c r="CM282" s="7">
        <v>4.3933272528685201</v>
      </c>
      <c r="CN282" s="7">
        <v>34.933396390005498</v>
      </c>
      <c r="CO282" s="7">
        <v>59.5840511659854</v>
      </c>
      <c r="CP282" s="7">
        <v>78.266842324539198</v>
      </c>
      <c r="CQ282" s="7">
        <v>96.688398698330104</v>
      </c>
      <c r="CR282" s="7">
        <v>15.271594135059701</v>
      </c>
      <c r="CS282" s="7">
        <v>1.02290308414688</v>
      </c>
      <c r="CT282" s="7">
        <v>6.7696855048474802</v>
      </c>
      <c r="CU282" s="7">
        <v>10</v>
      </c>
      <c r="CV282" s="7">
        <v>10</v>
      </c>
      <c r="CW282" s="7">
        <v>52.459773221182502</v>
      </c>
      <c r="CX282" s="7">
        <v>99.692598723102407</v>
      </c>
      <c r="CY282" s="7">
        <v>100</v>
      </c>
      <c r="CZ282" s="7">
        <v>100</v>
      </c>
      <c r="DA282" s="9">
        <v>63.023102744897201</v>
      </c>
      <c r="DB282" s="9">
        <v>0.19568962605141399</v>
      </c>
      <c r="DC282" s="9">
        <v>0.595176164577914</v>
      </c>
      <c r="DD282" s="9">
        <v>0.83423977299597996</v>
      </c>
      <c r="DE282" s="9">
        <v>0.97782882365526003</v>
      </c>
      <c r="DF282" s="9">
        <v>15.2709747885912</v>
      </c>
      <c r="DG282" s="9">
        <v>34.409800808476597</v>
      </c>
      <c r="DH282" s="9">
        <v>43.556396311184699</v>
      </c>
      <c r="DI282" s="9">
        <v>52.152371944284901</v>
      </c>
    </row>
    <row r="283" spans="1:113">
      <c r="A283" s="5" t="s">
        <v>610</v>
      </c>
      <c r="B283" s="5" t="s">
        <v>681</v>
      </c>
      <c r="C283" s="5" t="s">
        <v>682</v>
      </c>
      <c r="D283" s="6">
        <v>1126178</v>
      </c>
      <c r="E283" s="7">
        <v>9.5659784867374498</v>
      </c>
      <c r="F283" s="7">
        <v>2.5955674857793301</v>
      </c>
      <c r="G283" s="7">
        <v>8.2048974496038802</v>
      </c>
      <c r="H283" s="7">
        <v>9.7106318894526407</v>
      </c>
      <c r="I283" s="7">
        <v>9.9063682650522402</v>
      </c>
      <c r="J283" s="7">
        <v>83.0937915675852</v>
      </c>
      <c r="K283" s="7">
        <v>97.817840518994302</v>
      </c>
      <c r="L283" s="7">
        <v>99.6133826091435</v>
      </c>
      <c r="M283" s="7">
        <v>99.826847976074802</v>
      </c>
      <c r="N283" s="7">
        <v>9.2580576186395707</v>
      </c>
      <c r="O283" s="7">
        <v>5.4318127329782699</v>
      </c>
      <c r="P283" s="7">
        <v>8.8238848565679699</v>
      </c>
      <c r="Q283" s="7">
        <v>9.8829483438674899</v>
      </c>
      <c r="R283" s="7">
        <v>9.9912473871803602</v>
      </c>
      <c r="S283" s="7">
        <v>90.671812093647702</v>
      </c>
      <c r="T283" s="7">
        <v>99.094548108735907</v>
      </c>
      <c r="U283" s="7">
        <v>100</v>
      </c>
      <c r="V283" s="7">
        <v>100</v>
      </c>
      <c r="W283" s="7">
        <v>7.2925420409767101</v>
      </c>
      <c r="X283" s="7">
        <v>8.5961242361331909</v>
      </c>
      <c r="Y283" s="7">
        <v>9.9965449511533695</v>
      </c>
      <c r="Z283" s="7">
        <v>10</v>
      </c>
      <c r="AA283" s="7">
        <v>10</v>
      </c>
      <c r="AB283" s="7">
        <v>99.037985114253701</v>
      </c>
      <c r="AC283" s="7">
        <v>100</v>
      </c>
      <c r="AD283" s="7">
        <v>100</v>
      </c>
      <c r="AE283" s="7">
        <v>100</v>
      </c>
      <c r="AF283" s="6">
        <v>12.7841139146459</v>
      </c>
      <c r="AG283" s="6">
        <v>2.0723073972320498</v>
      </c>
      <c r="AH283" s="6">
        <v>5.4301868798715702</v>
      </c>
      <c r="AI283" s="6">
        <v>7.1877633908671603</v>
      </c>
      <c r="AJ283" s="6">
        <v>8.0865387176805097</v>
      </c>
      <c r="AK283" s="6">
        <v>78.332199705552796</v>
      </c>
      <c r="AL283" s="6">
        <v>90.150313715948997</v>
      </c>
      <c r="AM283" s="6">
        <v>94.221694971842794</v>
      </c>
      <c r="AN283" s="6">
        <v>96.795888394196993</v>
      </c>
      <c r="AO283" s="6">
        <v>11.512170566513401</v>
      </c>
      <c r="AP283" s="7">
        <v>1.66175506891451</v>
      </c>
      <c r="AQ283" s="7">
        <v>7.3393681993432702</v>
      </c>
      <c r="AR283" s="7">
        <v>9.5005967085132195</v>
      </c>
      <c r="AS283" s="7">
        <v>9.8869015377675602</v>
      </c>
      <c r="AT283" s="7">
        <v>73.783451639083694</v>
      </c>
      <c r="AU283" s="7">
        <v>97.825565763138698</v>
      </c>
      <c r="AV283" s="7">
        <v>99.522366801695696</v>
      </c>
      <c r="AW283" s="7">
        <v>99.850378892146693</v>
      </c>
      <c r="AX283" s="7">
        <v>10.1643822495428</v>
      </c>
      <c r="AY283" s="7">
        <v>3.8308242569114301</v>
      </c>
      <c r="AZ283" s="7">
        <v>8.2020204621294308</v>
      </c>
      <c r="BA283" s="7">
        <v>9.5419560673357093</v>
      </c>
      <c r="BB283" s="7">
        <v>9.9284154014729502</v>
      </c>
      <c r="BC283" s="7">
        <v>86.733180722763194</v>
      </c>
      <c r="BD283" s="7">
        <v>99.432150157435103</v>
      </c>
      <c r="BE283" s="7">
        <v>100</v>
      </c>
      <c r="BF283" s="7">
        <v>100</v>
      </c>
      <c r="BG283" s="7">
        <v>7.7358452942182403</v>
      </c>
      <c r="BH283" s="7">
        <v>7.8902917656001099</v>
      </c>
      <c r="BI283" s="7">
        <v>9.9534416406642592</v>
      </c>
      <c r="BJ283" s="7">
        <v>9.9992878568041608</v>
      </c>
      <c r="BK283" s="7">
        <v>10</v>
      </c>
      <c r="BL283" s="7">
        <v>99.157504408716903</v>
      </c>
      <c r="BM283" s="7">
        <v>100</v>
      </c>
      <c r="BN283" s="7">
        <v>100</v>
      </c>
      <c r="BO283" s="7">
        <v>100</v>
      </c>
      <c r="BP283" s="6">
        <v>15.6781778326314</v>
      </c>
      <c r="BQ283" s="6">
        <v>1.2925736428877099</v>
      </c>
      <c r="BR283" s="6">
        <v>3.7632354743211098</v>
      </c>
      <c r="BS283" s="6">
        <v>5.84291559593599</v>
      </c>
      <c r="BT283" s="6">
        <v>7.1517495458089204</v>
      </c>
      <c r="BU283" s="6">
        <v>67.004150320819605</v>
      </c>
      <c r="BV283" s="6">
        <v>86.487837624247703</v>
      </c>
      <c r="BW283" s="6">
        <v>93.447128251484202</v>
      </c>
      <c r="BX283" s="6">
        <v>97.516112017815999</v>
      </c>
      <c r="BY283" s="6" t="str">
        <f>TRIM(Table1[[#This Row],[LA_Name]])</f>
        <v>Kent</v>
      </c>
      <c r="BZ283" s="7">
        <v>38.926583616091797</v>
      </c>
      <c r="CA283" s="7">
        <v>8.6628401549310993E-2</v>
      </c>
      <c r="CB283" s="7">
        <v>0.49179969773872301</v>
      </c>
      <c r="CC283" s="7">
        <v>1.2780102257369601</v>
      </c>
      <c r="CD283" s="7">
        <v>3.30613633013609</v>
      </c>
      <c r="CE283" s="7">
        <v>7.8271818486953197</v>
      </c>
      <c r="CF283" s="7">
        <v>35.041973826517697</v>
      </c>
      <c r="CG283" s="7">
        <v>65.383802560518902</v>
      </c>
      <c r="CH283" s="7">
        <v>87.781327640923607</v>
      </c>
      <c r="CI283" s="7">
        <v>47.282466653650502</v>
      </c>
      <c r="CJ283" s="7">
        <v>0.22199865385400899</v>
      </c>
      <c r="CK283" s="7">
        <v>0.68246227505776202</v>
      </c>
      <c r="CL283" s="7">
        <v>1.2587708159811299</v>
      </c>
      <c r="CM283" s="7">
        <v>2.1641978443904999</v>
      </c>
      <c r="CN283" s="7">
        <v>18.3212600494771</v>
      </c>
      <c r="CO283" s="7">
        <v>39.136619610754202</v>
      </c>
      <c r="CP283" s="7">
        <v>57.865808069417099</v>
      </c>
      <c r="CQ283" s="7">
        <v>69.199540392371404</v>
      </c>
      <c r="CR283" s="7">
        <v>21.488623544609901</v>
      </c>
      <c r="CS283" s="7">
        <v>0.489170450852352</v>
      </c>
      <c r="CT283" s="7">
        <v>3.08165849448311</v>
      </c>
      <c r="CU283" s="7">
        <v>6.7878816670188904</v>
      </c>
      <c r="CV283" s="7">
        <v>8.7208425311096498</v>
      </c>
      <c r="CW283" s="7">
        <v>33.894197897668001</v>
      </c>
      <c r="CX283" s="7">
        <v>77.741351722374304</v>
      </c>
      <c r="CY283" s="7">
        <v>98.029441171821901</v>
      </c>
      <c r="CZ283" s="7">
        <v>100</v>
      </c>
      <c r="DA283" s="9">
        <v>84.260329838809994</v>
      </c>
      <c r="DB283" s="9">
        <v>7.1652083418429394E-2</v>
      </c>
      <c r="DC283" s="9">
        <v>0.216585655198379</v>
      </c>
      <c r="DD283" s="9">
        <v>0.37809919923848601</v>
      </c>
      <c r="DE283" s="9">
        <v>0.495038084565673</v>
      </c>
      <c r="DF283" s="9">
        <v>6.3967685392540101</v>
      </c>
      <c r="DG283" s="9">
        <v>18.0364027711428</v>
      </c>
      <c r="DH283" s="9">
        <v>27.289114154245599</v>
      </c>
      <c r="DI283" s="9">
        <v>32.167472637540399</v>
      </c>
    </row>
    <row r="284" spans="1:113">
      <c r="A284" s="5" t="s">
        <v>610</v>
      </c>
      <c r="B284" s="5" t="s">
        <v>683</v>
      </c>
      <c r="C284" s="5" t="s">
        <v>684</v>
      </c>
      <c r="D284" s="6">
        <v>91773</v>
      </c>
      <c r="E284" s="7">
        <v>10.654285474595399</v>
      </c>
      <c r="F284" s="7">
        <v>2.0109073474769299</v>
      </c>
      <c r="G284" s="7">
        <v>6.9081211249496004</v>
      </c>
      <c r="H284" s="7">
        <v>9.1987076809083295</v>
      </c>
      <c r="I284" s="7">
        <v>9.7620868883004803</v>
      </c>
      <c r="J284" s="7">
        <v>78.7540997896985</v>
      </c>
      <c r="K284" s="7">
        <v>96.468460222505499</v>
      </c>
      <c r="L284" s="7">
        <v>99.636058535734904</v>
      </c>
      <c r="M284" s="7">
        <v>99.857256491560705</v>
      </c>
      <c r="N284" s="7">
        <v>9.8320177812272807</v>
      </c>
      <c r="O284" s="7">
        <v>4.1891732862606696</v>
      </c>
      <c r="P284" s="7">
        <v>7.8521460560295502</v>
      </c>
      <c r="Q284" s="7">
        <v>9.7397382672463593</v>
      </c>
      <c r="R284" s="7">
        <v>10</v>
      </c>
      <c r="S284" s="7">
        <v>88.311376984516102</v>
      </c>
      <c r="T284" s="7">
        <v>99.403964128883203</v>
      </c>
      <c r="U284" s="7">
        <v>100</v>
      </c>
      <c r="V284" s="7">
        <v>100</v>
      </c>
      <c r="W284" s="7">
        <v>7.5993239821180998</v>
      </c>
      <c r="X284" s="7">
        <v>7.73721029060835</v>
      </c>
      <c r="Y284" s="7">
        <v>10</v>
      </c>
      <c r="Z284" s="7">
        <v>10</v>
      </c>
      <c r="AA284" s="7">
        <v>10</v>
      </c>
      <c r="AB284" s="7">
        <v>98.644481492377906</v>
      </c>
      <c r="AC284" s="7">
        <v>100</v>
      </c>
      <c r="AD284" s="7">
        <v>100</v>
      </c>
      <c r="AE284" s="7">
        <v>100</v>
      </c>
      <c r="AF284" s="6">
        <v>14.6833071563982</v>
      </c>
      <c r="AG284" s="6">
        <v>1.6602377605613901</v>
      </c>
      <c r="AH284" s="6">
        <v>4.4661501748880399</v>
      </c>
      <c r="AI284" s="6">
        <v>6.3185359528401603</v>
      </c>
      <c r="AJ284" s="6">
        <v>7.1470802959476103</v>
      </c>
      <c r="AK284" s="6">
        <v>73.010580453946105</v>
      </c>
      <c r="AL284" s="6">
        <v>87.359027164852407</v>
      </c>
      <c r="AM284" s="6">
        <v>92.790908001264</v>
      </c>
      <c r="AN284" s="6">
        <v>94.552864132152195</v>
      </c>
      <c r="AO284" s="6">
        <v>13.674341443708499</v>
      </c>
      <c r="AP284" s="7">
        <v>1.1019362993473001</v>
      </c>
      <c r="AQ284" s="7">
        <v>6.0817560720473303</v>
      </c>
      <c r="AR284" s="7">
        <v>8.9237030499166394</v>
      </c>
      <c r="AS284" s="7">
        <v>9.6503546794808894</v>
      </c>
      <c r="AT284" s="7">
        <v>70.616630163555698</v>
      </c>
      <c r="AU284" s="7">
        <v>92.321270962047706</v>
      </c>
      <c r="AV284" s="7">
        <v>98.712039488738498</v>
      </c>
      <c r="AW284" s="7">
        <v>99.399605548472906</v>
      </c>
      <c r="AX284" s="7">
        <v>11.5642098278561</v>
      </c>
      <c r="AY284" s="7">
        <v>2.7761542065749198</v>
      </c>
      <c r="AZ284" s="7">
        <v>7.4920946247807096</v>
      </c>
      <c r="BA284" s="7">
        <v>9.2673444259204807</v>
      </c>
      <c r="BB284" s="7">
        <v>9.9466727686792407</v>
      </c>
      <c r="BC284" s="7">
        <v>79.827400215749705</v>
      </c>
      <c r="BD284" s="7">
        <v>97.607139354712203</v>
      </c>
      <c r="BE284" s="7">
        <v>100</v>
      </c>
      <c r="BF284" s="7">
        <v>100</v>
      </c>
      <c r="BG284" s="7">
        <v>8.2624782975719402</v>
      </c>
      <c r="BH284" s="7">
        <v>7.0857877589269203</v>
      </c>
      <c r="BI284" s="7">
        <v>9.9936255761498494</v>
      </c>
      <c r="BJ284" s="7">
        <v>10</v>
      </c>
      <c r="BK284" s="7">
        <v>10</v>
      </c>
      <c r="BL284" s="7">
        <v>98.084403909646596</v>
      </c>
      <c r="BM284" s="7">
        <v>100</v>
      </c>
      <c r="BN284" s="7">
        <v>100</v>
      </c>
      <c r="BO284" s="7">
        <v>100</v>
      </c>
      <c r="BP284" s="6">
        <v>20.3466905440761</v>
      </c>
      <c r="BQ284" s="6">
        <v>0.89699584845215896</v>
      </c>
      <c r="BR284" s="6">
        <v>3.05194338204047</v>
      </c>
      <c r="BS284" s="6">
        <v>5.4931297876281704</v>
      </c>
      <c r="BT284" s="6">
        <v>6.8110010569557504</v>
      </c>
      <c r="BU284" s="6">
        <v>62.875791354755798</v>
      </c>
      <c r="BV284" s="6">
        <v>79.4765344927157</v>
      </c>
      <c r="BW284" s="6">
        <v>85.341004434855606</v>
      </c>
      <c r="BX284" s="6">
        <v>92.169810292787602</v>
      </c>
      <c r="BY284" s="6" t="str">
        <f>TRIM(Table1[[#This Row],[LA_Name]])</f>
        <v>Ashford</v>
      </c>
      <c r="BZ284" s="7">
        <v>29.207294448266602</v>
      </c>
      <c r="CA284" s="7">
        <v>0.14832249136456299</v>
      </c>
      <c r="CB284" s="7">
        <v>0.94898281629673198</v>
      </c>
      <c r="CC284" s="7">
        <v>1.54032231702135</v>
      </c>
      <c r="CD284" s="7">
        <v>2.5991849454632598</v>
      </c>
      <c r="CE284" s="7">
        <v>14.3135780676234</v>
      </c>
      <c r="CF284" s="7">
        <v>65.768799102132405</v>
      </c>
      <c r="CG284" s="7">
        <v>84.1336776611858</v>
      </c>
      <c r="CH284" s="7">
        <v>95.180499711244096</v>
      </c>
      <c r="CI284" s="7">
        <v>28.573322734322701</v>
      </c>
      <c r="CJ284" s="7">
        <v>0.35932136903010697</v>
      </c>
      <c r="CK284" s="7">
        <v>1.3122051147941101</v>
      </c>
      <c r="CL284" s="7">
        <v>1.54186961306702</v>
      </c>
      <c r="CM284" s="7">
        <v>1.7295609819881701</v>
      </c>
      <c r="CN284" s="7">
        <v>32.036655661251103</v>
      </c>
      <c r="CO284" s="7">
        <v>71.003454174975204</v>
      </c>
      <c r="CP284" s="7">
        <v>80.347160929685202</v>
      </c>
      <c r="CQ284" s="7">
        <v>87.428764451418203</v>
      </c>
      <c r="CR284" s="7">
        <v>15.739921734667201</v>
      </c>
      <c r="CS284" s="7">
        <v>1.0085319211532799</v>
      </c>
      <c r="CT284" s="7">
        <v>1.8675209484271</v>
      </c>
      <c r="CU284" s="7">
        <v>6.0442395911651596</v>
      </c>
      <c r="CV284" s="7">
        <v>9.6733679840475997</v>
      </c>
      <c r="CW284" s="7">
        <v>65.519270373639301</v>
      </c>
      <c r="CX284" s="7">
        <v>92.353960315125406</v>
      </c>
      <c r="CY284" s="7">
        <v>100</v>
      </c>
      <c r="CZ284" s="7">
        <v>100</v>
      </c>
      <c r="DA284" s="9">
        <v>57.183383605607297</v>
      </c>
      <c r="DB284" s="9">
        <v>0.100051213319822</v>
      </c>
      <c r="DC284" s="9">
        <v>0.41338955902062702</v>
      </c>
      <c r="DD284" s="9">
        <v>0.79147461671733499</v>
      </c>
      <c r="DE284" s="9">
        <v>1.05483094156233</v>
      </c>
      <c r="DF284" s="9">
        <v>10.005121331982201</v>
      </c>
      <c r="DG284" s="9">
        <v>36.256851143582502</v>
      </c>
      <c r="DH284" s="9">
        <v>56.210432262212201</v>
      </c>
      <c r="DI284" s="9">
        <v>64.685691870157896</v>
      </c>
    </row>
    <row r="285" spans="1:113">
      <c r="A285" s="5" t="s">
        <v>610</v>
      </c>
      <c r="B285" s="5" t="s">
        <v>685</v>
      </c>
      <c r="C285" s="5" t="s">
        <v>686</v>
      </c>
      <c r="D285" s="6">
        <v>123045</v>
      </c>
      <c r="E285" s="7">
        <v>9.3523775071192699</v>
      </c>
      <c r="F285" s="7">
        <v>2.4719980494940899</v>
      </c>
      <c r="G285" s="7">
        <v>8.3723190702588504</v>
      </c>
      <c r="H285" s="7">
        <v>9.7982770531106507</v>
      </c>
      <c r="I285" s="7">
        <v>9.9667763826242393</v>
      </c>
      <c r="J285" s="7">
        <v>86.604900646105094</v>
      </c>
      <c r="K285" s="7">
        <v>98.890649762282095</v>
      </c>
      <c r="L285" s="7">
        <v>99.871591694095699</v>
      </c>
      <c r="M285" s="7">
        <v>100</v>
      </c>
      <c r="N285" s="7">
        <v>8.8549196606828708</v>
      </c>
      <c r="O285" s="7">
        <v>5.2201145922223597</v>
      </c>
      <c r="P285" s="7">
        <v>9.4571579503433707</v>
      </c>
      <c r="Q285" s="7">
        <v>9.9892803445893801</v>
      </c>
      <c r="R285" s="7">
        <v>10</v>
      </c>
      <c r="S285" s="7">
        <v>93.936364744605598</v>
      </c>
      <c r="T285" s="7">
        <v>100</v>
      </c>
      <c r="U285" s="7">
        <v>100</v>
      </c>
      <c r="V285" s="7">
        <v>100</v>
      </c>
      <c r="W285" s="7">
        <v>7.1652961907244803</v>
      </c>
      <c r="X285" s="7">
        <v>8.9408752895282202</v>
      </c>
      <c r="Y285" s="7">
        <v>10</v>
      </c>
      <c r="Z285" s="7">
        <v>10</v>
      </c>
      <c r="AA285" s="7">
        <v>10</v>
      </c>
      <c r="AB285" s="7">
        <v>100</v>
      </c>
      <c r="AC285" s="7">
        <v>100</v>
      </c>
      <c r="AD285" s="7">
        <v>100</v>
      </c>
      <c r="AE285" s="7">
        <v>100</v>
      </c>
      <c r="AF285" s="6">
        <v>11.2599258407287</v>
      </c>
      <c r="AG285" s="6">
        <v>1.81162176439514</v>
      </c>
      <c r="AH285" s="6">
        <v>5.1661912308505</v>
      </c>
      <c r="AI285" s="6">
        <v>7.6775163558047899</v>
      </c>
      <c r="AJ285" s="6">
        <v>8.8209598114511003</v>
      </c>
      <c r="AK285" s="6">
        <v>76.893819334389903</v>
      </c>
      <c r="AL285" s="6">
        <v>94.7750822869682</v>
      </c>
      <c r="AM285" s="6">
        <v>98.008858547685804</v>
      </c>
      <c r="AN285" s="6">
        <v>99.807387541143498</v>
      </c>
      <c r="AO285" s="6">
        <v>10.351533754704599</v>
      </c>
      <c r="AP285" s="7">
        <v>1.9483928643991999</v>
      </c>
      <c r="AQ285" s="7">
        <v>8.1896054289081199</v>
      </c>
      <c r="AR285" s="7">
        <v>9.8663984721037004</v>
      </c>
      <c r="AS285" s="7">
        <v>9.9773741314153401</v>
      </c>
      <c r="AT285" s="7">
        <v>76.668698443658798</v>
      </c>
      <c r="AU285" s="7">
        <v>99.293754317526094</v>
      </c>
      <c r="AV285" s="7">
        <v>100</v>
      </c>
      <c r="AW285" s="7">
        <v>100</v>
      </c>
      <c r="AX285" s="7">
        <v>9.4327838590122006</v>
      </c>
      <c r="AY285" s="7">
        <v>4.8591978544434999</v>
      </c>
      <c r="AZ285" s="7">
        <v>8.6031533178918291</v>
      </c>
      <c r="BA285" s="7">
        <v>9.9760087772766095</v>
      </c>
      <c r="BB285" s="7">
        <v>10</v>
      </c>
      <c r="BC285" s="7">
        <v>92.341826161160597</v>
      </c>
      <c r="BD285" s="7">
        <v>99.498557438335595</v>
      </c>
      <c r="BE285" s="7">
        <v>100</v>
      </c>
      <c r="BF285" s="7">
        <v>100</v>
      </c>
      <c r="BG285" s="7">
        <v>7.3745734456214302</v>
      </c>
      <c r="BH285" s="7">
        <v>8.8280303953838004</v>
      </c>
      <c r="BI285" s="7">
        <v>10</v>
      </c>
      <c r="BJ285" s="7">
        <v>10</v>
      </c>
      <c r="BK285" s="7">
        <v>10</v>
      </c>
      <c r="BL285" s="7">
        <v>99.498557438335595</v>
      </c>
      <c r="BM285" s="7">
        <v>100</v>
      </c>
      <c r="BN285" s="7">
        <v>100</v>
      </c>
      <c r="BO285" s="7">
        <v>100</v>
      </c>
      <c r="BP285" s="6">
        <v>13.330077026389301</v>
      </c>
      <c r="BQ285" s="6">
        <v>1.4871225974237099</v>
      </c>
      <c r="BR285" s="6">
        <v>4.7957982851802203</v>
      </c>
      <c r="BS285" s="6">
        <v>6.6341744890080898</v>
      </c>
      <c r="BT285" s="6">
        <v>7.4888049087732096</v>
      </c>
      <c r="BU285" s="6">
        <v>71.249542850176795</v>
      </c>
      <c r="BV285" s="6">
        <v>90.977284733227705</v>
      </c>
      <c r="BW285" s="6">
        <v>97.429395749522499</v>
      </c>
      <c r="BX285" s="6">
        <v>99.284001787963703</v>
      </c>
      <c r="BY285" s="6" t="str">
        <f>TRIM(Table1[[#This Row],[LA_Name]])</f>
        <v>Canterbury</v>
      </c>
      <c r="BZ285" s="7">
        <v>29.712119822524301</v>
      </c>
      <c r="CA285" s="7">
        <v>0.17474907554146901</v>
      </c>
      <c r="CB285" s="7">
        <v>0.76294038766304995</v>
      </c>
      <c r="CC285" s="7">
        <v>1.4419114957942201</v>
      </c>
      <c r="CD285" s="7">
        <v>2.6071599821203599</v>
      </c>
      <c r="CE285" s="7">
        <v>17.474907554146899</v>
      </c>
      <c r="CF285" s="7">
        <v>49.325043683205301</v>
      </c>
      <c r="CG285" s="7">
        <v>83.233776260717605</v>
      </c>
      <c r="CH285" s="7">
        <v>98.767930431955804</v>
      </c>
      <c r="CI285" s="7">
        <v>27.4847134848244</v>
      </c>
      <c r="CJ285" s="7">
        <v>0.46339956926327802</v>
      </c>
      <c r="CK285" s="7">
        <v>0.95028648055589404</v>
      </c>
      <c r="CL285" s="7">
        <v>1.4725832012678299</v>
      </c>
      <c r="CM285" s="7">
        <v>1.99617213214678</v>
      </c>
      <c r="CN285" s="7">
        <v>39.447356658133202</v>
      </c>
      <c r="CO285" s="7">
        <v>50.808240887480203</v>
      </c>
      <c r="CP285" s="7">
        <v>83.920516884066799</v>
      </c>
      <c r="CQ285" s="7">
        <v>99.774066398472101</v>
      </c>
      <c r="CR285" s="7">
        <v>14.9245569391966</v>
      </c>
      <c r="CS285" s="7">
        <v>0.827827217684587</v>
      </c>
      <c r="CT285" s="7">
        <v>2.0750782234142</v>
      </c>
      <c r="CU285" s="7">
        <v>4.7979519687919101</v>
      </c>
      <c r="CV285" s="7">
        <v>9.8803120809459895</v>
      </c>
      <c r="CW285" s="7">
        <v>45.5776341988703</v>
      </c>
      <c r="CX285" s="7">
        <v>100</v>
      </c>
      <c r="CY285" s="7">
        <v>100</v>
      </c>
      <c r="CZ285" s="7">
        <v>100</v>
      </c>
      <c r="DA285" s="9">
        <v>68.408271477905004</v>
      </c>
      <c r="DB285" s="9">
        <v>0.159348205940916</v>
      </c>
      <c r="DC285" s="9">
        <v>0.44517859319761099</v>
      </c>
      <c r="DD285" s="9">
        <v>0.67888983705148498</v>
      </c>
      <c r="DE285" s="9">
        <v>0.83803486529318505</v>
      </c>
      <c r="DF285" s="9">
        <v>15.934820594091599</v>
      </c>
      <c r="DG285" s="9">
        <v>37.664269169815903</v>
      </c>
      <c r="DH285" s="9">
        <v>42.364988418871199</v>
      </c>
      <c r="DI285" s="9">
        <v>44.000975252956202</v>
      </c>
    </row>
    <row r="286" spans="1:113">
      <c r="A286" s="5" t="s">
        <v>610</v>
      </c>
      <c r="B286" s="5" t="s">
        <v>687</v>
      </c>
      <c r="C286" s="5" t="s">
        <v>688</v>
      </c>
      <c r="D286" s="6">
        <v>79710</v>
      </c>
      <c r="E286" s="7">
        <v>8.6432059825176601</v>
      </c>
      <c r="F286" s="7">
        <v>2.3782586877430698</v>
      </c>
      <c r="G286" s="7">
        <v>9.6476602684732207</v>
      </c>
      <c r="H286" s="7">
        <v>10</v>
      </c>
      <c r="I286" s="7">
        <v>10</v>
      </c>
      <c r="J286" s="7">
        <v>86.509848199724004</v>
      </c>
      <c r="K286" s="7">
        <v>100</v>
      </c>
      <c r="L286" s="7">
        <v>100</v>
      </c>
      <c r="M286" s="7">
        <v>100</v>
      </c>
      <c r="N286" s="7">
        <v>8.38999876989174</v>
      </c>
      <c r="O286" s="7">
        <v>6.1798645088445596</v>
      </c>
      <c r="P286" s="7">
        <v>10</v>
      </c>
      <c r="Q286" s="7">
        <v>10</v>
      </c>
      <c r="R286" s="7">
        <v>10</v>
      </c>
      <c r="S286" s="7">
        <v>95.097227449504402</v>
      </c>
      <c r="T286" s="7">
        <v>100</v>
      </c>
      <c r="U286" s="7">
        <v>100</v>
      </c>
      <c r="V286" s="7">
        <v>100</v>
      </c>
      <c r="W286" s="7">
        <v>7.0895641614585898</v>
      </c>
      <c r="X286" s="7">
        <v>9.9978170869401595</v>
      </c>
      <c r="Y286" s="7">
        <v>10</v>
      </c>
      <c r="Z286" s="7">
        <v>10</v>
      </c>
      <c r="AA286" s="7">
        <v>10</v>
      </c>
      <c r="AB286" s="7">
        <v>100</v>
      </c>
      <c r="AC286" s="7">
        <v>100</v>
      </c>
      <c r="AD286" s="7">
        <v>100</v>
      </c>
      <c r="AE286" s="7">
        <v>100</v>
      </c>
      <c r="AF286" s="6">
        <v>9.9364801727577898</v>
      </c>
      <c r="AG286" s="6">
        <v>1.8686237611341101</v>
      </c>
      <c r="AH286" s="6">
        <v>6.09634926608957</v>
      </c>
      <c r="AI286" s="6">
        <v>8.6323547860996097</v>
      </c>
      <c r="AJ286" s="6">
        <v>9.9370718855852491</v>
      </c>
      <c r="AK286" s="6">
        <v>79.168234851336095</v>
      </c>
      <c r="AL286" s="6">
        <v>96.546230084054699</v>
      </c>
      <c r="AM286" s="6">
        <v>100</v>
      </c>
      <c r="AN286" s="6">
        <v>100</v>
      </c>
      <c r="AO286" s="6">
        <v>8.5868729212527608</v>
      </c>
      <c r="AP286" s="7">
        <v>2.1533684606699302</v>
      </c>
      <c r="AQ286" s="7">
        <v>9.3421528039141908</v>
      </c>
      <c r="AR286" s="7">
        <v>10</v>
      </c>
      <c r="AS286" s="7">
        <v>10</v>
      </c>
      <c r="AT286" s="7">
        <v>87.1684857608832</v>
      </c>
      <c r="AU286" s="7">
        <v>100</v>
      </c>
      <c r="AV286" s="7">
        <v>100</v>
      </c>
      <c r="AW286" s="7">
        <v>100</v>
      </c>
      <c r="AX286" s="7">
        <v>8.4169186975019503</v>
      </c>
      <c r="AY286" s="7">
        <v>5.6513235478609998</v>
      </c>
      <c r="AZ286" s="7">
        <v>9.9336720612219302</v>
      </c>
      <c r="BA286" s="7">
        <v>10</v>
      </c>
      <c r="BB286" s="7">
        <v>10</v>
      </c>
      <c r="BC286" s="7">
        <v>95.611592021076405</v>
      </c>
      <c r="BD286" s="7">
        <v>100</v>
      </c>
      <c r="BE286" s="7">
        <v>100</v>
      </c>
      <c r="BF286" s="7">
        <v>100</v>
      </c>
      <c r="BG286" s="7">
        <v>7.0841526893162996</v>
      </c>
      <c r="BH286" s="7">
        <v>9.8185045790992405</v>
      </c>
      <c r="BI286" s="7">
        <v>10</v>
      </c>
      <c r="BJ286" s="7">
        <v>10</v>
      </c>
      <c r="BK286" s="7">
        <v>10</v>
      </c>
      <c r="BL286" s="7">
        <v>100</v>
      </c>
      <c r="BM286" s="7">
        <v>100</v>
      </c>
      <c r="BN286" s="7">
        <v>100</v>
      </c>
      <c r="BO286" s="7">
        <v>100</v>
      </c>
      <c r="BP286" s="6">
        <v>9.8068298569984496</v>
      </c>
      <c r="BQ286" s="6">
        <v>1.6996236356793399</v>
      </c>
      <c r="BR286" s="6">
        <v>5.32092585622883</v>
      </c>
      <c r="BS286" s="6">
        <v>8.0234349516999099</v>
      </c>
      <c r="BT286" s="6">
        <v>9.5190565801028697</v>
      </c>
      <c r="BU286" s="6">
        <v>85.689373980680003</v>
      </c>
      <c r="BV286" s="6">
        <v>95.489900890728904</v>
      </c>
      <c r="BW286" s="6">
        <v>100</v>
      </c>
      <c r="BX286" s="6">
        <v>100</v>
      </c>
      <c r="BY286" s="6" t="str">
        <f>TRIM(Table1[[#This Row],[LA_Name]])</f>
        <v>Dartford</v>
      </c>
      <c r="BZ286" s="7">
        <v>29.428563359819801</v>
      </c>
      <c r="CA286" s="7">
        <v>5.4999372726132201E-2</v>
      </c>
      <c r="CB286" s="7">
        <v>0.56721866767030504</v>
      </c>
      <c r="CC286" s="7">
        <v>1.22091331075147</v>
      </c>
      <c r="CD286" s="7">
        <v>5.8872287040521902</v>
      </c>
      <c r="CE286" s="7">
        <v>5.4999372726132201</v>
      </c>
      <c r="CF286" s="7">
        <v>56.721866767030498</v>
      </c>
      <c r="CG286" s="7">
        <v>92.501568184669395</v>
      </c>
      <c r="CH286" s="7">
        <v>100</v>
      </c>
      <c r="CI286" s="7">
        <v>21.1713770990225</v>
      </c>
      <c r="CJ286" s="7">
        <v>0.162953205369464</v>
      </c>
      <c r="CK286" s="7">
        <v>1.3484380880692499</v>
      </c>
      <c r="CL286" s="7">
        <v>3.3792748714088598</v>
      </c>
      <c r="CM286" s="7">
        <v>4.9977669050307396</v>
      </c>
      <c r="CN286" s="7">
        <v>16.295320536946399</v>
      </c>
      <c r="CO286" s="7">
        <v>92.443858988834506</v>
      </c>
      <c r="CP286" s="7">
        <v>100</v>
      </c>
      <c r="CQ286" s="7">
        <v>100</v>
      </c>
      <c r="CR286" s="7">
        <v>13.110559512309299</v>
      </c>
      <c r="CS286" s="7">
        <v>0.72228076778321404</v>
      </c>
      <c r="CT286" s="7">
        <v>7.3284029607326602</v>
      </c>
      <c r="CU286" s="7">
        <v>10</v>
      </c>
      <c r="CV286" s="7">
        <v>10</v>
      </c>
      <c r="CW286" s="7">
        <v>70.284782335967904</v>
      </c>
      <c r="CX286" s="7">
        <v>100</v>
      </c>
      <c r="CY286" s="7">
        <v>100</v>
      </c>
      <c r="CZ286" s="7">
        <v>100</v>
      </c>
      <c r="DA286" s="9">
        <v>50.943729125711599</v>
      </c>
      <c r="DB286" s="9">
        <v>4.7371722494040903E-2</v>
      </c>
      <c r="DC286" s="9">
        <v>0.15822356040647301</v>
      </c>
      <c r="DD286" s="9">
        <v>0.43424915318027901</v>
      </c>
      <c r="DE286" s="9">
        <v>0.63983189060343704</v>
      </c>
      <c r="DF286" s="9">
        <v>4.7371722494040904</v>
      </c>
      <c r="DG286" s="9">
        <v>15.8223560406473</v>
      </c>
      <c r="DH286" s="9">
        <v>43.4249153180279</v>
      </c>
      <c r="DI286" s="9">
        <v>62.978296324175098</v>
      </c>
    </row>
    <row r="287" spans="1:113">
      <c r="A287" s="5" t="s">
        <v>610</v>
      </c>
      <c r="B287" s="5" t="s">
        <v>689</v>
      </c>
      <c r="C287" s="5" t="s">
        <v>690</v>
      </c>
      <c r="D287" s="6">
        <v>85072</v>
      </c>
      <c r="E287" s="7">
        <v>8.9121343117496803</v>
      </c>
      <c r="F287" s="7">
        <v>2.9852477901071999</v>
      </c>
      <c r="G287" s="7">
        <v>8.2715699642655593</v>
      </c>
      <c r="H287" s="7">
        <v>9.6522710174910706</v>
      </c>
      <c r="I287" s="7">
        <v>9.8485047959375596</v>
      </c>
      <c r="J287" s="7">
        <v>87.3248542411134</v>
      </c>
      <c r="K287" s="7">
        <v>97.057786345683695</v>
      </c>
      <c r="L287" s="7">
        <v>100</v>
      </c>
      <c r="M287" s="7">
        <v>100</v>
      </c>
      <c r="N287" s="7">
        <v>8.6287395434539196</v>
      </c>
      <c r="O287" s="7">
        <v>5.5547066014669904</v>
      </c>
      <c r="P287" s="7">
        <v>8.5546008087267307</v>
      </c>
      <c r="Q287" s="7">
        <v>9.9399567425239805</v>
      </c>
      <c r="R287" s="7">
        <v>10</v>
      </c>
      <c r="S287" s="7">
        <v>93.6136449125447</v>
      </c>
      <c r="T287" s="7">
        <v>100</v>
      </c>
      <c r="U287" s="7">
        <v>100</v>
      </c>
      <c r="V287" s="7">
        <v>100</v>
      </c>
      <c r="W287" s="7">
        <v>6.9993976763659296</v>
      </c>
      <c r="X287" s="7">
        <v>8.2083764340793692</v>
      </c>
      <c r="Y287" s="7">
        <v>10</v>
      </c>
      <c r="Z287" s="7">
        <v>10</v>
      </c>
      <c r="AA287" s="7">
        <v>10</v>
      </c>
      <c r="AB287" s="7">
        <v>100</v>
      </c>
      <c r="AC287" s="7">
        <v>100</v>
      </c>
      <c r="AD287" s="7">
        <v>100</v>
      </c>
      <c r="AE287" s="7">
        <v>100</v>
      </c>
      <c r="AF287" s="6">
        <v>10.507893875028</v>
      </c>
      <c r="AG287" s="6">
        <v>2.2232344367124299</v>
      </c>
      <c r="AH287" s="6">
        <v>5.5654034229828904</v>
      </c>
      <c r="AI287" s="6">
        <v>7.0434573067519297</v>
      </c>
      <c r="AJ287" s="6">
        <v>7.7204485612187304</v>
      </c>
      <c r="AK287" s="6">
        <v>82.6064980252022</v>
      </c>
      <c r="AL287" s="6">
        <v>92.750846341922099</v>
      </c>
      <c r="AM287" s="6">
        <v>98.145100620650695</v>
      </c>
      <c r="AN287" s="6">
        <v>100</v>
      </c>
      <c r="AO287" s="6">
        <v>14.3903289973975</v>
      </c>
      <c r="AP287" s="7">
        <v>0.96006911792364102</v>
      </c>
      <c r="AQ287" s="7">
        <v>4.3689463043069399</v>
      </c>
      <c r="AR287" s="7">
        <v>8.6016433138988209</v>
      </c>
      <c r="AS287" s="7">
        <v>9.7400202181681408</v>
      </c>
      <c r="AT287" s="7">
        <v>62.480016926838402</v>
      </c>
      <c r="AU287" s="7">
        <v>96.371309008839603</v>
      </c>
      <c r="AV287" s="7">
        <v>98.953827346247905</v>
      </c>
      <c r="AW287" s="7">
        <v>99.599163061876993</v>
      </c>
      <c r="AX287" s="7">
        <v>12.054507636202199</v>
      </c>
      <c r="AY287" s="7">
        <v>1.8481756629678401</v>
      </c>
      <c r="AZ287" s="7">
        <v>4.3410993041188597</v>
      </c>
      <c r="BA287" s="7">
        <v>7.8796313710739101</v>
      </c>
      <c r="BB287" s="7">
        <v>9.9651824337032195</v>
      </c>
      <c r="BC287" s="7">
        <v>76.847846529998094</v>
      </c>
      <c r="BD287" s="7">
        <v>98.809243934549599</v>
      </c>
      <c r="BE287" s="7">
        <v>100</v>
      </c>
      <c r="BF287" s="7">
        <v>100</v>
      </c>
      <c r="BG287" s="7">
        <v>8.5650283352636407</v>
      </c>
      <c r="BH287" s="7">
        <v>3.9542387624600299</v>
      </c>
      <c r="BI287" s="7">
        <v>10</v>
      </c>
      <c r="BJ287" s="7">
        <v>10</v>
      </c>
      <c r="BK287" s="7">
        <v>10</v>
      </c>
      <c r="BL287" s="7">
        <v>96.517067895429705</v>
      </c>
      <c r="BM287" s="7">
        <v>100</v>
      </c>
      <c r="BN287" s="7">
        <v>100</v>
      </c>
      <c r="BO287" s="7">
        <v>100</v>
      </c>
      <c r="BP287" s="6">
        <v>22.1069883467251</v>
      </c>
      <c r="BQ287" s="6">
        <v>0.67697949971788596</v>
      </c>
      <c r="BR287" s="6">
        <v>1.9472564416024101</v>
      </c>
      <c r="BS287" s="6">
        <v>2.8753408877186399</v>
      </c>
      <c r="BT287" s="6">
        <v>3.6321586420914</v>
      </c>
      <c r="BU287" s="6">
        <v>46.050404363362802</v>
      </c>
      <c r="BV287" s="6">
        <v>77.221647545608405</v>
      </c>
      <c r="BW287" s="6">
        <v>87.079179988715396</v>
      </c>
      <c r="BX287" s="6">
        <v>94.2237163814181</v>
      </c>
      <c r="BY287" s="6" t="str">
        <f>TRIM(Table1[[#This Row],[LA_Name]])</f>
        <v>Dover</v>
      </c>
      <c r="BZ287" s="7">
        <v>57.086263370442197</v>
      </c>
      <c r="CA287" s="7">
        <v>0</v>
      </c>
      <c r="CB287" s="7">
        <v>5.3484107579462098E-3</v>
      </c>
      <c r="CC287" s="7">
        <v>0.36658359977430899</v>
      </c>
      <c r="CD287" s="7">
        <v>0.89908548053413595</v>
      </c>
      <c r="CE287" s="7">
        <v>0</v>
      </c>
      <c r="CF287" s="7">
        <v>0.53484107579462103</v>
      </c>
      <c r="CG287" s="7">
        <v>36.658359977430898</v>
      </c>
      <c r="CH287" s="7">
        <v>55.3154974609742</v>
      </c>
      <c r="CI287" s="7">
        <v>90.901408165272898</v>
      </c>
      <c r="CJ287" s="7">
        <v>0</v>
      </c>
      <c r="CK287" s="7">
        <v>0</v>
      </c>
      <c r="CL287" s="7">
        <v>2.6213090088395702E-3</v>
      </c>
      <c r="CM287" s="7">
        <v>9.33444611623096E-2</v>
      </c>
      <c r="CN287" s="7">
        <v>0</v>
      </c>
      <c r="CO287" s="7">
        <v>0</v>
      </c>
      <c r="CP287" s="7">
        <v>0.26213090088395702</v>
      </c>
      <c r="CQ287" s="7">
        <v>7.7769418845213503</v>
      </c>
      <c r="CR287" s="7">
        <v>35.182870182951604</v>
      </c>
      <c r="CS287" s="7">
        <v>0</v>
      </c>
      <c r="CT287" s="7">
        <v>0.27235753244310701</v>
      </c>
      <c r="CU287" s="7">
        <v>2.5456436900507802</v>
      </c>
      <c r="CV287" s="7">
        <v>3.94676274214783</v>
      </c>
      <c r="CW287" s="7">
        <v>0</v>
      </c>
      <c r="CX287" s="7">
        <v>22.855933797254099</v>
      </c>
      <c r="CY287" s="7">
        <v>93.573678766221605</v>
      </c>
      <c r="CZ287" s="7">
        <v>100</v>
      </c>
      <c r="DA287" s="9">
        <v>120</v>
      </c>
      <c r="DB287" s="9">
        <v>0</v>
      </c>
      <c r="DC287" s="9">
        <v>0</v>
      </c>
      <c r="DD287" s="9">
        <v>0</v>
      </c>
      <c r="DE287" s="9">
        <v>0</v>
      </c>
      <c r="DF287" s="9">
        <v>0</v>
      </c>
      <c r="DG287" s="9">
        <v>0</v>
      </c>
      <c r="DH287" s="9">
        <v>0</v>
      </c>
      <c r="DI287" s="9">
        <v>0</v>
      </c>
    </row>
    <row r="288" spans="1:113">
      <c r="A288" s="5" t="s">
        <v>610</v>
      </c>
      <c r="B288" s="5" t="s">
        <v>691</v>
      </c>
      <c r="C288" s="5" t="s">
        <v>692</v>
      </c>
      <c r="D288" s="6">
        <v>75256</v>
      </c>
      <c r="E288" s="7">
        <v>6.3499711606462599</v>
      </c>
      <c r="F288" s="7">
        <v>5.0167029871372399</v>
      </c>
      <c r="G288" s="7">
        <v>9.6516955458700995</v>
      </c>
      <c r="H288" s="7">
        <v>9.9777957903688694</v>
      </c>
      <c r="I288" s="7">
        <v>10</v>
      </c>
      <c r="J288" s="7">
        <v>96.998245987030899</v>
      </c>
      <c r="K288" s="7">
        <v>100</v>
      </c>
      <c r="L288" s="7">
        <v>100</v>
      </c>
      <c r="M288" s="7">
        <v>100</v>
      </c>
      <c r="N288" s="7">
        <v>7.3955258238806003</v>
      </c>
      <c r="O288" s="7">
        <v>8.4765201445731897</v>
      </c>
      <c r="P288" s="7">
        <v>9.8392154778356495</v>
      </c>
      <c r="Q288" s="7">
        <v>10</v>
      </c>
      <c r="R288" s="7">
        <v>10</v>
      </c>
      <c r="S288" s="7">
        <v>99.496385670245601</v>
      </c>
      <c r="T288" s="7">
        <v>100</v>
      </c>
      <c r="U288" s="7">
        <v>100</v>
      </c>
      <c r="V288" s="7">
        <v>100</v>
      </c>
      <c r="W288" s="7">
        <v>6.4838099181303601</v>
      </c>
      <c r="X288" s="7">
        <v>9.7554613585627692</v>
      </c>
      <c r="Y288" s="7">
        <v>10</v>
      </c>
      <c r="Z288" s="7">
        <v>10</v>
      </c>
      <c r="AA288" s="7">
        <v>10</v>
      </c>
      <c r="AB288" s="7">
        <v>100</v>
      </c>
      <c r="AC288" s="7">
        <v>100</v>
      </c>
      <c r="AD288" s="7">
        <v>100</v>
      </c>
      <c r="AE288" s="7">
        <v>100</v>
      </c>
      <c r="AF288" s="6">
        <v>6.8963629572405898</v>
      </c>
      <c r="AG288" s="6">
        <v>4.0662937174444602</v>
      </c>
      <c r="AH288" s="6">
        <v>8.4428218348038708</v>
      </c>
      <c r="AI288" s="6">
        <v>9.2066811948548892</v>
      </c>
      <c r="AJ288" s="6">
        <v>9.60611778462847</v>
      </c>
      <c r="AK288" s="6">
        <v>93.221802912724598</v>
      </c>
      <c r="AL288" s="6">
        <v>99.2346125225896</v>
      </c>
      <c r="AM288" s="6">
        <v>100</v>
      </c>
      <c r="AN288" s="6">
        <v>100</v>
      </c>
      <c r="AO288" s="6">
        <v>9.6480793461086396</v>
      </c>
      <c r="AP288" s="7">
        <v>2.3517593281598801</v>
      </c>
      <c r="AQ288" s="7">
        <v>8.9563622834059693</v>
      </c>
      <c r="AR288" s="7">
        <v>9.8994631657276493</v>
      </c>
      <c r="AS288" s="7">
        <v>10</v>
      </c>
      <c r="AT288" s="7">
        <v>86.856861911342605</v>
      </c>
      <c r="AU288" s="7">
        <v>99.819283512278105</v>
      </c>
      <c r="AV288" s="7">
        <v>100</v>
      </c>
      <c r="AW288" s="7">
        <v>100</v>
      </c>
      <c r="AX288" s="7">
        <v>9.2135676819091792</v>
      </c>
      <c r="AY288" s="7">
        <v>5.9099340916338896</v>
      </c>
      <c r="AZ288" s="7">
        <v>9.3648214095886004</v>
      </c>
      <c r="BA288" s="7">
        <v>10</v>
      </c>
      <c r="BB288" s="7">
        <v>10</v>
      </c>
      <c r="BC288" s="7">
        <v>91.530243435739393</v>
      </c>
      <c r="BD288" s="7">
        <v>100</v>
      </c>
      <c r="BE288" s="7">
        <v>100</v>
      </c>
      <c r="BF288" s="7">
        <v>100</v>
      </c>
      <c r="BG288" s="7">
        <v>7.3179422073629397</v>
      </c>
      <c r="BH288" s="7">
        <v>9.2722706495163205</v>
      </c>
      <c r="BI288" s="7">
        <v>10</v>
      </c>
      <c r="BJ288" s="7">
        <v>10</v>
      </c>
      <c r="BK288" s="7">
        <v>10</v>
      </c>
      <c r="BL288" s="7">
        <v>100</v>
      </c>
      <c r="BM288" s="7">
        <v>100</v>
      </c>
      <c r="BN288" s="7">
        <v>100</v>
      </c>
      <c r="BO288" s="7">
        <v>100</v>
      </c>
      <c r="BP288" s="6">
        <v>12.8866466500457</v>
      </c>
      <c r="BQ288" s="6">
        <v>1.69966514297863</v>
      </c>
      <c r="BR288" s="6">
        <v>5.45734559370681</v>
      </c>
      <c r="BS288" s="6">
        <v>8.0717816519613095</v>
      </c>
      <c r="BT288" s="6">
        <v>8.7865153609014595</v>
      </c>
      <c r="BU288" s="6">
        <v>75.314925055809496</v>
      </c>
      <c r="BV288" s="6">
        <v>91.151536090145598</v>
      </c>
      <c r="BW288" s="6">
        <v>95.961783778037599</v>
      </c>
      <c r="BX288" s="6">
        <v>99.686403741894296</v>
      </c>
      <c r="BY288" s="6" t="str">
        <f>TRIM(Table1[[#This Row],[LA_Name]])</f>
        <v>Gravesham</v>
      </c>
      <c r="BZ288" s="7">
        <v>38.235389748579699</v>
      </c>
      <c r="CA288" s="7">
        <v>0</v>
      </c>
      <c r="CB288" s="7">
        <v>0.1678670139258</v>
      </c>
      <c r="CC288" s="7">
        <v>1.8365313064738999</v>
      </c>
      <c r="CD288" s="7">
        <v>7.1194190496438798</v>
      </c>
      <c r="CE288" s="7">
        <v>0</v>
      </c>
      <c r="CF288" s="7">
        <v>15.811363877963201</v>
      </c>
      <c r="CG288" s="7">
        <v>80.755022855320505</v>
      </c>
      <c r="CH288" s="7">
        <v>98.5582544913362</v>
      </c>
      <c r="CI288" s="7">
        <v>38.459555467282399</v>
      </c>
      <c r="CJ288" s="7">
        <v>0</v>
      </c>
      <c r="CK288" s="7">
        <v>0.12616934197937699</v>
      </c>
      <c r="CL288" s="7">
        <v>1.33162804294674</v>
      </c>
      <c r="CM288" s="7">
        <v>4.7356356968215199</v>
      </c>
      <c r="CN288" s="7">
        <v>0</v>
      </c>
      <c r="CO288" s="7">
        <v>9.7932390772828697</v>
      </c>
      <c r="CP288" s="7">
        <v>90.819336664186196</v>
      </c>
      <c r="CQ288" s="7">
        <v>100</v>
      </c>
      <c r="CR288" s="7">
        <v>17.207921905409599</v>
      </c>
      <c r="CS288" s="7">
        <v>0.16118316147549699</v>
      </c>
      <c r="CT288" s="7">
        <v>7.3954634846390999</v>
      </c>
      <c r="CU288" s="7">
        <v>10</v>
      </c>
      <c r="CV288" s="7">
        <v>10</v>
      </c>
      <c r="CW288" s="7">
        <v>16.118316147549699</v>
      </c>
      <c r="CX288" s="7">
        <v>100</v>
      </c>
      <c r="CY288" s="7">
        <v>100</v>
      </c>
      <c r="CZ288" s="7">
        <v>100</v>
      </c>
      <c r="DA288" s="9">
        <v>103.89015507802</v>
      </c>
      <c r="DB288" s="9">
        <v>0</v>
      </c>
      <c r="DC288" s="9">
        <v>0</v>
      </c>
      <c r="DD288" s="9">
        <v>0</v>
      </c>
      <c r="DE288" s="9">
        <v>4.2096311257574098E-2</v>
      </c>
      <c r="DF288" s="9">
        <v>0</v>
      </c>
      <c r="DG288" s="9">
        <v>0</v>
      </c>
      <c r="DH288" s="9">
        <v>0</v>
      </c>
      <c r="DI288" s="9">
        <v>4.2096311257574204</v>
      </c>
    </row>
    <row r="289" spans="1:113">
      <c r="A289" s="5" t="s">
        <v>610</v>
      </c>
      <c r="B289" s="5" t="s">
        <v>693</v>
      </c>
      <c r="C289" s="5" t="s">
        <v>694</v>
      </c>
      <c r="D289" s="6">
        <v>122215</v>
      </c>
      <c r="E289" s="7">
        <v>10.405002086287601</v>
      </c>
      <c r="F289" s="7">
        <v>2.0726179274229799</v>
      </c>
      <c r="G289" s="7">
        <v>7.6036493065499302</v>
      </c>
      <c r="H289" s="7">
        <v>9.6313300331383207</v>
      </c>
      <c r="I289" s="7">
        <v>9.83133003313832</v>
      </c>
      <c r="J289" s="7">
        <v>81.080063821953104</v>
      </c>
      <c r="K289" s="7">
        <v>96.5577056826085</v>
      </c>
      <c r="L289" s="7">
        <v>99.090128053021303</v>
      </c>
      <c r="M289" s="7">
        <v>99.456695168350905</v>
      </c>
      <c r="N289" s="7">
        <v>10.177030221466801</v>
      </c>
      <c r="O289" s="7">
        <v>5.4527022051302998</v>
      </c>
      <c r="P289" s="7">
        <v>8.5755349179724298</v>
      </c>
      <c r="Q289" s="7">
        <v>9.7638505911713001</v>
      </c>
      <c r="R289" s="7">
        <v>10</v>
      </c>
      <c r="S289" s="7">
        <v>86.567933559710298</v>
      </c>
      <c r="T289" s="7">
        <v>96.488974348484206</v>
      </c>
      <c r="U289" s="7">
        <v>100</v>
      </c>
      <c r="V289" s="7">
        <v>100</v>
      </c>
      <c r="W289" s="7">
        <v>7.5965198970760799</v>
      </c>
      <c r="X289" s="7">
        <v>8.5141676553614491</v>
      </c>
      <c r="Y289" s="7">
        <v>10</v>
      </c>
      <c r="Z289" s="7">
        <v>10</v>
      </c>
      <c r="AA289" s="7">
        <v>10</v>
      </c>
      <c r="AB289" s="7">
        <v>96.9709119175224</v>
      </c>
      <c r="AC289" s="7">
        <v>100</v>
      </c>
      <c r="AD289" s="7">
        <v>100</v>
      </c>
      <c r="AE289" s="7">
        <v>100</v>
      </c>
      <c r="AF289" s="6">
        <v>16.0017185788898</v>
      </c>
      <c r="AG289" s="6">
        <v>1.79451785787342</v>
      </c>
      <c r="AH289" s="6">
        <v>5.6237695863846504</v>
      </c>
      <c r="AI289" s="6">
        <v>7.5645133576074901</v>
      </c>
      <c r="AJ289" s="6">
        <v>8.0287280612036191</v>
      </c>
      <c r="AK289" s="6">
        <v>79.133494251933101</v>
      </c>
      <c r="AL289" s="6">
        <v>86.261915476823603</v>
      </c>
      <c r="AM289" s="6">
        <v>89.526653847727403</v>
      </c>
      <c r="AN289" s="6">
        <v>92.339729165814305</v>
      </c>
      <c r="AO289" s="6">
        <v>10.903020025471299</v>
      </c>
      <c r="AP289" s="7">
        <v>1.7966534386122801</v>
      </c>
      <c r="AQ289" s="7">
        <v>7.3051998527185704</v>
      </c>
      <c r="AR289" s="7">
        <v>9.6349875219899399</v>
      </c>
      <c r="AS289" s="7">
        <v>9.8881888475228106</v>
      </c>
      <c r="AT289" s="7">
        <v>76.5560692222722</v>
      </c>
      <c r="AU289" s="7">
        <v>98.920754408215004</v>
      </c>
      <c r="AV289" s="7">
        <v>99.351961706828106</v>
      </c>
      <c r="AW289" s="7">
        <v>99.847809188724796</v>
      </c>
      <c r="AX289" s="7">
        <v>9.2317331583103996</v>
      </c>
      <c r="AY289" s="7">
        <v>4.2755962852350402</v>
      </c>
      <c r="AZ289" s="7">
        <v>8.7843390745816805</v>
      </c>
      <c r="BA289" s="7">
        <v>9.9307613631714595</v>
      </c>
      <c r="BB289" s="7">
        <v>10</v>
      </c>
      <c r="BC289" s="7">
        <v>95.104528903980693</v>
      </c>
      <c r="BD289" s="7">
        <v>100</v>
      </c>
      <c r="BE289" s="7">
        <v>100</v>
      </c>
      <c r="BF289" s="7">
        <v>100</v>
      </c>
      <c r="BG289" s="7">
        <v>7.4416346531572097</v>
      </c>
      <c r="BH289" s="7">
        <v>8.4007118602462896</v>
      </c>
      <c r="BI289" s="7">
        <v>10</v>
      </c>
      <c r="BJ289" s="7">
        <v>10</v>
      </c>
      <c r="BK289" s="7">
        <v>10</v>
      </c>
      <c r="BL289" s="7">
        <v>100</v>
      </c>
      <c r="BM289" s="7">
        <v>100</v>
      </c>
      <c r="BN289" s="7">
        <v>100</v>
      </c>
      <c r="BO289" s="7">
        <v>100</v>
      </c>
      <c r="BP289" s="6">
        <v>12.479729157834999</v>
      </c>
      <c r="BQ289" s="6">
        <v>1.4627173423884099</v>
      </c>
      <c r="BR289" s="6">
        <v>4.2718324264615601</v>
      </c>
      <c r="BS289" s="6">
        <v>6.7210162418688402</v>
      </c>
      <c r="BT289" s="6">
        <v>7.9277748230577298</v>
      </c>
      <c r="BU289" s="6">
        <v>70.820275743566697</v>
      </c>
      <c r="BV289" s="6">
        <v>96.002945628605303</v>
      </c>
      <c r="BW289" s="6">
        <v>98.107433621077604</v>
      </c>
      <c r="BX289" s="6">
        <v>99.317596039766002</v>
      </c>
      <c r="BY289" s="6" t="str">
        <f>TRIM(Table1[[#This Row],[LA_Name]])</f>
        <v>Maidstone</v>
      </c>
      <c r="BZ289" s="7">
        <v>25.976479039967</v>
      </c>
      <c r="CA289" s="7">
        <v>0.17457758867569401</v>
      </c>
      <c r="CB289" s="7">
        <v>1.0442662520967101</v>
      </c>
      <c r="CC289" s="7">
        <v>2.13576893180052</v>
      </c>
      <c r="CD289" s="7">
        <v>3.9647506443562599</v>
      </c>
      <c r="CE289" s="7">
        <v>17.4577588675694</v>
      </c>
      <c r="CF289" s="7">
        <v>72.613836272143303</v>
      </c>
      <c r="CG289" s="7">
        <v>91.087018778382401</v>
      </c>
      <c r="CH289" s="7">
        <v>98.145890438980501</v>
      </c>
      <c r="CI289" s="7">
        <v>20.998402948968302</v>
      </c>
      <c r="CJ289" s="7">
        <v>0.45865073845272702</v>
      </c>
      <c r="CK289" s="7">
        <v>1.7626150636174001</v>
      </c>
      <c r="CL289" s="7">
        <v>2.6127234791146798</v>
      </c>
      <c r="CM289" s="7">
        <v>3.5999590884915902</v>
      </c>
      <c r="CN289" s="7">
        <v>45.662152763572401</v>
      </c>
      <c r="CO289" s="7">
        <v>78.122979994272399</v>
      </c>
      <c r="CP289" s="7">
        <v>90.2589698482183</v>
      </c>
      <c r="CQ289" s="7">
        <v>99.752894489219798</v>
      </c>
      <c r="CR289" s="7">
        <v>13.217674709894901</v>
      </c>
      <c r="CS289" s="7">
        <v>1.03993781450722</v>
      </c>
      <c r="CT289" s="7">
        <v>5.4599108129116702</v>
      </c>
      <c r="CU289" s="7">
        <v>9.7832017346479603</v>
      </c>
      <c r="CV289" s="7">
        <v>10</v>
      </c>
      <c r="CW289" s="7">
        <v>73.890275334451601</v>
      </c>
      <c r="CX289" s="7">
        <v>99.913267602176504</v>
      </c>
      <c r="CY289" s="7">
        <v>100</v>
      </c>
      <c r="CZ289" s="7">
        <v>100</v>
      </c>
      <c r="DA289" s="9">
        <v>47.6073219337284</v>
      </c>
      <c r="DB289" s="9">
        <v>0.136063494661048</v>
      </c>
      <c r="DC289" s="9">
        <v>0.45687517898784902</v>
      </c>
      <c r="DD289" s="9">
        <v>0.82233768359039405</v>
      </c>
      <c r="DE289" s="9">
        <v>1.19162950537986</v>
      </c>
      <c r="DF289" s="9">
        <v>13.606349466104801</v>
      </c>
      <c r="DG289" s="9">
        <v>45.687517898784897</v>
      </c>
      <c r="DH289" s="9">
        <v>66.246369103628894</v>
      </c>
      <c r="DI289" s="9">
        <v>72.726752035347502</v>
      </c>
    </row>
    <row r="290" spans="1:113">
      <c r="A290" s="5" t="s">
        <v>610</v>
      </c>
      <c r="B290" s="5" t="s">
        <v>695</v>
      </c>
      <c r="C290" s="5" t="s">
        <v>696</v>
      </c>
      <c r="D290" s="6">
        <v>84005</v>
      </c>
      <c r="E290" s="7">
        <v>13.576620088383301</v>
      </c>
      <c r="F290" s="7">
        <v>1.4416165704422399</v>
      </c>
      <c r="G290" s="7">
        <v>6.7874769358966702</v>
      </c>
      <c r="H290" s="7">
        <v>9.5111600499970201</v>
      </c>
      <c r="I290" s="7">
        <v>9.8559490506517502</v>
      </c>
      <c r="J290" s="7">
        <v>64.863996190702906</v>
      </c>
      <c r="K290" s="7">
        <v>92.6325813939646</v>
      </c>
      <c r="L290" s="7">
        <v>98.440569013749197</v>
      </c>
      <c r="M290" s="7">
        <v>99.748824474733595</v>
      </c>
      <c r="N290" s="7">
        <v>12.6755304700285</v>
      </c>
      <c r="O290" s="7">
        <v>2.91283852151658</v>
      </c>
      <c r="P290" s="7">
        <v>8.0182370097017994</v>
      </c>
      <c r="Q290" s="7">
        <v>9.8986131777870394</v>
      </c>
      <c r="R290" s="7">
        <v>10</v>
      </c>
      <c r="S290" s="7">
        <v>72.338551276709694</v>
      </c>
      <c r="T290" s="7">
        <v>93.950360097613199</v>
      </c>
      <c r="U290" s="7">
        <v>100</v>
      </c>
      <c r="V290" s="7">
        <v>100</v>
      </c>
      <c r="W290" s="7">
        <v>8.6519254705507294</v>
      </c>
      <c r="X290" s="7">
        <v>7.3722040354740797</v>
      </c>
      <c r="Y290" s="7">
        <v>10</v>
      </c>
      <c r="Z290" s="7">
        <v>10</v>
      </c>
      <c r="AA290" s="7">
        <v>10</v>
      </c>
      <c r="AB290" s="7">
        <v>96.772811142193902</v>
      </c>
      <c r="AC290" s="7">
        <v>100</v>
      </c>
      <c r="AD290" s="7">
        <v>100</v>
      </c>
      <c r="AE290" s="7">
        <v>100</v>
      </c>
      <c r="AF290" s="6">
        <v>23.812086009903702</v>
      </c>
      <c r="AG290" s="6">
        <v>1.07954288435212</v>
      </c>
      <c r="AH290" s="6">
        <v>2.9743943812868299</v>
      </c>
      <c r="AI290" s="6">
        <v>5.0807570977917997</v>
      </c>
      <c r="AJ290" s="6">
        <v>6.3823939051246903</v>
      </c>
      <c r="AK290" s="6">
        <v>60.414261055889497</v>
      </c>
      <c r="AL290" s="6">
        <v>71.345753228974502</v>
      </c>
      <c r="AM290" s="6">
        <v>77.689423248616194</v>
      </c>
      <c r="AN290" s="6">
        <v>87.281709422058199</v>
      </c>
      <c r="AO290" s="6">
        <v>11.9204730615269</v>
      </c>
      <c r="AP290" s="7">
        <v>1.4765668710195801</v>
      </c>
      <c r="AQ290" s="7">
        <v>7.37254925302065</v>
      </c>
      <c r="AR290" s="7">
        <v>9.6108803047437696</v>
      </c>
      <c r="AS290" s="7">
        <v>9.8843640259508394</v>
      </c>
      <c r="AT290" s="7">
        <v>72.787334087256696</v>
      </c>
      <c r="AU290" s="7">
        <v>97.821558240580899</v>
      </c>
      <c r="AV290" s="7">
        <v>99.185762752217101</v>
      </c>
      <c r="AW290" s="7">
        <v>99.748824474733595</v>
      </c>
      <c r="AX290" s="7">
        <v>10.2518948747192</v>
      </c>
      <c r="AY290" s="7">
        <v>2.53271829057794</v>
      </c>
      <c r="AZ290" s="7">
        <v>8.2366406761502304</v>
      </c>
      <c r="BA290" s="7">
        <v>9.9690494613415908</v>
      </c>
      <c r="BB290" s="7">
        <v>10</v>
      </c>
      <c r="BC290" s="7">
        <v>86.921016606154396</v>
      </c>
      <c r="BD290" s="7">
        <v>99.201238021546303</v>
      </c>
      <c r="BE290" s="7">
        <v>100</v>
      </c>
      <c r="BF290" s="7">
        <v>100</v>
      </c>
      <c r="BG290" s="7">
        <v>7.7701472544030104</v>
      </c>
      <c r="BH290" s="7">
        <v>7.5011249330396996</v>
      </c>
      <c r="BI290" s="7">
        <v>10</v>
      </c>
      <c r="BJ290" s="7">
        <v>10</v>
      </c>
      <c r="BK290" s="7">
        <v>10</v>
      </c>
      <c r="BL290" s="7">
        <v>99.201238021546303</v>
      </c>
      <c r="BM290" s="7">
        <v>100</v>
      </c>
      <c r="BN290" s="7">
        <v>100</v>
      </c>
      <c r="BO290" s="7">
        <v>100</v>
      </c>
      <c r="BP290" s="6">
        <v>15.868514351313801</v>
      </c>
      <c r="BQ290" s="6">
        <v>1.03474793167073</v>
      </c>
      <c r="BR290" s="6">
        <v>2.4739360752336199</v>
      </c>
      <c r="BS290" s="6">
        <v>4.0839711921909396</v>
      </c>
      <c r="BT290" s="6">
        <v>6.1158026307957902</v>
      </c>
      <c r="BU290" s="6">
        <v>62.252246890066097</v>
      </c>
      <c r="BV290" s="6">
        <v>87.113862270102999</v>
      </c>
      <c r="BW290" s="6">
        <v>95.240759478602499</v>
      </c>
      <c r="BX290" s="6">
        <v>98.760788048330497</v>
      </c>
      <c r="BY290" s="6" t="str">
        <f>TRIM(Table1[[#This Row],[LA_Name]])</f>
        <v>Sevenoaks</v>
      </c>
      <c r="BZ290" s="7">
        <v>35.2491818242992</v>
      </c>
      <c r="CA290" s="7">
        <v>4.4080709481578502E-2</v>
      </c>
      <c r="CB290" s="7">
        <v>0.49658948872090902</v>
      </c>
      <c r="CC290" s="7">
        <v>1.70297006130587</v>
      </c>
      <c r="CD290" s="7">
        <v>5.6911493363490298</v>
      </c>
      <c r="CE290" s="7">
        <v>4.4080709481578504</v>
      </c>
      <c r="CF290" s="7">
        <v>45.717516814475303</v>
      </c>
      <c r="CG290" s="7">
        <v>71.748110231533801</v>
      </c>
      <c r="CH290" s="7">
        <v>95.827629307779304</v>
      </c>
      <c r="CI290" s="7">
        <v>31.798193023775401</v>
      </c>
      <c r="CJ290" s="7">
        <v>0.18029879173858701</v>
      </c>
      <c r="CK290" s="7">
        <v>0.58032259984524703</v>
      </c>
      <c r="CL290" s="7">
        <v>1.172489732754</v>
      </c>
      <c r="CM290" s="7">
        <v>2.8226415094339599</v>
      </c>
      <c r="CN290" s="7">
        <v>18.029879173858699</v>
      </c>
      <c r="CO290" s="7">
        <v>57.081126123445003</v>
      </c>
      <c r="CP290" s="7">
        <v>78.610796976370494</v>
      </c>
      <c r="CQ290" s="7">
        <v>91.451699303612898</v>
      </c>
      <c r="CR290" s="7">
        <v>17.0756593257159</v>
      </c>
      <c r="CS290" s="7">
        <v>0.42698648889947</v>
      </c>
      <c r="CT290" s="7">
        <v>4.3836795428843498</v>
      </c>
      <c r="CU290" s="7">
        <v>9.8772811142193895</v>
      </c>
      <c r="CV290" s="7">
        <v>10</v>
      </c>
      <c r="CW290" s="7">
        <v>42.698648889947002</v>
      </c>
      <c r="CX290" s="7">
        <v>99.651211237426295</v>
      </c>
      <c r="CY290" s="7">
        <v>100</v>
      </c>
      <c r="CZ290" s="7">
        <v>100</v>
      </c>
      <c r="DA290" s="9">
        <v>75.477613992664402</v>
      </c>
      <c r="DB290" s="9">
        <v>3.8747693589667301E-2</v>
      </c>
      <c r="DC290" s="9">
        <v>0.157800130944587</v>
      </c>
      <c r="DD290" s="9">
        <v>0.264460448782811</v>
      </c>
      <c r="DE290" s="9">
        <v>0.35926432950419601</v>
      </c>
      <c r="DF290" s="9">
        <v>3.8747693589667298</v>
      </c>
      <c r="DG290" s="9">
        <v>15.780013094458701</v>
      </c>
      <c r="DH290" s="9">
        <v>26.4460448782811</v>
      </c>
      <c r="DI290" s="9">
        <v>35.926432950419603</v>
      </c>
    </row>
    <row r="291" spans="1:113">
      <c r="A291" s="5" t="s">
        <v>610</v>
      </c>
      <c r="B291" s="5" t="s">
        <v>697</v>
      </c>
      <c r="C291" s="5" t="s">
        <v>698</v>
      </c>
      <c r="D291" s="6">
        <v>81269</v>
      </c>
      <c r="E291" s="7">
        <v>8.9895474240190207</v>
      </c>
      <c r="F291" s="7">
        <v>2.72656240386863</v>
      </c>
      <c r="G291" s="7">
        <v>7.9552719979327904</v>
      </c>
      <c r="H291" s="7">
        <v>9.6548253331528606</v>
      </c>
      <c r="I291" s="7">
        <v>9.8691998178887399</v>
      </c>
      <c r="J291" s="7">
        <v>85.269906114262497</v>
      </c>
      <c r="K291" s="7">
        <v>98.568950030146794</v>
      </c>
      <c r="L291" s="7">
        <v>99.302316996640798</v>
      </c>
      <c r="M291" s="7">
        <v>99.643160368652204</v>
      </c>
      <c r="N291" s="7">
        <v>8.6458586970384701</v>
      </c>
      <c r="O291" s="7">
        <v>5.1305417809989002</v>
      </c>
      <c r="P291" s="7">
        <v>7.9734831239463997</v>
      </c>
      <c r="Q291" s="7">
        <v>9.4448067528823998</v>
      </c>
      <c r="R291" s="7">
        <v>9.8787114397863895</v>
      </c>
      <c r="S291" s="7">
        <v>92.918579039978297</v>
      </c>
      <c r="T291" s="7">
        <v>99.659156627988494</v>
      </c>
      <c r="U291" s="7">
        <v>100</v>
      </c>
      <c r="V291" s="7">
        <v>100</v>
      </c>
      <c r="W291" s="7">
        <v>6.9370292584998099</v>
      </c>
      <c r="X291" s="7">
        <v>7.9315852293002296</v>
      </c>
      <c r="Y291" s="7">
        <v>9.9521219653250306</v>
      </c>
      <c r="Z291" s="7">
        <v>10</v>
      </c>
      <c r="AA291" s="7">
        <v>10</v>
      </c>
      <c r="AB291" s="7">
        <v>98.867957031586499</v>
      </c>
      <c r="AC291" s="7">
        <v>100</v>
      </c>
      <c r="AD291" s="7">
        <v>100</v>
      </c>
      <c r="AE291" s="7">
        <v>100</v>
      </c>
      <c r="AF291" s="6">
        <v>11.0195492561205</v>
      </c>
      <c r="AG291" s="6">
        <v>2.2270607488710299</v>
      </c>
      <c r="AH291" s="6">
        <v>4.9950534644206304</v>
      </c>
      <c r="AI291" s="6">
        <v>6.4023551415669004</v>
      </c>
      <c r="AJ291" s="6">
        <v>7.2432046659858003</v>
      </c>
      <c r="AK291" s="6">
        <v>81.217930576234494</v>
      </c>
      <c r="AL291" s="6">
        <v>91.791457997514399</v>
      </c>
      <c r="AM291" s="6">
        <v>97.552572321549405</v>
      </c>
      <c r="AN291" s="6">
        <v>98.484046807515796</v>
      </c>
      <c r="AO291" s="6">
        <v>13.1458871117232</v>
      </c>
      <c r="AP291" s="7">
        <v>1.81050585093947</v>
      </c>
      <c r="AQ291" s="7">
        <v>6.65280734351352</v>
      </c>
      <c r="AR291" s="7">
        <v>8.7755232622525199</v>
      </c>
      <c r="AS291" s="7">
        <v>9.8100382679742602</v>
      </c>
      <c r="AT291" s="7">
        <v>65.264738092015406</v>
      </c>
      <c r="AU291" s="7">
        <v>96.437756093959607</v>
      </c>
      <c r="AV291" s="7">
        <v>98.865496068611606</v>
      </c>
      <c r="AW291" s="7">
        <v>99.774821887804706</v>
      </c>
      <c r="AX291" s="7">
        <v>11.842877433883499</v>
      </c>
      <c r="AY291" s="7">
        <v>3.98636626511954</v>
      </c>
      <c r="AZ291" s="7">
        <v>7.43315409319667</v>
      </c>
      <c r="BA291" s="7">
        <v>8.6869408999741609</v>
      </c>
      <c r="BB291" s="7">
        <v>9.3397359386727992</v>
      </c>
      <c r="BC291" s="7">
        <v>75.031069657556998</v>
      </c>
      <c r="BD291" s="7">
        <v>97.664546136903397</v>
      </c>
      <c r="BE291" s="7">
        <v>100</v>
      </c>
      <c r="BF291" s="7">
        <v>100</v>
      </c>
      <c r="BG291" s="7">
        <v>8.4302257764780801</v>
      </c>
      <c r="BH291" s="7">
        <v>7.2635691346023696</v>
      </c>
      <c r="BI291" s="7">
        <v>9.5441558281755707</v>
      </c>
      <c r="BJ291" s="7">
        <v>9.9901315384709992</v>
      </c>
      <c r="BK291" s="7">
        <v>10</v>
      </c>
      <c r="BL291" s="7">
        <v>96.435295130984798</v>
      </c>
      <c r="BM291" s="7">
        <v>100</v>
      </c>
      <c r="BN291" s="7">
        <v>100</v>
      </c>
      <c r="BO291" s="7">
        <v>100</v>
      </c>
      <c r="BP291" s="6">
        <v>21.301931608080299</v>
      </c>
      <c r="BQ291" s="6">
        <v>1.4554627225633401</v>
      </c>
      <c r="BR291" s="6">
        <v>3.9152321303325999</v>
      </c>
      <c r="BS291" s="6">
        <v>5.4456680899235899</v>
      </c>
      <c r="BT291" s="6">
        <v>6.3759982281066598</v>
      </c>
      <c r="BU291" s="6">
        <v>62.371876115123797</v>
      </c>
      <c r="BV291" s="6">
        <v>74.348152432046703</v>
      </c>
      <c r="BW291" s="6">
        <v>84.743260037652703</v>
      </c>
      <c r="BX291" s="6">
        <v>91.968647331700893</v>
      </c>
      <c r="BY291" s="6" t="str">
        <f>TRIM(Table1[[#This Row],[LA_Name]])</f>
        <v>Shepway</v>
      </c>
      <c r="BZ291" s="7">
        <v>52.7594681630803</v>
      </c>
      <c r="CA291" s="7">
        <v>0</v>
      </c>
      <c r="CB291" s="7">
        <v>3.7283589068402498E-3</v>
      </c>
      <c r="CC291" s="7">
        <v>0.389939583358968</v>
      </c>
      <c r="CD291" s="7">
        <v>1.3883768718699601</v>
      </c>
      <c r="CE291" s="7">
        <v>0</v>
      </c>
      <c r="CF291" s="7">
        <v>0.37283589068402501</v>
      </c>
      <c r="CG291" s="7">
        <v>37.417711550529702</v>
      </c>
      <c r="CH291" s="7">
        <v>78.277079821334098</v>
      </c>
      <c r="CI291" s="7">
        <v>82.563735073684597</v>
      </c>
      <c r="CJ291" s="7">
        <v>0</v>
      </c>
      <c r="CK291" s="7">
        <v>0</v>
      </c>
      <c r="CL291" s="7">
        <v>1.89248052763046E-2</v>
      </c>
      <c r="CM291" s="7">
        <v>8.0891852982071896E-2</v>
      </c>
      <c r="CN291" s="7">
        <v>0</v>
      </c>
      <c r="CO291" s="7">
        <v>0</v>
      </c>
      <c r="CP291" s="7">
        <v>1.51964463694644</v>
      </c>
      <c r="CQ291" s="7">
        <v>5.45718539664571</v>
      </c>
      <c r="CR291" s="7">
        <v>26.705864590492698</v>
      </c>
      <c r="CS291" s="7">
        <v>0</v>
      </c>
      <c r="CT291" s="7">
        <v>1.42636183538619</v>
      </c>
      <c r="CU291" s="7">
        <v>3.3673971625096901</v>
      </c>
      <c r="CV291" s="7">
        <v>6.7394824594863998</v>
      </c>
      <c r="CW291" s="7">
        <v>0</v>
      </c>
      <c r="CX291" s="7">
        <v>81.224082983671494</v>
      </c>
      <c r="CY291" s="7">
        <v>98.225645695160495</v>
      </c>
      <c r="CZ291" s="7">
        <v>100</v>
      </c>
      <c r="DA291" s="9">
        <v>119.83084792836399</v>
      </c>
      <c r="DB291" s="9">
        <v>0</v>
      </c>
      <c r="DC291" s="9">
        <v>0</v>
      </c>
      <c r="DD291" s="9">
        <v>0</v>
      </c>
      <c r="DE291" s="9">
        <v>0</v>
      </c>
      <c r="DF291" s="9">
        <v>0</v>
      </c>
      <c r="DG291" s="9">
        <v>0</v>
      </c>
      <c r="DH291" s="9">
        <v>0</v>
      </c>
      <c r="DI291" s="9">
        <v>0</v>
      </c>
    </row>
    <row r="292" spans="1:113">
      <c r="A292" s="5" t="s">
        <v>610</v>
      </c>
      <c r="B292" s="5" t="s">
        <v>699</v>
      </c>
      <c r="C292" s="5" t="s">
        <v>700</v>
      </c>
      <c r="D292" s="6">
        <v>107084</v>
      </c>
      <c r="E292" s="7">
        <v>9.1395956548301296</v>
      </c>
      <c r="F292" s="7">
        <v>2.2090975309103098</v>
      </c>
      <c r="G292" s="7">
        <v>8.6644876919054195</v>
      </c>
      <c r="H292" s="7">
        <v>9.8530779574913208</v>
      </c>
      <c r="I292" s="7">
        <v>9.9642710395577296</v>
      </c>
      <c r="J292" s="7">
        <v>83.573643121288001</v>
      </c>
      <c r="K292" s="7">
        <v>98.449815098427393</v>
      </c>
      <c r="L292" s="7">
        <v>99.801090732509095</v>
      </c>
      <c r="M292" s="7">
        <v>99.801090732509095</v>
      </c>
      <c r="N292" s="7">
        <v>8.9520458473106004</v>
      </c>
      <c r="O292" s="7">
        <v>4.8025662097045299</v>
      </c>
      <c r="P292" s="7">
        <v>8.7903514997572003</v>
      </c>
      <c r="Q292" s="7">
        <v>9.9587520077696006</v>
      </c>
      <c r="R292" s="7">
        <v>10</v>
      </c>
      <c r="S292" s="7">
        <v>92.956931007433397</v>
      </c>
      <c r="T292" s="7">
        <v>100</v>
      </c>
      <c r="U292" s="7">
        <v>100</v>
      </c>
      <c r="V292" s="7">
        <v>100</v>
      </c>
      <c r="W292" s="7">
        <v>7.2528423487345304</v>
      </c>
      <c r="X292" s="7">
        <v>8.5341974524672199</v>
      </c>
      <c r="Y292" s="7">
        <v>10</v>
      </c>
      <c r="Z292" s="7">
        <v>10</v>
      </c>
      <c r="AA292" s="7">
        <v>10</v>
      </c>
      <c r="AB292" s="7">
        <v>98.079078106906707</v>
      </c>
      <c r="AC292" s="7">
        <v>100</v>
      </c>
      <c r="AD292" s="7">
        <v>100</v>
      </c>
      <c r="AE292" s="7">
        <v>100</v>
      </c>
      <c r="AF292" s="6">
        <v>11.5712979219826</v>
      </c>
      <c r="AG292" s="6">
        <v>1.73238765828695</v>
      </c>
      <c r="AH292" s="6">
        <v>4.7163255014754801</v>
      </c>
      <c r="AI292" s="6">
        <v>6.8427776325127896</v>
      </c>
      <c r="AJ292" s="6">
        <v>7.8863695790220802</v>
      </c>
      <c r="AK292" s="6">
        <v>78.940831496768894</v>
      </c>
      <c r="AL292" s="6">
        <v>91.657950767621699</v>
      </c>
      <c r="AM292" s="6">
        <v>95.555825333383098</v>
      </c>
      <c r="AN292" s="6">
        <v>97.610287251130003</v>
      </c>
      <c r="AO292" s="6">
        <v>12.0498813103885</v>
      </c>
      <c r="AP292" s="7">
        <v>1.49417279892421</v>
      </c>
      <c r="AQ292" s="7">
        <v>6.7619532329759799</v>
      </c>
      <c r="AR292" s="7">
        <v>9.4374229576780806</v>
      </c>
      <c r="AS292" s="7">
        <v>9.8958948115498107</v>
      </c>
      <c r="AT292" s="7">
        <v>68.264166448769203</v>
      </c>
      <c r="AU292" s="7">
        <v>97.948339621231895</v>
      </c>
      <c r="AV292" s="7">
        <v>99.610586081954395</v>
      </c>
      <c r="AW292" s="7">
        <v>99.801090732509095</v>
      </c>
      <c r="AX292" s="7">
        <v>11.230031075095001</v>
      </c>
      <c r="AY292" s="7">
        <v>2.9759908109521498</v>
      </c>
      <c r="AZ292" s="7">
        <v>7.2482163535168596</v>
      </c>
      <c r="BA292" s="7">
        <v>8.8726140226364407</v>
      </c>
      <c r="BB292" s="7">
        <v>9.8216166747599996</v>
      </c>
      <c r="BC292" s="7">
        <v>75.984274027865993</v>
      </c>
      <c r="BD292" s="7">
        <v>100</v>
      </c>
      <c r="BE292" s="7">
        <v>100</v>
      </c>
      <c r="BF292" s="7">
        <v>100</v>
      </c>
      <c r="BG292" s="7">
        <v>8.1041988631686994</v>
      </c>
      <c r="BH292" s="7">
        <v>6.9481528519666798</v>
      </c>
      <c r="BI292" s="7">
        <v>9.8617720667886903</v>
      </c>
      <c r="BJ292" s="7">
        <v>10</v>
      </c>
      <c r="BK292" s="7">
        <v>10</v>
      </c>
      <c r="BL292" s="7">
        <v>100</v>
      </c>
      <c r="BM292" s="7">
        <v>100</v>
      </c>
      <c r="BN292" s="7">
        <v>100</v>
      </c>
      <c r="BO292" s="7">
        <v>100</v>
      </c>
      <c r="BP292" s="6">
        <v>19.069898028698301</v>
      </c>
      <c r="BQ292" s="6">
        <v>1.1282731313734999</v>
      </c>
      <c r="BR292" s="6">
        <v>2.8972488887228698</v>
      </c>
      <c r="BS292" s="6">
        <v>4.7094057001979799</v>
      </c>
      <c r="BT292" s="6">
        <v>6.0482425012140002</v>
      </c>
      <c r="BU292" s="6">
        <v>63.412834783908004</v>
      </c>
      <c r="BV292" s="6">
        <v>75.162489260767202</v>
      </c>
      <c r="BW292" s="6">
        <v>85.560868103544905</v>
      </c>
      <c r="BX292" s="6">
        <v>96.143214672593501</v>
      </c>
      <c r="BY292" s="6" t="str">
        <f>TRIM(Table1[[#This Row],[LA_Name]])</f>
        <v>Swale</v>
      </c>
      <c r="BZ292" s="7">
        <v>52.071127682306397</v>
      </c>
      <c r="CA292" s="7">
        <v>0</v>
      </c>
      <c r="CB292" s="7">
        <v>5.5713271823988601E-2</v>
      </c>
      <c r="CC292" s="7">
        <v>0.83042284561652502</v>
      </c>
      <c r="CD292" s="7">
        <v>2.8717548840162901</v>
      </c>
      <c r="CE292" s="7">
        <v>0</v>
      </c>
      <c r="CF292" s="7">
        <v>4.6785700945052504</v>
      </c>
      <c r="CG292" s="7">
        <v>39.366291883007698</v>
      </c>
      <c r="CH292" s="7">
        <v>70.541817638489405</v>
      </c>
      <c r="CI292" s="7">
        <v>67.1672142633943</v>
      </c>
      <c r="CJ292" s="7">
        <v>0</v>
      </c>
      <c r="CK292" s="7">
        <v>6.0513241940906197E-3</v>
      </c>
      <c r="CL292" s="7">
        <v>0.17674909416906401</v>
      </c>
      <c r="CM292" s="7">
        <v>0.86730043704008097</v>
      </c>
      <c r="CN292" s="7">
        <v>0</v>
      </c>
      <c r="CO292" s="7">
        <v>0.60513241940906204</v>
      </c>
      <c r="CP292" s="7">
        <v>7.8704568376228004</v>
      </c>
      <c r="CQ292" s="7">
        <v>45.072092936386397</v>
      </c>
      <c r="CR292" s="7">
        <v>32.408411166419597</v>
      </c>
      <c r="CS292" s="7">
        <v>5.4723394718165204E-3</v>
      </c>
      <c r="CT292" s="7">
        <v>0.96073176198124799</v>
      </c>
      <c r="CU292" s="7">
        <v>7.1930260356355804</v>
      </c>
      <c r="CV292" s="7">
        <v>9.7353105972881107</v>
      </c>
      <c r="CW292" s="7">
        <v>0.27361697359082598</v>
      </c>
      <c r="CX292" s="7">
        <v>47.3497441261066</v>
      </c>
      <c r="CY292" s="7">
        <v>86.427477494303503</v>
      </c>
      <c r="CZ292" s="7">
        <v>100</v>
      </c>
      <c r="DA292" s="9">
        <v>118.45023840215001</v>
      </c>
      <c r="DB292" s="9">
        <v>0</v>
      </c>
      <c r="DC292" s="9">
        <v>0</v>
      </c>
      <c r="DD292" s="9">
        <v>0</v>
      </c>
      <c r="DE292" s="9">
        <v>0</v>
      </c>
      <c r="DF292" s="9">
        <v>0</v>
      </c>
      <c r="DG292" s="9">
        <v>0</v>
      </c>
      <c r="DH292" s="9">
        <v>0</v>
      </c>
      <c r="DI292" s="9">
        <v>0</v>
      </c>
    </row>
    <row r="293" spans="1:113">
      <c r="A293" s="5" t="s">
        <v>610</v>
      </c>
      <c r="B293" s="5" t="s">
        <v>701</v>
      </c>
      <c r="C293" s="5" t="s">
        <v>702</v>
      </c>
      <c r="D293" s="6">
        <v>99757</v>
      </c>
      <c r="E293" s="7">
        <v>6.2406858529779798</v>
      </c>
      <c r="F293" s="7">
        <v>4.5219182613751396</v>
      </c>
      <c r="G293" s="7">
        <v>9.8259169782571707</v>
      </c>
      <c r="H293" s="7">
        <v>10</v>
      </c>
      <c r="I293" s="7">
        <v>10</v>
      </c>
      <c r="J293" s="7">
        <v>96.466413384524401</v>
      </c>
      <c r="K293" s="7">
        <v>99.796505508385394</v>
      </c>
      <c r="L293" s="7">
        <v>100</v>
      </c>
      <c r="M293" s="7">
        <v>100</v>
      </c>
      <c r="N293" s="7">
        <v>7.3096885557924303</v>
      </c>
      <c r="O293" s="7">
        <v>8.7513056727848699</v>
      </c>
      <c r="P293" s="7">
        <v>9.9129083673326193</v>
      </c>
      <c r="Q293" s="7">
        <v>10</v>
      </c>
      <c r="R293" s="7">
        <v>10</v>
      </c>
      <c r="S293" s="7">
        <v>98.681796766141701</v>
      </c>
      <c r="T293" s="7">
        <v>100</v>
      </c>
      <c r="U293" s="7">
        <v>100</v>
      </c>
      <c r="V293" s="7">
        <v>100</v>
      </c>
      <c r="W293" s="7">
        <v>6.3209178421648602</v>
      </c>
      <c r="X293" s="7">
        <v>9.9769539982156594</v>
      </c>
      <c r="Y293" s="7">
        <v>10</v>
      </c>
      <c r="Z293" s="7">
        <v>10</v>
      </c>
      <c r="AA293" s="7">
        <v>10</v>
      </c>
      <c r="AB293" s="7">
        <v>100</v>
      </c>
      <c r="AC293" s="7">
        <v>100</v>
      </c>
      <c r="AD293" s="7">
        <v>100</v>
      </c>
      <c r="AE293" s="7">
        <v>100</v>
      </c>
      <c r="AF293" s="6">
        <v>6.9463723690575101</v>
      </c>
      <c r="AG293" s="6">
        <v>3.6249085277223698</v>
      </c>
      <c r="AH293" s="6">
        <v>8.5553695480016394</v>
      </c>
      <c r="AI293" s="6">
        <v>9.3116974247421194</v>
      </c>
      <c r="AJ293" s="6">
        <v>9.6660284491313906</v>
      </c>
      <c r="AK293" s="6">
        <v>94.731196808243993</v>
      </c>
      <c r="AL293" s="6">
        <v>97.541024689996704</v>
      </c>
      <c r="AM293" s="6">
        <v>98.956464208025494</v>
      </c>
      <c r="AN293" s="6">
        <v>99.205068316007896</v>
      </c>
      <c r="AO293" s="6">
        <v>10.5235097285425</v>
      </c>
      <c r="AP293" s="7">
        <v>1.8403921529316201</v>
      </c>
      <c r="AQ293" s="7">
        <v>8.5260081999258208</v>
      </c>
      <c r="AR293" s="7">
        <v>9.9793197469851709</v>
      </c>
      <c r="AS293" s="7">
        <v>10</v>
      </c>
      <c r="AT293" s="7">
        <v>78.324328117325095</v>
      </c>
      <c r="AU293" s="7">
        <v>99.674208326232701</v>
      </c>
      <c r="AV293" s="7">
        <v>100</v>
      </c>
      <c r="AW293" s="7">
        <v>100</v>
      </c>
      <c r="AX293" s="7">
        <v>9.2295684632718</v>
      </c>
      <c r="AY293" s="7">
        <v>3.9761520494802398</v>
      </c>
      <c r="AZ293" s="7">
        <v>9.5338973706105801</v>
      </c>
      <c r="BA293" s="7">
        <v>10</v>
      </c>
      <c r="BB293" s="7">
        <v>10</v>
      </c>
      <c r="BC293" s="7">
        <v>94.942710787212903</v>
      </c>
      <c r="BD293" s="7">
        <v>100</v>
      </c>
      <c r="BE293" s="7">
        <v>100</v>
      </c>
      <c r="BF293" s="7">
        <v>100</v>
      </c>
      <c r="BG293" s="7">
        <v>7.2602513150525301</v>
      </c>
      <c r="BH293" s="7">
        <v>9.4222460579207503</v>
      </c>
      <c r="BI293" s="7">
        <v>10</v>
      </c>
      <c r="BJ293" s="7">
        <v>10</v>
      </c>
      <c r="BK293" s="7">
        <v>10</v>
      </c>
      <c r="BL293" s="7">
        <v>100</v>
      </c>
      <c r="BM293" s="7">
        <v>100</v>
      </c>
      <c r="BN293" s="7">
        <v>100</v>
      </c>
      <c r="BO293" s="7">
        <v>100</v>
      </c>
      <c r="BP293" s="6">
        <v>12.9257099944047</v>
      </c>
      <c r="BQ293" s="6">
        <v>1.4529606944875999</v>
      </c>
      <c r="BR293" s="6">
        <v>3.7591948434696301</v>
      </c>
      <c r="BS293" s="6">
        <v>6.5725312509397797</v>
      </c>
      <c r="BT293" s="6">
        <v>8.6601140772076093</v>
      </c>
      <c r="BU293" s="6">
        <v>69.512916386819995</v>
      </c>
      <c r="BV293" s="6">
        <v>94.727187064566905</v>
      </c>
      <c r="BW293" s="6">
        <v>97.606183024750194</v>
      </c>
      <c r="BX293" s="6">
        <v>99.650149864169904</v>
      </c>
      <c r="BY293" s="6" t="str">
        <f>TRIM(Table1[[#This Row],[LA_Name]])</f>
        <v>Thanet</v>
      </c>
      <c r="BZ293" s="7">
        <v>54.681872966590497</v>
      </c>
      <c r="CA293" s="7">
        <v>0</v>
      </c>
      <c r="CB293" s="7">
        <v>0</v>
      </c>
      <c r="CC293" s="7">
        <v>0.10185751375843299</v>
      </c>
      <c r="CD293" s="7">
        <v>0.92207063163487302</v>
      </c>
      <c r="CE293" s="7">
        <v>0</v>
      </c>
      <c r="CF293" s="7">
        <v>0</v>
      </c>
      <c r="CG293" s="7">
        <v>10.185751375843299</v>
      </c>
      <c r="CH293" s="7">
        <v>78.666158765800901</v>
      </c>
      <c r="CI293" s="7">
        <v>102.08419723990301</v>
      </c>
      <c r="CJ293" s="7">
        <v>0</v>
      </c>
      <c r="CK293" s="7">
        <v>0</v>
      </c>
      <c r="CL293" s="7">
        <v>0</v>
      </c>
      <c r="CM293" s="7">
        <v>1.5938731116613401E-3</v>
      </c>
      <c r="CN293" s="7">
        <v>0</v>
      </c>
      <c r="CO293" s="7">
        <v>0</v>
      </c>
      <c r="CP293" s="7">
        <v>0</v>
      </c>
      <c r="CQ293" s="7">
        <v>0.159387311166134</v>
      </c>
      <c r="CR293" s="7">
        <v>37.9194896729202</v>
      </c>
      <c r="CS293" s="7">
        <v>0</v>
      </c>
      <c r="CT293" s="7">
        <v>5.5304389666890497E-2</v>
      </c>
      <c r="CU293" s="7">
        <v>1.7987509648445701</v>
      </c>
      <c r="CV293" s="7">
        <v>4.1504355584069303</v>
      </c>
      <c r="CW293" s="7">
        <v>0</v>
      </c>
      <c r="CX293" s="7">
        <v>4.15910662910873</v>
      </c>
      <c r="CY293" s="7">
        <v>99.249175496456402</v>
      </c>
      <c r="CZ293" s="7">
        <v>100</v>
      </c>
      <c r="DA293" s="9">
        <v>120</v>
      </c>
      <c r="DB293" s="9">
        <v>0</v>
      </c>
      <c r="DC293" s="9">
        <v>0</v>
      </c>
      <c r="DD293" s="9">
        <v>0</v>
      </c>
      <c r="DE293" s="9">
        <v>0</v>
      </c>
      <c r="DF293" s="9">
        <v>0</v>
      </c>
      <c r="DG293" s="9">
        <v>0</v>
      </c>
      <c r="DH293" s="9">
        <v>0</v>
      </c>
      <c r="DI293" s="9">
        <v>0</v>
      </c>
    </row>
    <row r="294" spans="1:113">
      <c r="A294" s="5" t="s">
        <v>610</v>
      </c>
      <c r="B294" s="5" t="s">
        <v>703</v>
      </c>
      <c r="C294" s="5" t="s">
        <v>704</v>
      </c>
      <c r="D294" s="6">
        <v>93385</v>
      </c>
      <c r="E294" s="7">
        <v>11.9031721382432</v>
      </c>
      <c r="F294" s="7">
        <v>1.62431868073031</v>
      </c>
      <c r="G294" s="7">
        <v>7.44317609894523</v>
      </c>
      <c r="H294" s="7">
        <v>9.7612357444985793</v>
      </c>
      <c r="I294" s="7">
        <v>9.9740322321571995</v>
      </c>
      <c r="J294" s="7">
        <v>70.318573646731295</v>
      </c>
      <c r="K294" s="7">
        <v>98.532954971355196</v>
      </c>
      <c r="L294" s="7">
        <v>100</v>
      </c>
      <c r="M294" s="7">
        <v>100</v>
      </c>
      <c r="N294" s="7">
        <v>10.842550084095199</v>
      </c>
      <c r="O294" s="7">
        <v>3.3599507415537802</v>
      </c>
      <c r="P294" s="7">
        <v>8.7929753172351006</v>
      </c>
      <c r="Q294" s="7">
        <v>10</v>
      </c>
      <c r="R294" s="7">
        <v>10</v>
      </c>
      <c r="S294" s="7">
        <v>83.653691706376804</v>
      </c>
      <c r="T294" s="7">
        <v>100</v>
      </c>
      <c r="U294" s="7">
        <v>100</v>
      </c>
      <c r="V294" s="7">
        <v>100</v>
      </c>
      <c r="W294" s="7">
        <v>8.0641074377802298</v>
      </c>
      <c r="X294" s="7">
        <v>8.3224286555656697</v>
      </c>
      <c r="Y294" s="7">
        <v>10</v>
      </c>
      <c r="Z294" s="7">
        <v>10</v>
      </c>
      <c r="AA294" s="7">
        <v>10</v>
      </c>
      <c r="AB294" s="7">
        <v>99.785832842533594</v>
      </c>
      <c r="AC294" s="7">
        <v>100</v>
      </c>
      <c r="AD294" s="7">
        <v>100</v>
      </c>
      <c r="AE294" s="7">
        <v>100</v>
      </c>
      <c r="AF294" s="6">
        <v>17.258186990871199</v>
      </c>
      <c r="AG294" s="6">
        <v>1.24789848476736</v>
      </c>
      <c r="AH294" s="6">
        <v>3.3649515446806202</v>
      </c>
      <c r="AI294" s="6">
        <v>5.2255287251699896</v>
      </c>
      <c r="AJ294" s="6">
        <v>7.1315950099052303</v>
      </c>
      <c r="AK294" s="6">
        <v>64.1784012421695</v>
      </c>
      <c r="AL294" s="6">
        <v>82.692081169352704</v>
      </c>
      <c r="AM294" s="6">
        <v>88.988595598864904</v>
      </c>
      <c r="AN294" s="6">
        <v>95.757348610590597</v>
      </c>
      <c r="AO294" s="6">
        <v>11.0585467460303</v>
      </c>
      <c r="AP294" s="7">
        <v>1.5705305991326199</v>
      </c>
      <c r="AQ294" s="7">
        <v>7.3156823901054802</v>
      </c>
      <c r="AR294" s="7">
        <v>9.8545055415752003</v>
      </c>
      <c r="AS294" s="7">
        <v>9.9871392621941393</v>
      </c>
      <c r="AT294" s="7">
        <v>72.999946458210601</v>
      </c>
      <c r="AU294" s="7">
        <v>98.426942228409303</v>
      </c>
      <c r="AV294" s="7">
        <v>100</v>
      </c>
      <c r="AW294" s="7">
        <v>100</v>
      </c>
      <c r="AX294" s="7">
        <v>9.5862465117302804</v>
      </c>
      <c r="AY294" s="7">
        <v>3.17544573539648</v>
      </c>
      <c r="AZ294" s="7">
        <v>9.0638325212828601</v>
      </c>
      <c r="BA294" s="7">
        <v>10</v>
      </c>
      <c r="BB294" s="7">
        <v>10</v>
      </c>
      <c r="BC294" s="7">
        <v>89.043208224018798</v>
      </c>
      <c r="BD294" s="7">
        <v>100</v>
      </c>
      <c r="BE294" s="7">
        <v>100</v>
      </c>
      <c r="BF294" s="7">
        <v>100</v>
      </c>
      <c r="BG294" s="7">
        <v>7.5476083062436397</v>
      </c>
      <c r="BH294" s="7">
        <v>8.07359854366333</v>
      </c>
      <c r="BI294" s="7">
        <v>10</v>
      </c>
      <c r="BJ294" s="7">
        <v>10</v>
      </c>
      <c r="BK294" s="7">
        <v>10</v>
      </c>
      <c r="BL294" s="7">
        <v>100</v>
      </c>
      <c r="BM294" s="7">
        <v>100</v>
      </c>
      <c r="BN294" s="7">
        <v>100</v>
      </c>
      <c r="BO294" s="7">
        <v>100</v>
      </c>
      <c r="BP294" s="6">
        <v>13.4320273498218</v>
      </c>
      <c r="BQ294" s="6">
        <v>1.2332280344809099</v>
      </c>
      <c r="BR294" s="6">
        <v>3.2023237136585099</v>
      </c>
      <c r="BS294" s="6">
        <v>5.3649301279648798</v>
      </c>
      <c r="BT294" s="6">
        <v>7.2290196498367001</v>
      </c>
      <c r="BU294" s="6">
        <v>69.8109974835359</v>
      </c>
      <c r="BV294" s="6">
        <v>88.811907693955106</v>
      </c>
      <c r="BW294" s="6">
        <v>98.222412593028906</v>
      </c>
      <c r="BX294" s="6">
        <v>99.424961182202694</v>
      </c>
      <c r="BY294" s="6" t="str">
        <f>TRIM(Table1[[#This Row],[LA_Name]])</f>
        <v>Tonbridge and Malling</v>
      </c>
      <c r="BZ294" s="7">
        <v>35.087129006046503</v>
      </c>
      <c r="CA294" s="7">
        <v>5.5105209616105398E-2</v>
      </c>
      <c r="CB294" s="7">
        <v>0.37297210472774001</v>
      </c>
      <c r="CC294" s="7">
        <v>1.81452053327622</v>
      </c>
      <c r="CD294" s="7">
        <v>3.8356267066445402</v>
      </c>
      <c r="CE294" s="7">
        <v>5.5105209616105402</v>
      </c>
      <c r="CF294" s="7">
        <v>31.105637950420299</v>
      </c>
      <c r="CG294" s="7">
        <v>77.5788402848423</v>
      </c>
      <c r="CH294" s="7">
        <v>97.150505969909503</v>
      </c>
      <c r="CI294" s="7">
        <v>33.250448241190199</v>
      </c>
      <c r="CJ294" s="7">
        <v>8.28612732237511E-2</v>
      </c>
      <c r="CK294" s="7">
        <v>0.385040424050972</v>
      </c>
      <c r="CL294" s="7">
        <v>1.7691706376827101</v>
      </c>
      <c r="CM294" s="7">
        <v>3.7715907265620801</v>
      </c>
      <c r="CN294" s="7">
        <v>8.2861273223751102</v>
      </c>
      <c r="CO294" s="7">
        <v>33.239813674573</v>
      </c>
      <c r="CP294" s="7">
        <v>84.959040531134605</v>
      </c>
      <c r="CQ294" s="7">
        <v>99.428173689564701</v>
      </c>
      <c r="CR294" s="7">
        <v>18.969512754284001</v>
      </c>
      <c r="CS294" s="7">
        <v>0.24016705038282399</v>
      </c>
      <c r="CT294" s="7">
        <v>4.52575895486427</v>
      </c>
      <c r="CU294" s="7">
        <v>9.9885634737912898</v>
      </c>
      <c r="CV294" s="7">
        <v>10</v>
      </c>
      <c r="CW294" s="7">
        <v>21.475611714943501</v>
      </c>
      <c r="CX294" s="7">
        <v>99.698024307972403</v>
      </c>
      <c r="CY294" s="7">
        <v>100</v>
      </c>
      <c r="CZ294" s="7">
        <v>100</v>
      </c>
      <c r="DA294" s="9">
        <v>84.142799371722504</v>
      </c>
      <c r="DB294" s="9">
        <v>3.8817797290785501E-2</v>
      </c>
      <c r="DC294" s="9">
        <v>8.28612732237511E-2</v>
      </c>
      <c r="DD294" s="9">
        <v>0.17924720244150599</v>
      </c>
      <c r="DE294" s="9">
        <v>0.24222305509450101</v>
      </c>
      <c r="DF294" s="9">
        <v>3.8817797290785498</v>
      </c>
      <c r="DG294" s="9">
        <v>8.2861273223751102</v>
      </c>
      <c r="DH294" s="9">
        <v>17.924720244150599</v>
      </c>
      <c r="DI294" s="9">
        <v>24.222305509450099</v>
      </c>
    </row>
    <row r="295" spans="1:113">
      <c r="A295" s="5" t="s">
        <v>610</v>
      </c>
      <c r="B295" s="5" t="s">
        <v>705</v>
      </c>
      <c r="C295" s="5" t="s">
        <v>706</v>
      </c>
      <c r="D295" s="6">
        <v>83607</v>
      </c>
      <c r="E295" s="7">
        <v>10.332889594676899</v>
      </c>
      <c r="F295" s="7">
        <v>2.1284820648988698</v>
      </c>
      <c r="G295" s="7">
        <v>7.5100171038310197</v>
      </c>
      <c r="H295" s="7">
        <v>9.4729508294759999</v>
      </c>
      <c r="I295" s="7">
        <v>9.7961893142918708</v>
      </c>
      <c r="J295" s="7">
        <v>79.456265623691806</v>
      </c>
      <c r="K295" s="7">
        <v>96.801703206669302</v>
      </c>
      <c r="L295" s="7">
        <v>99.2105924145107</v>
      </c>
      <c r="M295" s="7">
        <v>99.472532204241304</v>
      </c>
      <c r="N295" s="7">
        <v>9.1306450068833005</v>
      </c>
      <c r="O295" s="7">
        <v>5.4812396091236399</v>
      </c>
      <c r="P295" s="7">
        <v>7.9745595464494601</v>
      </c>
      <c r="Q295" s="7">
        <v>9.8254452378389399</v>
      </c>
      <c r="R295" s="7">
        <v>10</v>
      </c>
      <c r="S295" s="7">
        <v>90.893107036492196</v>
      </c>
      <c r="T295" s="7">
        <v>100</v>
      </c>
      <c r="U295" s="7">
        <v>100</v>
      </c>
      <c r="V295" s="7">
        <v>100</v>
      </c>
      <c r="W295" s="7">
        <v>7.2465380874609702</v>
      </c>
      <c r="X295" s="7">
        <v>7.77916920831988</v>
      </c>
      <c r="Y295" s="7">
        <v>10</v>
      </c>
      <c r="Z295" s="7">
        <v>10</v>
      </c>
      <c r="AA295" s="7">
        <v>10</v>
      </c>
      <c r="AB295" s="7">
        <v>100</v>
      </c>
      <c r="AC295" s="7">
        <v>100</v>
      </c>
      <c r="AD295" s="7">
        <v>100</v>
      </c>
      <c r="AE295" s="7">
        <v>100</v>
      </c>
      <c r="AF295" s="6">
        <v>12.7260163299442</v>
      </c>
      <c r="AG295" s="6">
        <v>1.91089262860765</v>
      </c>
      <c r="AH295" s="6">
        <v>5.4921836688315597</v>
      </c>
      <c r="AI295" s="6">
        <v>6.8025643785807404</v>
      </c>
      <c r="AJ295" s="6">
        <v>7.3322568684440297</v>
      </c>
      <c r="AK295" s="6">
        <v>77.231571519131194</v>
      </c>
      <c r="AL295" s="6">
        <v>90.051072278636994</v>
      </c>
      <c r="AM295" s="6">
        <v>94.239716770126904</v>
      </c>
      <c r="AN295" s="6">
        <v>97.301661344145799</v>
      </c>
      <c r="AO295" s="6">
        <v>12.2749671446687</v>
      </c>
      <c r="AP295" s="7">
        <v>1.4262800961641999</v>
      </c>
      <c r="AQ295" s="7">
        <v>7.1601899362493597</v>
      </c>
      <c r="AR295" s="7">
        <v>9.1869939119930208</v>
      </c>
      <c r="AS295" s="7">
        <v>9.7701867068546893</v>
      </c>
      <c r="AT295" s="7">
        <v>67.740739411771699</v>
      </c>
      <c r="AU295" s="7">
        <v>96.036217063164599</v>
      </c>
      <c r="AV295" s="7">
        <v>99.411532527180697</v>
      </c>
      <c r="AW295" s="7">
        <v>100</v>
      </c>
      <c r="AX295" s="7">
        <v>10.343234414403099</v>
      </c>
      <c r="AY295" s="7">
        <v>4.0417787984259697</v>
      </c>
      <c r="AZ295" s="7">
        <v>8.1531570323059093</v>
      </c>
      <c r="BA295" s="7">
        <v>9.6798473812001404</v>
      </c>
      <c r="BB295" s="7">
        <v>10</v>
      </c>
      <c r="BC295" s="7">
        <v>83.676007989761601</v>
      </c>
      <c r="BD295" s="7">
        <v>100</v>
      </c>
      <c r="BE295" s="7">
        <v>100</v>
      </c>
      <c r="BF295" s="7">
        <v>100</v>
      </c>
      <c r="BG295" s="7">
        <v>7.8697964300136301</v>
      </c>
      <c r="BH295" s="7">
        <v>7.7442080208595003</v>
      </c>
      <c r="BI295" s="7">
        <v>10</v>
      </c>
      <c r="BJ295" s="7">
        <v>10</v>
      </c>
      <c r="BK295" s="7">
        <v>10</v>
      </c>
      <c r="BL295" s="7">
        <v>99.303886038250397</v>
      </c>
      <c r="BM295" s="7">
        <v>100</v>
      </c>
      <c r="BN295" s="7">
        <v>100</v>
      </c>
      <c r="BO295" s="7">
        <v>100</v>
      </c>
      <c r="BP295" s="6">
        <v>16.044888369511199</v>
      </c>
      <c r="BQ295" s="6">
        <v>1.2497039721554399</v>
      </c>
      <c r="BR295" s="6">
        <v>4.0069132967335301</v>
      </c>
      <c r="BS295" s="6">
        <v>5.9818197040917598</v>
      </c>
      <c r="BT295" s="6">
        <v>7.0704486466444196</v>
      </c>
      <c r="BU295" s="6">
        <v>63.483918810625902</v>
      </c>
      <c r="BV295" s="6">
        <v>83.565969356632806</v>
      </c>
      <c r="BW295" s="6">
        <v>94.103364550815101</v>
      </c>
      <c r="BX295" s="6">
        <v>98.399655531235396</v>
      </c>
      <c r="BY295" s="6" t="str">
        <f>TRIM(Table1[[#This Row],[LA_Name]])</f>
        <v>Tunbridge Wells</v>
      </c>
      <c r="BZ295" s="7">
        <v>32.189045046515801</v>
      </c>
      <c r="CA295" s="7">
        <v>0.33341705838027902</v>
      </c>
      <c r="CB295" s="7">
        <v>1.24566124846006</v>
      </c>
      <c r="CC295" s="7">
        <v>1.78772112382934</v>
      </c>
      <c r="CD295" s="7">
        <v>2.9814130395780301</v>
      </c>
      <c r="CE295" s="7">
        <v>22.6548016314423</v>
      </c>
      <c r="CF295" s="7">
        <v>65.194301912519293</v>
      </c>
      <c r="CG295" s="7">
        <v>76.851220591577302</v>
      </c>
      <c r="CH295" s="7">
        <v>83.670027629265505</v>
      </c>
      <c r="CI295" s="7">
        <v>29.909824422274198</v>
      </c>
      <c r="CJ295" s="7">
        <v>0.81438157092109498</v>
      </c>
      <c r="CK295" s="7">
        <v>1.35717105027091</v>
      </c>
      <c r="CL295" s="7">
        <v>1.4546389656368499</v>
      </c>
      <c r="CM295" s="7">
        <v>1.6903608549523399</v>
      </c>
      <c r="CN295" s="7">
        <v>43.9101989067901</v>
      </c>
      <c r="CO295" s="7">
        <v>68.049326013372095</v>
      </c>
      <c r="CP295" s="7">
        <v>73.015417369359</v>
      </c>
      <c r="CQ295" s="7">
        <v>84.057554989414797</v>
      </c>
      <c r="CR295" s="7">
        <v>16.041496184558699</v>
      </c>
      <c r="CS295" s="7">
        <v>1.2055808724149899</v>
      </c>
      <c r="CT295" s="7">
        <v>2.36132142045523</v>
      </c>
      <c r="CU295" s="7">
        <v>6.5968160560718596</v>
      </c>
      <c r="CV295" s="7">
        <v>9.9517145693542393</v>
      </c>
      <c r="CW295" s="7">
        <v>60.787972298970203</v>
      </c>
      <c r="CX295" s="7">
        <v>87.920867869915199</v>
      </c>
      <c r="CY295" s="7">
        <v>100</v>
      </c>
      <c r="CZ295" s="7">
        <v>100</v>
      </c>
      <c r="DA295" s="9">
        <v>56.564898969637802</v>
      </c>
      <c r="DB295" s="9">
        <v>0.29446099010848398</v>
      </c>
      <c r="DC295" s="9">
        <v>0.73864628559809598</v>
      </c>
      <c r="DD295" s="9">
        <v>1.1430382623464499</v>
      </c>
      <c r="DE295" s="9">
        <v>1.2555886468836299</v>
      </c>
      <c r="DF295" s="9">
        <v>19.0952910641453</v>
      </c>
      <c r="DG295" s="9">
        <v>40.739411771741601</v>
      </c>
      <c r="DH295" s="9">
        <v>58.700826485820599</v>
      </c>
      <c r="DI295" s="9">
        <v>64.237444233138405</v>
      </c>
    </row>
    <row r="296" spans="1:113">
      <c r="A296" s="5" t="s">
        <v>610</v>
      </c>
      <c r="B296" s="5" t="s">
        <v>707</v>
      </c>
      <c r="C296" s="5" t="s">
        <v>708</v>
      </c>
      <c r="D296" s="6">
        <v>499174</v>
      </c>
      <c r="E296" s="7">
        <v>13.0152131226435</v>
      </c>
      <c r="F296" s="7">
        <v>1.8333867549191301</v>
      </c>
      <c r="G296" s="7">
        <v>6.7060964713707003</v>
      </c>
      <c r="H296" s="7">
        <v>8.7819778273708202</v>
      </c>
      <c r="I296" s="7">
        <v>9.5140251695801492</v>
      </c>
      <c r="J296" s="7">
        <v>73.698149342714203</v>
      </c>
      <c r="K296" s="7">
        <v>93.102204842399601</v>
      </c>
      <c r="L296" s="7">
        <v>97.166118427642502</v>
      </c>
      <c r="M296" s="7">
        <v>98.106271560618097</v>
      </c>
      <c r="N296" s="7">
        <v>10.8316831160496</v>
      </c>
      <c r="O296" s="7">
        <v>4.1840380308269296</v>
      </c>
      <c r="P296" s="7">
        <v>7.7081178106231496</v>
      </c>
      <c r="Q296" s="7">
        <v>9.3841546234379205</v>
      </c>
      <c r="R296" s="7">
        <v>9.9428976669457896</v>
      </c>
      <c r="S296" s="7">
        <v>83.636767940637895</v>
      </c>
      <c r="T296" s="7">
        <v>96.277650678921603</v>
      </c>
      <c r="U296" s="7">
        <v>100</v>
      </c>
      <c r="V296" s="7">
        <v>100</v>
      </c>
      <c r="W296" s="7">
        <v>7.9444927397712197</v>
      </c>
      <c r="X296" s="7">
        <v>7.4527559528340799</v>
      </c>
      <c r="Y296" s="7">
        <v>9.9969549696097992</v>
      </c>
      <c r="Z296" s="7">
        <v>10</v>
      </c>
      <c r="AA296" s="7">
        <v>10</v>
      </c>
      <c r="AB296" s="7">
        <v>96.115582943021906</v>
      </c>
      <c r="AC296" s="7">
        <v>100</v>
      </c>
      <c r="AD296" s="7">
        <v>100</v>
      </c>
      <c r="AE296" s="7">
        <v>100</v>
      </c>
      <c r="AF296" s="6">
        <v>18.1342972758282</v>
      </c>
      <c r="AG296" s="6">
        <v>1.5007452311218099</v>
      </c>
      <c r="AH296" s="6">
        <v>4.2082219827154503</v>
      </c>
      <c r="AI296" s="6">
        <v>5.9598596882049097</v>
      </c>
      <c r="AJ296" s="6">
        <v>6.7909446405461802</v>
      </c>
      <c r="AK296" s="6">
        <v>69.676505587230096</v>
      </c>
      <c r="AL296" s="6">
        <v>82.9241907631407</v>
      </c>
      <c r="AM296" s="6">
        <v>88.468950706567298</v>
      </c>
      <c r="AN296" s="6">
        <v>92.240180778646305</v>
      </c>
      <c r="AO296" s="6">
        <v>13.051005069315</v>
      </c>
      <c r="AP296" s="7">
        <v>1.61498595680063</v>
      </c>
      <c r="AQ296" s="7">
        <v>6.3726856767379703</v>
      </c>
      <c r="AR296" s="7">
        <v>8.8334829137735493</v>
      </c>
      <c r="AS296" s="7">
        <v>9.4684458725814995</v>
      </c>
      <c r="AT296" s="7">
        <v>68.046012011843601</v>
      </c>
      <c r="AU296" s="7">
        <v>94.689026271400394</v>
      </c>
      <c r="AV296" s="7">
        <v>98.227471783386207</v>
      </c>
      <c r="AW296" s="7">
        <v>99.092300480393604</v>
      </c>
      <c r="AX296" s="7">
        <v>10.4442974932432</v>
      </c>
      <c r="AY296" s="7">
        <v>3.56201645117735</v>
      </c>
      <c r="AZ296" s="7">
        <v>7.1413495093895101</v>
      </c>
      <c r="BA296" s="7">
        <v>9.5506476699507594</v>
      </c>
      <c r="BB296" s="7">
        <v>9.9997375664597907</v>
      </c>
      <c r="BC296" s="7">
        <v>86.134894846286102</v>
      </c>
      <c r="BD296" s="7">
        <v>99.374967446221106</v>
      </c>
      <c r="BE296" s="7">
        <v>100</v>
      </c>
      <c r="BF296" s="7">
        <v>100</v>
      </c>
      <c r="BG296" s="7">
        <v>7.81696594693436</v>
      </c>
      <c r="BH296" s="7">
        <v>6.83294001690793</v>
      </c>
      <c r="BI296" s="7">
        <v>10</v>
      </c>
      <c r="BJ296" s="7">
        <v>10</v>
      </c>
      <c r="BK296" s="7">
        <v>10</v>
      </c>
      <c r="BL296" s="7">
        <v>98.942653263190806</v>
      </c>
      <c r="BM296" s="7">
        <v>100</v>
      </c>
      <c r="BN296" s="7">
        <v>100</v>
      </c>
      <c r="BO296" s="7">
        <v>100</v>
      </c>
      <c r="BP296" s="6">
        <v>16.774251198237799</v>
      </c>
      <c r="BQ296" s="6">
        <v>1.2129898592474799</v>
      </c>
      <c r="BR296" s="6">
        <v>3.4881864840716901</v>
      </c>
      <c r="BS296" s="6">
        <v>4.9735843613649804</v>
      </c>
      <c r="BT296" s="6">
        <v>5.87967522346917</v>
      </c>
      <c r="BU296" s="6">
        <v>62.896505026303501</v>
      </c>
      <c r="BV296" s="6">
        <v>85.450564332276898</v>
      </c>
      <c r="BW296" s="6">
        <v>92.6708923141029</v>
      </c>
      <c r="BX296" s="6">
        <v>96.233177208748899</v>
      </c>
      <c r="BY296" s="6" t="str">
        <f>TRIM(Table1[[#This Row],[LA_Name]])</f>
        <v>Oxfordshire</v>
      </c>
      <c r="BZ296" s="7">
        <v>31.235197250502299</v>
      </c>
      <c r="CA296" s="7">
        <v>0.21854703970959999</v>
      </c>
      <c r="CB296" s="7">
        <v>1.2041632777348199</v>
      </c>
      <c r="CC296" s="7">
        <v>2.6279974517903599</v>
      </c>
      <c r="CD296" s="7">
        <v>5.0997347618265403</v>
      </c>
      <c r="CE296" s="7">
        <v>18.346107770036099</v>
      </c>
      <c r="CF296" s="7">
        <v>60.942076310064202</v>
      </c>
      <c r="CG296" s="7">
        <v>80.941916045306897</v>
      </c>
      <c r="CH296" s="7">
        <v>91.660423018827103</v>
      </c>
      <c r="CI296" s="7">
        <v>27.404447418227299</v>
      </c>
      <c r="CJ296" s="7">
        <v>0.53221121292374995</v>
      </c>
      <c r="CK296" s="7">
        <v>1.69894866319159</v>
      </c>
      <c r="CL296" s="7">
        <v>2.5591717517338601</v>
      </c>
      <c r="CM296" s="7">
        <v>3.7958026660042399</v>
      </c>
      <c r="CN296" s="7">
        <v>38.746809729673402</v>
      </c>
      <c r="CO296" s="7">
        <v>64.900215155436797</v>
      </c>
      <c r="CP296" s="7">
        <v>78.765320309150695</v>
      </c>
      <c r="CQ296" s="7">
        <v>91.690672991782407</v>
      </c>
      <c r="CR296" s="7">
        <v>14.702570115417</v>
      </c>
      <c r="CS296" s="7">
        <v>1.33049798266737</v>
      </c>
      <c r="CT296" s="7">
        <v>4.9337886187982596</v>
      </c>
      <c r="CU296" s="7">
        <v>9.5406792020417708</v>
      </c>
      <c r="CV296" s="7">
        <v>10</v>
      </c>
      <c r="CW296" s="7">
        <v>59.9237941078662</v>
      </c>
      <c r="CX296" s="7">
        <v>98.458253034012202</v>
      </c>
      <c r="CY296" s="7">
        <v>100</v>
      </c>
      <c r="CZ296" s="7">
        <v>100</v>
      </c>
      <c r="DA296" s="9">
        <v>59.456309091172599</v>
      </c>
      <c r="DB296" s="9">
        <v>0.181425715281645</v>
      </c>
      <c r="DC296" s="9">
        <v>0.54385444754734802</v>
      </c>
      <c r="DD296" s="9">
        <v>0.93353419849591501</v>
      </c>
      <c r="DE296" s="9">
        <v>1.3123399856563001</v>
      </c>
      <c r="DF296" s="9">
        <v>15.028026299446701</v>
      </c>
      <c r="DG296" s="9">
        <v>40.301778538145001</v>
      </c>
      <c r="DH296" s="9">
        <v>51.295339901517302</v>
      </c>
      <c r="DI296" s="9">
        <v>58.391663027321101</v>
      </c>
    </row>
    <row r="297" spans="1:113">
      <c r="A297" s="5" t="s">
        <v>610</v>
      </c>
      <c r="B297" s="5" t="s">
        <v>709</v>
      </c>
      <c r="C297" s="5" t="s">
        <v>710</v>
      </c>
      <c r="D297" s="6">
        <v>107422</v>
      </c>
      <c r="E297" s="7">
        <v>14.1752177830204</v>
      </c>
      <c r="F297" s="7">
        <v>1.6882482173111699</v>
      </c>
      <c r="G297" s="7">
        <v>6.30221928469029</v>
      </c>
      <c r="H297" s="7">
        <v>8.7127869523933601</v>
      </c>
      <c r="I297" s="7">
        <v>9.2505073448641806</v>
      </c>
      <c r="J297" s="7">
        <v>70.297518199251599</v>
      </c>
      <c r="K297" s="7">
        <v>91.430991789391399</v>
      </c>
      <c r="L297" s="7">
        <v>95.471132542682099</v>
      </c>
      <c r="M297" s="7">
        <v>97.013647111392501</v>
      </c>
      <c r="N297" s="7">
        <v>11.0807850087921</v>
      </c>
      <c r="O297" s="7">
        <v>3.9160786431084902</v>
      </c>
      <c r="P297" s="7">
        <v>8.3319897227755995</v>
      </c>
      <c r="Q297" s="7">
        <v>9.65854294278639</v>
      </c>
      <c r="R297" s="7">
        <v>10</v>
      </c>
      <c r="S297" s="7">
        <v>82.021373647856095</v>
      </c>
      <c r="T297" s="7">
        <v>96.610563944071004</v>
      </c>
      <c r="U297" s="7">
        <v>100</v>
      </c>
      <c r="V297" s="7">
        <v>100</v>
      </c>
      <c r="W297" s="7">
        <v>8.1249417296443305</v>
      </c>
      <c r="X297" s="7">
        <v>7.9041164752099196</v>
      </c>
      <c r="Y297" s="7">
        <v>10</v>
      </c>
      <c r="Z297" s="7">
        <v>10</v>
      </c>
      <c r="AA297" s="7">
        <v>10</v>
      </c>
      <c r="AB297" s="7">
        <v>95.984993762916304</v>
      </c>
      <c r="AC297" s="7">
        <v>100</v>
      </c>
      <c r="AD297" s="7">
        <v>100</v>
      </c>
      <c r="AE297" s="7">
        <v>100</v>
      </c>
      <c r="AF297" s="6">
        <v>18.654479923895298</v>
      </c>
      <c r="AG297" s="6">
        <v>1.49411666139152</v>
      </c>
      <c r="AH297" s="6">
        <v>3.9690659269050999</v>
      </c>
      <c r="AI297" s="6">
        <v>6.15361843942582</v>
      </c>
      <c r="AJ297" s="6">
        <v>7.4446761371041301</v>
      </c>
      <c r="AK297" s="6">
        <v>68.158291597624299</v>
      </c>
      <c r="AL297" s="6">
        <v>81.405112546778099</v>
      </c>
      <c r="AM297" s="6">
        <v>86.445048500307195</v>
      </c>
      <c r="AN297" s="6">
        <v>92.501535998212702</v>
      </c>
      <c r="AO297" s="6">
        <v>14.028122773995699</v>
      </c>
      <c r="AP297" s="7">
        <v>1.3357040457261999</v>
      </c>
      <c r="AQ297" s="7">
        <v>5.9523933644877198</v>
      </c>
      <c r="AR297" s="7">
        <v>8.2920630783265992</v>
      </c>
      <c r="AS297" s="7">
        <v>9.1776358660237207</v>
      </c>
      <c r="AT297" s="7">
        <v>69.069650537133896</v>
      </c>
      <c r="AU297" s="7">
        <v>92.172925471504897</v>
      </c>
      <c r="AV297" s="7">
        <v>96.030608255292194</v>
      </c>
      <c r="AW297" s="7">
        <v>97.648526372623905</v>
      </c>
      <c r="AX297" s="7">
        <v>10.472631494906301</v>
      </c>
      <c r="AY297" s="7">
        <v>3.1373368583716599</v>
      </c>
      <c r="AZ297" s="7">
        <v>7.47973413267301</v>
      </c>
      <c r="BA297" s="7">
        <v>9.5913779300329498</v>
      </c>
      <c r="BB297" s="7">
        <v>10</v>
      </c>
      <c r="BC297" s="7">
        <v>85.451769656122593</v>
      </c>
      <c r="BD297" s="7">
        <v>99.298095362216301</v>
      </c>
      <c r="BE297" s="7">
        <v>100</v>
      </c>
      <c r="BF297" s="7">
        <v>100</v>
      </c>
      <c r="BG297" s="7">
        <v>7.9249416103431596</v>
      </c>
      <c r="BH297" s="7">
        <v>7.06903613784886</v>
      </c>
      <c r="BI297" s="7">
        <v>10</v>
      </c>
      <c r="BJ297" s="7">
        <v>10</v>
      </c>
      <c r="BK297" s="7">
        <v>10</v>
      </c>
      <c r="BL297" s="7">
        <v>99.167768241142397</v>
      </c>
      <c r="BM297" s="7">
        <v>100</v>
      </c>
      <c r="BN297" s="7">
        <v>100</v>
      </c>
      <c r="BO297" s="7">
        <v>100</v>
      </c>
      <c r="BP297" s="6">
        <v>16.2154423186748</v>
      </c>
      <c r="BQ297" s="6">
        <v>1.1148461209063301</v>
      </c>
      <c r="BR297" s="6">
        <v>3.1345348252685699</v>
      </c>
      <c r="BS297" s="6">
        <v>5.1068775483606696</v>
      </c>
      <c r="BT297" s="6">
        <v>6.1607398856845004</v>
      </c>
      <c r="BU297" s="6">
        <v>65.728621697603799</v>
      </c>
      <c r="BV297" s="6">
        <v>84.583232484965805</v>
      </c>
      <c r="BW297" s="6">
        <v>92.791979296605902</v>
      </c>
      <c r="BX297" s="6">
        <v>96.8032619016589</v>
      </c>
      <c r="BY297" s="6" t="str">
        <f>TRIM(Table1[[#This Row],[LA_Name]])</f>
        <v>Cherwell</v>
      </c>
      <c r="BZ297" s="7">
        <v>27.137941080878601</v>
      </c>
      <c r="CA297" s="7">
        <v>0.25229468823890799</v>
      </c>
      <c r="CB297" s="7">
        <v>0.97034127087561195</v>
      </c>
      <c r="CC297" s="7">
        <v>2.0077451546238199</v>
      </c>
      <c r="CD297" s="7">
        <v>4.3688443707992803</v>
      </c>
      <c r="CE297" s="7">
        <v>24.843142000707498</v>
      </c>
      <c r="CF297" s="7">
        <v>77.472957122377196</v>
      </c>
      <c r="CG297" s="7">
        <v>90.384651188769496</v>
      </c>
      <c r="CH297" s="7">
        <v>91.198264787473704</v>
      </c>
      <c r="CI297" s="7">
        <v>19.0150686638754</v>
      </c>
      <c r="CJ297" s="7">
        <v>0.63863082050231801</v>
      </c>
      <c r="CK297" s="7">
        <v>1.1801958630448099</v>
      </c>
      <c r="CL297" s="7">
        <v>1.7530952691255099</v>
      </c>
      <c r="CM297" s="7">
        <v>2.3287222356686699</v>
      </c>
      <c r="CN297" s="7">
        <v>54.2905550073542</v>
      </c>
      <c r="CO297" s="7">
        <v>82.146115320883993</v>
      </c>
      <c r="CP297" s="7">
        <v>94.350319301446604</v>
      </c>
      <c r="CQ297" s="7">
        <v>100</v>
      </c>
      <c r="CR297" s="7">
        <v>11.798240753369001</v>
      </c>
      <c r="CS297" s="7">
        <v>1.0629014540783099</v>
      </c>
      <c r="CT297" s="7">
        <v>3.7460110591871301</v>
      </c>
      <c r="CU297" s="7">
        <v>8.9369402915603899</v>
      </c>
      <c r="CV297" s="7">
        <v>10</v>
      </c>
      <c r="CW297" s="7">
        <v>80.600808028150695</v>
      </c>
      <c r="CX297" s="7">
        <v>100</v>
      </c>
      <c r="CY297" s="7">
        <v>100</v>
      </c>
      <c r="CZ297" s="7">
        <v>100</v>
      </c>
      <c r="DA297" s="9">
        <v>41.745091268641403</v>
      </c>
      <c r="DB297" s="9">
        <v>0.22136992422408799</v>
      </c>
      <c r="DC297" s="9">
        <v>0.64662732028820902</v>
      </c>
      <c r="DD297" s="9">
        <v>0.97519130159557599</v>
      </c>
      <c r="DE297" s="9">
        <v>1.09220643815978</v>
      </c>
      <c r="DF297" s="9">
        <v>21.750665599225499</v>
      </c>
      <c r="DG297" s="9">
        <v>54.489769320995698</v>
      </c>
      <c r="DH297" s="9">
        <v>71.103684533894395</v>
      </c>
      <c r="DI297" s="9">
        <v>76.051460594663993</v>
      </c>
    </row>
    <row r="298" spans="1:113">
      <c r="A298" s="5" t="s">
        <v>610</v>
      </c>
      <c r="B298" s="5" t="s">
        <v>711</v>
      </c>
      <c r="C298" s="5" t="s">
        <v>712</v>
      </c>
      <c r="D298" s="6">
        <v>116215</v>
      </c>
      <c r="E298" s="7">
        <v>8.3827937282526008</v>
      </c>
      <c r="F298" s="7">
        <v>3.0826055156391199</v>
      </c>
      <c r="G298" s="7">
        <v>9.9256292217011595</v>
      </c>
      <c r="H298" s="7">
        <v>10</v>
      </c>
      <c r="I298" s="7">
        <v>10</v>
      </c>
      <c r="J298" s="7">
        <v>92.378780708170197</v>
      </c>
      <c r="K298" s="7">
        <v>100</v>
      </c>
      <c r="L298" s="7">
        <v>100</v>
      </c>
      <c r="M298" s="7">
        <v>100</v>
      </c>
      <c r="N298" s="7">
        <v>8.0512190392930005</v>
      </c>
      <c r="O298" s="7">
        <v>7.6983005636105499</v>
      </c>
      <c r="P298" s="7">
        <v>10</v>
      </c>
      <c r="Q298" s="7">
        <v>10</v>
      </c>
      <c r="R298" s="7">
        <v>10</v>
      </c>
      <c r="S298" s="7">
        <v>100</v>
      </c>
      <c r="T298" s="7">
        <v>100</v>
      </c>
      <c r="U298" s="7">
        <v>100</v>
      </c>
      <c r="V298" s="7">
        <v>100</v>
      </c>
      <c r="W298" s="7">
        <v>6.9867701318164199</v>
      </c>
      <c r="X298" s="7">
        <v>9.9860086907886192</v>
      </c>
      <c r="Y298" s="7">
        <v>10</v>
      </c>
      <c r="Z298" s="7">
        <v>10</v>
      </c>
      <c r="AA298" s="7">
        <v>10</v>
      </c>
      <c r="AB298" s="7">
        <v>100</v>
      </c>
      <c r="AC298" s="7">
        <v>100</v>
      </c>
      <c r="AD298" s="7">
        <v>100</v>
      </c>
      <c r="AE298" s="7">
        <v>100</v>
      </c>
      <c r="AF298" s="6">
        <v>8.8834175383659204</v>
      </c>
      <c r="AG298" s="6">
        <v>2.28466204878888</v>
      </c>
      <c r="AH298" s="6">
        <v>7.5633610119175696</v>
      </c>
      <c r="AI298" s="6">
        <v>9.8198769522006604</v>
      </c>
      <c r="AJ298" s="6">
        <v>9.9950006453555904</v>
      </c>
      <c r="AK298" s="6">
        <v>87.215935980725405</v>
      </c>
      <c r="AL298" s="6">
        <v>100</v>
      </c>
      <c r="AM298" s="6">
        <v>100</v>
      </c>
      <c r="AN298" s="6">
        <v>100</v>
      </c>
      <c r="AO298" s="6">
        <v>9.6964349203522993</v>
      </c>
      <c r="AP298" s="7">
        <v>3.1497311018371099</v>
      </c>
      <c r="AQ298" s="7">
        <v>9.8709633007787296</v>
      </c>
      <c r="AR298" s="7">
        <v>10</v>
      </c>
      <c r="AS298" s="7">
        <v>10</v>
      </c>
      <c r="AT298" s="7">
        <v>82.189906638557801</v>
      </c>
      <c r="AU298" s="7">
        <v>100</v>
      </c>
      <c r="AV298" s="7">
        <v>100</v>
      </c>
      <c r="AW298" s="7">
        <v>100</v>
      </c>
      <c r="AX298" s="7">
        <v>8.4961910873068103</v>
      </c>
      <c r="AY298" s="7">
        <v>7.4446413974099697</v>
      </c>
      <c r="AZ298" s="7">
        <v>10</v>
      </c>
      <c r="BA298" s="7">
        <v>10</v>
      </c>
      <c r="BB298" s="7">
        <v>10</v>
      </c>
      <c r="BC298" s="7">
        <v>98.939895882631305</v>
      </c>
      <c r="BD298" s="7">
        <v>100</v>
      </c>
      <c r="BE298" s="7">
        <v>100</v>
      </c>
      <c r="BF298" s="7">
        <v>100</v>
      </c>
      <c r="BG298" s="7">
        <v>7.2117783388315804</v>
      </c>
      <c r="BH298" s="7">
        <v>9.9547734801875798</v>
      </c>
      <c r="BI298" s="7">
        <v>10</v>
      </c>
      <c r="BJ298" s="7">
        <v>10</v>
      </c>
      <c r="BK298" s="7">
        <v>10</v>
      </c>
      <c r="BL298" s="7">
        <v>100</v>
      </c>
      <c r="BM298" s="7">
        <v>100</v>
      </c>
      <c r="BN298" s="7">
        <v>100</v>
      </c>
      <c r="BO298" s="7">
        <v>100</v>
      </c>
      <c r="BP298" s="6">
        <v>10.543053824291601</v>
      </c>
      <c r="BQ298" s="6">
        <v>2.1387944757561401</v>
      </c>
      <c r="BR298" s="6">
        <v>7.1687733941401701</v>
      </c>
      <c r="BS298" s="6">
        <v>9.4839220410446199</v>
      </c>
      <c r="BT298" s="6">
        <v>9.9377274878458</v>
      </c>
      <c r="BU298" s="6">
        <v>78.712730714623802</v>
      </c>
      <c r="BV298" s="6">
        <v>99.091339327969706</v>
      </c>
      <c r="BW298" s="6">
        <v>100</v>
      </c>
      <c r="BX298" s="6">
        <v>100</v>
      </c>
      <c r="BY298" s="6" t="str">
        <f>TRIM(Table1[[#This Row],[LA_Name]])</f>
        <v>Oxford</v>
      </c>
      <c r="BZ298" s="7">
        <v>15.1265748172251</v>
      </c>
      <c r="CA298" s="7">
        <v>0.57138063072753098</v>
      </c>
      <c r="CB298" s="7">
        <v>3.20725379684206</v>
      </c>
      <c r="CC298" s="7">
        <v>5.6903583874715</v>
      </c>
      <c r="CD298" s="7">
        <v>8.0914253753818404</v>
      </c>
      <c r="CE298" s="7">
        <v>42.424816073656601</v>
      </c>
      <c r="CF298" s="7">
        <v>99.791765262659695</v>
      </c>
      <c r="CG298" s="7">
        <v>100</v>
      </c>
      <c r="CH298" s="7">
        <v>100</v>
      </c>
      <c r="CI298" s="7">
        <v>11.727643505429301</v>
      </c>
      <c r="CJ298" s="7">
        <v>1.3420642774168601</v>
      </c>
      <c r="CK298" s="7">
        <v>4.7524674095426596</v>
      </c>
      <c r="CL298" s="7">
        <v>5.4710235339672204</v>
      </c>
      <c r="CM298" s="7">
        <v>6.7811814309684602</v>
      </c>
      <c r="CN298" s="7">
        <v>80.985242868820706</v>
      </c>
      <c r="CO298" s="7">
        <v>100</v>
      </c>
      <c r="CP298" s="7">
        <v>100</v>
      </c>
      <c r="CQ298" s="7">
        <v>100</v>
      </c>
      <c r="CR298" s="7">
        <v>9.0402583063497595</v>
      </c>
      <c r="CS298" s="7">
        <v>3.7324441767413798</v>
      </c>
      <c r="CT298" s="7">
        <v>7.9636621778599999</v>
      </c>
      <c r="CU298" s="7">
        <v>10</v>
      </c>
      <c r="CV298" s="7">
        <v>10</v>
      </c>
      <c r="CW298" s="7">
        <v>97.929699264294598</v>
      </c>
      <c r="CX298" s="7">
        <v>100</v>
      </c>
      <c r="CY298" s="7">
        <v>100</v>
      </c>
      <c r="CZ298" s="7">
        <v>100</v>
      </c>
      <c r="DA298" s="9">
        <v>20.169308647629201</v>
      </c>
      <c r="DB298" s="9">
        <v>0.46680721077313603</v>
      </c>
      <c r="DC298" s="9">
        <v>1.3676891967474101</v>
      </c>
      <c r="DD298" s="9">
        <v>2.4868390483156202</v>
      </c>
      <c r="DE298" s="9">
        <v>3.6850578668846499</v>
      </c>
      <c r="DF298" s="9">
        <v>33.660026674697797</v>
      </c>
      <c r="DG298" s="9">
        <v>85.780665146495707</v>
      </c>
      <c r="DH298" s="9">
        <v>94.826829583100306</v>
      </c>
      <c r="DI298" s="9">
        <v>99.352062986705704</v>
      </c>
    </row>
    <row r="299" spans="1:113">
      <c r="A299" s="5" t="s">
        <v>610</v>
      </c>
      <c r="B299" s="5" t="s">
        <v>713</v>
      </c>
      <c r="C299" s="5" t="s">
        <v>714</v>
      </c>
      <c r="D299" s="6">
        <v>100190</v>
      </c>
      <c r="E299" s="7">
        <v>13.6369289406629</v>
      </c>
      <c r="F299" s="7">
        <v>1.4551352430382301</v>
      </c>
      <c r="G299" s="7">
        <v>5.1169777422896496</v>
      </c>
      <c r="H299" s="7">
        <v>8.3629304321788602</v>
      </c>
      <c r="I299" s="7">
        <v>9.4027547659446995</v>
      </c>
      <c r="J299" s="7">
        <v>67.985826928835195</v>
      </c>
      <c r="K299" s="7">
        <v>92.887513723924499</v>
      </c>
      <c r="L299" s="7">
        <v>97.667431879429103</v>
      </c>
      <c r="M299" s="7">
        <v>98.483880626809096</v>
      </c>
      <c r="N299" s="7">
        <v>10.8844439305973</v>
      </c>
      <c r="O299" s="7">
        <v>2.90394250923246</v>
      </c>
      <c r="P299" s="7">
        <v>6.2517117476794102</v>
      </c>
      <c r="Q299" s="7">
        <v>9.5869248427986804</v>
      </c>
      <c r="R299" s="7">
        <v>10</v>
      </c>
      <c r="S299" s="7">
        <v>79.152610040922198</v>
      </c>
      <c r="T299" s="7">
        <v>98.870146721229702</v>
      </c>
      <c r="U299" s="7">
        <v>100</v>
      </c>
      <c r="V299" s="7">
        <v>100</v>
      </c>
      <c r="W299" s="7">
        <v>7.7687362850325101</v>
      </c>
      <c r="X299" s="7">
        <v>6.5156802076055502</v>
      </c>
      <c r="Y299" s="7">
        <v>10</v>
      </c>
      <c r="Z299" s="7">
        <v>10</v>
      </c>
      <c r="AA299" s="7">
        <v>10</v>
      </c>
      <c r="AB299" s="7">
        <v>99.424094220980095</v>
      </c>
      <c r="AC299" s="7">
        <v>100</v>
      </c>
      <c r="AD299" s="7">
        <v>100</v>
      </c>
      <c r="AE299" s="7">
        <v>100</v>
      </c>
      <c r="AF299" s="6">
        <v>18.772187628068099</v>
      </c>
      <c r="AG299" s="6">
        <v>1.24018365106298</v>
      </c>
      <c r="AH299" s="6">
        <v>2.9900688691486201</v>
      </c>
      <c r="AI299" s="6">
        <v>3.9403034234953598</v>
      </c>
      <c r="AJ299" s="6">
        <v>4.7604850783511301</v>
      </c>
      <c r="AK299" s="6">
        <v>61.706757161393398</v>
      </c>
      <c r="AL299" s="6">
        <v>77.396945802974301</v>
      </c>
      <c r="AM299" s="6">
        <v>89.267391955285007</v>
      </c>
      <c r="AN299" s="6">
        <v>94.738995907775205</v>
      </c>
      <c r="AO299" s="6">
        <v>15.4629368101459</v>
      </c>
      <c r="AP299" s="7">
        <v>0.86764148118574702</v>
      </c>
      <c r="AQ299" s="7">
        <v>4.1867950893302703</v>
      </c>
      <c r="AR299" s="7">
        <v>8.3982433376584495</v>
      </c>
      <c r="AS299" s="7">
        <v>9.2270086835013494</v>
      </c>
      <c r="AT299" s="7">
        <v>54.644176065475598</v>
      </c>
      <c r="AU299" s="7">
        <v>90.726619423096096</v>
      </c>
      <c r="AV299" s="7">
        <v>97.876035532488302</v>
      </c>
      <c r="AW299" s="7">
        <v>99.204511428286295</v>
      </c>
      <c r="AX299" s="7">
        <v>11.3700937227523</v>
      </c>
      <c r="AY299" s="7">
        <v>1.83693981435273</v>
      </c>
      <c r="AZ299" s="7">
        <v>5.4694779918155501</v>
      </c>
      <c r="BA299" s="7">
        <v>9.7617426888911094</v>
      </c>
      <c r="BB299" s="7">
        <v>10</v>
      </c>
      <c r="BC299" s="7">
        <v>77.491765645274</v>
      </c>
      <c r="BD299" s="7">
        <v>100</v>
      </c>
      <c r="BE299" s="7">
        <v>100</v>
      </c>
      <c r="BF299" s="7">
        <v>100</v>
      </c>
      <c r="BG299" s="7">
        <v>8.0079914209335605</v>
      </c>
      <c r="BH299" s="7">
        <v>5.2455035432677901</v>
      </c>
      <c r="BI299" s="7">
        <v>10</v>
      </c>
      <c r="BJ299" s="7">
        <v>10</v>
      </c>
      <c r="BK299" s="7">
        <v>10</v>
      </c>
      <c r="BL299" s="7">
        <v>100</v>
      </c>
      <c r="BM299" s="7">
        <v>100</v>
      </c>
      <c r="BN299" s="7">
        <v>100</v>
      </c>
      <c r="BO299" s="7">
        <v>100</v>
      </c>
      <c r="BP299" s="6">
        <v>20.236964667701301</v>
      </c>
      <c r="BQ299" s="6">
        <v>0.76668330172671895</v>
      </c>
      <c r="BR299" s="6">
        <v>1.7543467411917399</v>
      </c>
      <c r="BS299" s="6">
        <v>2.5001397345044398</v>
      </c>
      <c r="BT299" s="6">
        <v>3.4472602056093402</v>
      </c>
      <c r="BU299" s="6">
        <v>50.073859666633403</v>
      </c>
      <c r="BV299" s="6">
        <v>75.576404830821403</v>
      </c>
      <c r="BW299" s="6">
        <v>88.476893901587005</v>
      </c>
      <c r="BX299" s="6">
        <v>97.353029244435604</v>
      </c>
      <c r="BY299" s="6" t="str">
        <f>TRIM(Table1[[#This Row],[LA_Name]])</f>
        <v>South Oxfordshire</v>
      </c>
      <c r="BZ299" s="7">
        <v>46.003694919007799</v>
      </c>
      <c r="CA299" s="7">
        <v>7.9249426090428204E-3</v>
      </c>
      <c r="CB299" s="7">
        <v>0.19630701666833</v>
      </c>
      <c r="CC299" s="7">
        <v>1.67431879429085</v>
      </c>
      <c r="CD299" s="7">
        <v>4.8118375087334098</v>
      </c>
      <c r="CE299" s="7">
        <v>0.79249426090428199</v>
      </c>
      <c r="CF299" s="7">
        <v>17.628505838906101</v>
      </c>
      <c r="CG299" s="7">
        <v>59.128655554446603</v>
      </c>
      <c r="CH299" s="7">
        <v>86.517616528595696</v>
      </c>
      <c r="CI299" s="7">
        <v>43.850710135527599</v>
      </c>
      <c r="CJ299" s="7">
        <v>2.6429783411518099E-2</v>
      </c>
      <c r="CK299" s="7">
        <v>0.51552051102904495</v>
      </c>
      <c r="CL299" s="7">
        <v>1.3964866753169001</v>
      </c>
      <c r="CM299" s="7">
        <v>3.1300429184549401</v>
      </c>
      <c r="CN299" s="7">
        <v>2.5252021159796398</v>
      </c>
      <c r="CO299" s="7">
        <v>31.8824233955485</v>
      </c>
      <c r="CP299" s="7">
        <v>46.095418704461501</v>
      </c>
      <c r="CQ299" s="7">
        <v>77.263199920151706</v>
      </c>
      <c r="CR299" s="7">
        <v>20.509585412456001</v>
      </c>
      <c r="CS299" s="7">
        <v>0.31628905080347303</v>
      </c>
      <c r="CT299" s="7">
        <v>4.27193332667931</v>
      </c>
      <c r="CU299" s="7">
        <v>10</v>
      </c>
      <c r="CV299" s="7">
        <v>10</v>
      </c>
      <c r="CW299" s="7">
        <v>22.729813354626199</v>
      </c>
      <c r="CX299" s="7">
        <v>99.183551252620006</v>
      </c>
      <c r="CY299" s="7">
        <v>100</v>
      </c>
      <c r="CZ299" s="7">
        <v>100</v>
      </c>
      <c r="DA299" s="9">
        <v>96.282693072485699</v>
      </c>
      <c r="DB299" s="9">
        <v>4.5214093222876502E-3</v>
      </c>
      <c r="DC299" s="9">
        <v>1.9992015171174798E-2</v>
      </c>
      <c r="DD299" s="9">
        <v>9.5129254416608397E-2</v>
      </c>
      <c r="DE299" s="9">
        <v>0.24120171673819699</v>
      </c>
      <c r="DF299" s="9">
        <v>0.452140932228765</v>
      </c>
      <c r="DG299" s="9">
        <v>1.8814252919453001</v>
      </c>
      <c r="DH299" s="9">
        <v>9.3951492164886705</v>
      </c>
      <c r="DI299" s="9">
        <v>20.426190238546798</v>
      </c>
    </row>
    <row r="300" spans="1:113">
      <c r="A300" s="5" t="s">
        <v>610</v>
      </c>
      <c r="B300" s="5" t="s">
        <v>715</v>
      </c>
      <c r="C300" s="5" t="s">
        <v>716</v>
      </c>
      <c r="D300" s="6">
        <v>96706</v>
      </c>
      <c r="E300" s="7">
        <v>15.3098735755813</v>
      </c>
      <c r="F300" s="7">
        <v>1.0745248485099199</v>
      </c>
      <c r="G300" s="7">
        <v>5.4227969309039796</v>
      </c>
      <c r="H300" s="7">
        <v>8.2129960912456301</v>
      </c>
      <c r="I300" s="7">
        <v>9.4936922217856203</v>
      </c>
      <c r="J300" s="7">
        <v>67.398093189667605</v>
      </c>
      <c r="K300" s="7">
        <v>90.401836494116196</v>
      </c>
      <c r="L300" s="7">
        <v>96.139846545198907</v>
      </c>
      <c r="M300" s="7">
        <v>97.4241515521271</v>
      </c>
      <c r="N300" s="7">
        <v>11.877559542047001</v>
      </c>
      <c r="O300" s="7">
        <v>2.4650590449403298</v>
      </c>
      <c r="P300" s="7">
        <v>7.1555539470146599</v>
      </c>
      <c r="Q300" s="7">
        <v>8.7075362438731805</v>
      </c>
      <c r="R300" s="7">
        <v>9.9860298223481507</v>
      </c>
      <c r="S300" s="7">
        <v>79.6600004136248</v>
      </c>
      <c r="T300" s="7">
        <v>93.768742373792705</v>
      </c>
      <c r="U300" s="7">
        <v>100</v>
      </c>
      <c r="V300" s="7">
        <v>100</v>
      </c>
      <c r="W300" s="7">
        <v>8.3985909959945602</v>
      </c>
      <c r="X300" s="7">
        <v>6.2135441441068799</v>
      </c>
      <c r="Y300" s="7">
        <v>10</v>
      </c>
      <c r="Z300" s="7">
        <v>10</v>
      </c>
      <c r="AA300" s="7">
        <v>10</v>
      </c>
      <c r="AB300" s="7">
        <v>93.467830331106697</v>
      </c>
      <c r="AC300" s="7">
        <v>100</v>
      </c>
      <c r="AD300" s="7">
        <v>100</v>
      </c>
      <c r="AE300" s="7">
        <v>100</v>
      </c>
      <c r="AF300" s="6">
        <v>21.485810913574799</v>
      </c>
      <c r="AG300" s="6">
        <v>0.92525799846958801</v>
      </c>
      <c r="AH300" s="6">
        <v>2.5042293135896401</v>
      </c>
      <c r="AI300" s="6">
        <v>4.4470560254792897</v>
      </c>
      <c r="AJ300" s="6">
        <v>5.8415920418588296</v>
      </c>
      <c r="AK300" s="6">
        <v>64.449982420946</v>
      </c>
      <c r="AL300" s="6">
        <v>79.228796558641704</v>
      </c>
      <c r="AM300" s="6">
        <v>85.038156887886998</v>
      </c>
      <c r="AN300" s="6">
        <v>89.975802949144807</v>
      </c>
      <c r="AO300" s="6">
        <v>12.849478060513301</v>
      </c>
      <c r="AP300" s="7">
        <v>1.3327404711186499</v>
      </c>
      <c r="AQ300" s="7">
        <v>5.9840030608235297</v>
      </c>
      <c r="AR300" s="7">
        <v>8.9031394122391596</v>
      </c>
      <c r="AS300" s="7">
        <v>9.6021136227328192</v>
      </c>
      <c r="AT300" s="7">
        <v>67.701073356358407</v>
      </c>
      <c r="AU300" s="7">
        <v>95.128533906893097</v>
      </c>
      <c r="AV300" s="7">
        <v>99.075548569892206</v>
      </c>
      <c r="AW300" s="7">
        <v>99.858333505676995</v>
      </c>
      <c r="AX300" s="7">
        <v>10.5060967207078</v>
      </c>
      <c r="AY300" s="7">
        <v>2.6737430976361298</v>
      </c>
      <c r="AZ300" s="7">
        <v>6.9740967468409396</v>
      </c>
      <c r="BA300" s="7">
        <v>9.2434595578350898</v>
      </c>
      <c r="BB300" s="7">
        <v>9.9986453787769101</v>
      </c>
      <c r="BC300" s="7">
        <v>85.930552395921694</v>
      </c>
      <c r="BD300" s="7">
        <v>99.858333505676995</v>
      </c>
      <c r="BE300" s="7">
        <v>100</v>
      </c>
      <c r="BF300" s="7">
        <v>100</v>
      </c>
      <c r="BG300" s="7">
        <v>7.7250094200895001</v>
      </c>
      <c r="BH300" s="7">
        <v>6.1904225177341603</v>
      </c>
      <c r="BI300" s="7">
        <v>10</v>
      </c>
      <c r="BJ300" s="7">
        <v>10</v>
      </c>
      <c r="BK300" s="7">
        <v>10</v>
      </c>
      <c r="BL300" s="7">
        <v>99.858333505676995</v>
      </c>
      <c r="BM300" s="7">
        <v>100</v>
      </c>
      <c r="BN300" s="7">
        <v>100</v>
      </c>
      <c r="BO300" s="7">
        <v>100</v>
      </c>
      <c r="BP300" s="6">
        <v>17.246296746032101</v>
      </c>
      <c r="BQ300" s="6">
        <v>0.99599818005087604</v>
      </c>
      <c r="BR300" s="6">
        <v>2.6308191839182702</v>
      </c>
      <c r="BS300" s="6">
        <v>3.9891940520753599</v>
      </c>
      <c r="BT300" s="6">
        <v>5.4108535147767496</v>
      </c>
      <c r="BU300" s="6">
        <v>58.330403490993298</v>
      </c>
      <c r="BV300" s="6">
        <v>84.374289082373394</v>
      </c>
      <c r="BW300" s="6">
        <v>94.198912166773496</v>
      </c>
      <c r="BX300" s="6">
        <v>96.8368043347879</v>
      </c>
      <c r="BY300" s="6" t="str">
        <f>TRIM(Table1[[#This Row],[LA_Name]])</f>
        <v>Vale of White Horse</v>
      </c>
      <c r="BZ300" s="7">
        <v>36.3335044647134</v>
      </c>
      <c r="CA300" s="7">
        <v>6.7286414493412994E-2</v>
      </c>
      <c r="CB300" s="7">
        <v>0.67522180629950601</v>
      </c>
      <c r="CC300" s="7">
        <v>1.9047835708229099</v>
      </c>
      <c r="CD300" s="7">
        <v>4.6222054474386303</v>
      </c>
      <c r="CE300" s="7">
        <v>6.7286414493412998</v>
      </c>
      <c r="CF300" s="7">
        <v>49.836618203627502</v>
      </c>
      <c r="CG300" s="7">
        <v>75.708849502616204</v>
      </c>
      <c r="CH300" s="7">
        <v>86.525138047277295</v>
      </c>
      <c r="CI300" s="7">
        <v>30.276688539177901</v>
      </c>
      <c r="CJ300" s="7">
        <v>0.22183732136578899</v>
      </c>
      <c r="CK300" s="7">
        <v>0.91198064235931597</v>
      </c>
      <c r="CL300" s="7">
        <v>2.56194031394122</v>
      </c>
      <c r="CM300" s="7">
        <v>4.5764792256943698</v>
      </c>
      <c r="CN300" s="7">
        <v>22.1837321365789</v>
      </c>
      <c r="CO300" s="7">
        <v>60.414038425744003</v>
      </c>
      <c r="CP300" s="7">
        <v>75.190784439435006</v>
      </c>
      <c r="CQ300" s="7">
        <v>93.274460736665802</v>
      </c>
      <c r="CR300" s="7">
        <v>16.362306083096499</v>
      </c>
      <c r="CS300" s="7">
        <v>0.57161913428329203</v>
      </c>
      <c r="CT300" s="7">
        <v>5.8212934047525504</v>
      </c>
      <c r="CU300" s="7">
        <v>9.9670754658449301</v>
      </c>
      <c r="CV300" s="7">
        <v>10</v>
      </c>
      <c r="CW300" s="7">
        <v>48.313444874154698</v>
      </c>
      <c r="CX300" s="7">
        <v>98.103530287676094</v>
      </c>
      <c r="CY300" s="7">
        <v>100</v>
      </c>
      <c r="CZ300" s="7">
        <v>100</v>
      </c>
      <c r="DA300" s="9">
        <v>69.351667081057499</v>
      </c>
      <c r="DB300" s="9">
        <v>6.7286414493412994E-2</v>
      </c>
      <c r="DC300" s="9">
        <v>0.215198643310653</v>
      </c>
      <c r="DD300" s="9">
        <v>0.41838148615391002</v>
      </c>
      <c r="DE300" s="9">
        <v>0.63832647405538401</v>
      </c>
      <c r="DF300" s="9">
        <v>6.7286414493412998</v>
      </c>
      <c r="DG300" s="9">
        <v>21.5198643310653</v>
      </c>
      <c r="DH300" s="9">
        <v>39.1040886811573</v>
      </c>
      <c r="DI300" s="9">
        <v>51.960581556470103</v>
      </c>
    </row>
    <row r="301" spans="1:113">
      <c r="A301" s="5" t="s">
        <v>610</v>
      </c>
      <c r="B301" s="5" t="s">
        <v>717</v>
      </c>
      <c r="C301" s="5" t="s">
        <v>718</v>
      </c>
      <c r="D301" s="6">
        <v>78641</v>
      </c>
      <c r="E301" s="7">
        <v>14.662565746884701</v>
      </c>
      <c r="F301" s="7">
        <v>1.60064088706909</v>
      </c>
      <c r="G301" s="7">
        <v>6.1026436591599804</v>
      </c>
      <c r="H301" s="7">
        <v>8.3100672677102292</v>
      </c>
      <c r="I301" s="7">
        <v>9.3225798247733405</v>
      </c>
      <c r="J301" s="7">
        <v>65.762134255668201</v>
      </c>
      <c r="K301" s="7">
        <v>88.785747892320799</v>
      </c>
      <c r="L301" s="7">
        <v>95.916888137231197</v>
      </c>
      <c r="M301" s="7">
        <v>97.157971032921793</v>
      </c>
      <c r="N301" s="7">
        <v>13.247013255493901</v>
      </c>
      <c r="O301" s="7">
        <v>3.1014356378988102</v>
      </c>
      <c r="P301" s="7">
        <v>6.0039801121552401</v>
      </c>
      <c r="Q301" s="7">
        <v>8.6729695705802303</v>
      </c>
      <c r="R301" s="7">
        <v>9.6547220915298606</v>
      </c>
      <c r="S301" s="7">
        <v>72.265103444768002</v>
      </c>
      <c r="T301" s="7">
        <v>90.104398468992002</v>
      </c>
      <c r="U301" s="7">
        <v>100</v>
      </c>
      <c r="V301" s="7">
        <v>100</v>
      </c>
      <c r="W301" s="7">
        <v>8.7788228567236501</v>
      </c>
      <c r="X301" s="7">
        <v>5.8103152299690999</v>
      </c>
      <c r="Y301" s="7">
        <v>9.9806716598212102</v>
      </c>
      <c r="Z301" s="7">
        <v>10</v>
      </c>
      <c r="AA301" s="7">
        <v>10</v>
      </c>
      <c r="AB301" s="7">
        <v>89.594486336643698</v>
      </c>
      <c r="AC301" s="7">
        <v>100</v>
      </c>
      <c r="AD301" s="7">
        <v>100</v>
      </c>
      <c r="AE301" s="7">
        <v>100</v>
      </c>
      <c r="AF301" s="6">
        <v>26.160520442187799</v>
      </c>
      <c r="AG301" s="6">
        <v>1.3909792601823501</v>
      </c>
      <c r="AH301" s="6">
        <v>3.22408158594118</v>
      </c>
      <c r="AI301" s="6">
        <v>4.4241553388181698</v>
      </c>
      <c r="AJ301" s="6">
        <v>4.9173077656693103</v>
      </c>
      <c r="AK301" s="6">
        <v>62.411464757569199</v>
      </c>
      <c r="AL301" s="6">
        <v>71.350822090258305</v>
      </c>
      <c r="AM301" s="6">
        <v>77.394743200111904</v>
      </c>
      <c r="AN301" s="6">
        <v>80.016785137523698</v>
      </c>
      <c r="AO301" s="6">
        <v>13.8486152419836</v>
      </c>
      <c r="AP301" s="7">
        <v>1.0276573288742501</v>
      </c>
      <c r="AQ301" s="7">
        <v>5.0399028496585796</v>
      </c>
      <c r="AR301" s="7">
        <v>8.3180274920207005</v>
      </c>
      <c r="AS301" s="7">
        <v>9.2233822052110206</v>
      </c>
      <c r="AT301" s="7">
        <v>63.244363627115597</v>
      </c>
      <c r="AU301" s="7">
        <v>94.785162955710106</v>
      </c>
      <c r="AV301" s="7">
        <v>98.013758726364102</v>
      </c>
      <c r="AW301" s="7">
        <v>98.638114978191993</v>
      </c>
      <c r="AX301" s="7">
        <v>12.029012978976599</v>
      </c>
      <c r="AY301" s="7">
        <v>1.69451049706896</v>
      </c>
      <c r="AZ301" s="7">
        <v>4.7903002250734303</v>
      </c>
      <c r="BA301" s="7">
        <v>8.9397769611271496</v>
      </c>
      <c r="BB301" s="7">
        <v>10</v>
      </c>
      <c r="BC301" s="7">
        <v>79.407688101626405</v>
      </c>
      <c r="BD301" s="7">
        <v>97.165600640887106</v>
      </c>
      <c r="BE301" s="7">
        <v>100</v>
      </c>
      <c r="BF301" s="7">
        <v>100</v>
      </c>
      <c r="BG301" s="7">
        <v>8.4335250167076907</v>
      </c>
      <c r="BH301" s="7">
        <v>4.7095535407739</v>
      </c>
      <c r="BI301" s="7">
        <v>10</v>
      </c>
      <c r="BJ301" s="7">
        <v>10</v>
      </c>
      <c r="BK301" s="7">
        <v>10</v>
      </c>
      <c r="BL301" s="7">
        <v>94.599509161887596</v>
      </c>
      <c r="BM301" s="7">
        <v>100</v>
      </c>
      <c r="BN301" s="7">
        <v>100</v>
      </c>
      <c r="BO301" s="7">
        <v>100</v>
      </c>
      <c r="BP301" s="6">
        <v>21.7539446281666</v>
      </c>
      <c r="BQ301" s="6">
        <v>0.81434620617743902</v>
      </c>
      <c r="BR301" s="6">
        <v>1.7953866303836401</v>
      </c>
      <c r="BS301" s="6">
        <v>2.4879007133683402</v>
      </c>
      <c r="BT301" s="6">
        <v>3.1742475299144202</v>
      </c>
      <c r="BU301" s="6">
        <v>57.606083340750999</v>
      </c>
      <c r="BV301" s="6">
        <v>80.380463117203504</v>
      </c>
      <c r="BW301" s="6">
        <v>85.138795284902301</v>
      </c>
      <c r="BX301" s="6">
        <v>87.718874378504907</v>
      </c>
      <c r="BY301" s="6" t="str">
        <f>TRIM(Table1[[#This Row],[LA_Name]])</f>
        <v>West Oxfordshire</v>
      </c>
      <c r="BZ301" s="7">
        <v>35.552364243184797</v>
      </c>
      <c r="CA301" s="7">
        <v>0.105377602014217</v>
      </c>
      <c r="CB301" s="7">
        <v>0.49788278378962603</v>
      </c>
      <c r="CC301" s="7">
        <v>1.0540684884475</v>
      </c>
      <c r="CD301" s="7">
        <v>2.63103215879757</v>
      </c>
      <c r="CE301" s="7">
        <v>10.5377602014216</v>
      </c>
      <c r="CF301" s="7">
        <v>49.788278378962602</v>
      </c>
      <c r="CG301" s="7">
        <v>74.105110565735401</v>
      </c>
      <c r="CH301" s="7">
        <v>92.834526519245699</v>
      </c>
      <c r="CI301" s="7">
        <v>37.546353037266599</v>
      </c>
      <c r="CJ301" s="7">
        <v>0.216095929604151</v>
      </c>
      <c r="CK301" s="7">
        <v>0.37054462684859002</v>
      </c>
      <c r="CL301" s="7">
        <v>0.83502244376343104</v>
      </c>
      <c r="CM301" s="7">
        <v>1.2762172403708001</v>
      </c>
      <c r="CN301" s="7">
        <v>21.6095929604151</v>
      </c>
      <c r="CO301" s="7">
        <v>37.054462684858997</v>
      </c>
      <c r="CP301" s="7">
        <v>72.113782886789295</v>
      </c>
      <c r="CQ301" s="7">
        <v>84.494093411833504</v>
      </c>
      <c r="CR301" s="7">
        <v>17.5983006697072</v>
      </c>
      <c r="CS301" s="7">
        <v>0.37177808013631602</v>
      </c>
      <c r="CT301" s="7">
        <v>1.83058455513028</v>
      </c>
      <c r="CU301" s="7">
        <v>8.5770653984562806</v>
      </c>
      <c r="CV301" s="7">
        <v>10</v>
      </c>
      <c r="CW301" s="7">
        <v>37.177808013631598</v>
      </c>
      <c r="CX301" s="7">
        <v>93.586042903828798</v>
      </c>
      <c r="CY301" s="7">
        <v>100</v>
      </c>
      <c r="CZ301" s="7">
        <v>100</v>
      </c>
      <c r="DA301" s="9">
        <v>82.621544739508195</v>
      </c>
      <c r="DB301" s="9">
        <v>7.0866341984460998E-2</v>
      </c>
      <c r="DC301" s="9">
        <v>0.25757556490889</v>
      </c>
      <c r="DD301" s="9">
        <v>0.28280413524751702</v>
      </c>
      <c r="DE301" s="9">
        <v>0.30014877735532403</v>
      </c>
      <c r="DF301" s="9">
        <v>7.0866341984460997</v>
      </c>
      <c r="DG301" s="9">
        <v>25.757556490889002</v>
      </c>
      <c r="DH301" s="9">
        <v>28.280413524751701</v>
      </c>
      <c r="DI301" s="9">
        <v>30.014877735532401</v>
      </c>
    </row>
    <row r="302" spans="1:113">
      <c r="A302" s="5" t="s">
        <v>610</v>
      </c>
      <c r="B302" s="5" t="s">
        <v>719</v>
      </c>
      <c r="C302" s="5" t="s">
        <v>720</v>
      </c>
      <c r="D302" s="6">
        <v>848195</v>
      </c>
      <c r="E302" s="7">
        <v>10.141497602023099</v>
      </c>
      <c r="F302" s="7">
        <v>2.0641562376576101</v>
      </c>
      <c r="G302" s="7">
        <v>8.4039884696325693</v>
      </c>
      <c r="H302" s="7">
        <v>9.7860043975736701</v>
      </c>
      <c r="I302" s="7">
        <v>9.9326487423293006</v>
      </c>
      <c r="J302" s="7">
        <v>80.238270680680699</v>
      </c>
      <c r="K302" s="7">
        <v>98.5871173491945</v>
      </c>
      <c r="L302" s="7">
        <v>99.628741032427698</v>
      </c>
      <c r="M302" s="7">
        <v>99.865243251846593</v>
      </c>
      <c r="N302" s="7">
        <v>8.9667221461253206</v>
      </c>
      <c r="O302" s="7">
        <v>5.3211584600239297</v>
      </c>
      <c r="P302" s="7">
        <v>9.42971486509588</v>
      </c>
      <c r="Q302" s="7">
        <v>9.9374070820978702</v>
      </c>
      <c r="R302" s="7">
        <v>10</v>
      </c>
      <c r="S302" s="7">
        <v>94.522721779779403</v>
      </c>
      <c r="T302" s="7">
        <v>99.921126627721193</v>
      </c>
      <c r="U302" s="7">
        <v>100</v>
      </c>
      <c r="V302" s="7">
        <v>100</v>
      </c>
      <c r="W302" s="7">
        <v>7.3334711938869601</v>
      </c>
      <c r="X302" s="7">
        <v>9.1518058936919005</v>
      </c>
      <c r="Y302" s="7">
        <v>10</v>
      </c>
      <c r="Z302" s="7">
        <v>10</v>
      </c>
      <c r="AA302" s="7">
        <v>10</v>
      </c>
      <c r="AB302" s="7">
        <v>99.915349654265796</v>
      </c>
      <c r="AC302" s="7">
        <v>100</v>
      </c>
      <c r="AD302" s="7">
        <v>100</v>
      </c>
      <c r="AE302" s="7">
        <v>100</v>
      </c>
      <c r="AF302" s="6">
        <v>11.719960848644</v>
      </c>
      <c r="AG302" s="6">
        <v>1.69162987284764</v>
      </c>
      <c r="AH302" s="6">
        <v>5.2703529259191599</v>
      </c>
      <c r="AI302" s="6">
        <v>7.8375856966853101</v>
      </c>
      <c r="AJ302" s="6">
        <v>8.8200154445616903</v>
      </c>
      <c r="AK302" s="6">
        <v>74.915438077328901</v>
      </c>
      <c r="AL302" s="6">
        <v>94.437835639210306</v>
      </c>
      <c r="AM302" s="6">
        <v>98.278815602544199</v>
      </c>
      <c r="AN302" s="6">
        <v>99.747935321476803</v>
      </c>
      <c r="AO302" s="6">
        <v>11.0419390479924</v>
      </c>
      <c r="AP302" s="7">
        <v>1.63566161083241</v>
      </c>
      <c r="AQ302" s="7">
        <v>8.5029138346724498</v>
      </c>
      <c r="AR302" s="7">
        <v>9.8584358549626003</v>
      </c>
      <c r="AS302" s="7">
        <v>9.9448699886228997</v>
      </c>
      <c r="AT302" s="7">
        <v>75.879485259875395</v>
      </c>
      <c r="AU302" s="7">
        <v>98.792848342657095</v>
      </c>
      <c r="AV302" s="7">
        <v>99.714452454918998</v>
      </c>
      <c r="AW302" s="7">
        <v>99.885050017979395</v>
      </c>
      <c r="AX302" s="7">
        <v>9.3873689606964703</v>
      </c>
      <c r="AY302" s="7">
        <v>4.3157316418983802</v>
      </c>
      <c r="AZ302" s="7">
        <v>9.5222207157552194</v>
      </c>
      <c r="BA302" s="7">
        <v>9.9778682967949592</v>
      </c>
      <c r="BB302" s="7">
        <v>10</v>
      </c>
      <c r="BC302" s="7">
        <v>93.482394968138195</v>
      </c>
      <c r="BD302" s="7">
        <v>100</v>
      </c>
      <c r="BE302" s="7">
        <v>100</v>
      </c>
      <c r="BF302" s="7">
        <v>100</v>
      </c>
      <c r="BG302" s="7">
        <v>7.53924869260391</v>
      </c>
      <c r="BH302" s="7">
        <v>9.2187739847558596</v>
      </c>
      <c r="BI302" s="7">
        <v>10</v>
      </c>
      <c r="BJ302" s="7">
        <v>10</v>
      </c>
      <c r="BK302" s="7">
        <v>10</v>
      </c>
      <c r="BL302" s="7">
        <v>99.916292833605496</v>
      </c>
      <c r="BM302" s="7">
        <v>100</v>
      </c>
      <c r="BN302" s="7">
        <v>100</v>
      </c>
      <c r="BO302" s="7">
        <v>100</v>
      </c>
      <c r="BP302" s="6">
        <v>13.096284036249299</v>
      </c>
      <c r="BQ302" s="6">
        <v>1.24753034384782</v>
      </c>
      <c r="BR302" s="6">
        <v>4.1806931189172296</v>
      </c>
      <c r="BS302" s="6">
        <v>7.2626318240498904</v>
      </c>
      <c r="BT302" s="6">
        <v>8.7721196187197492</v>
      </c>
      <c r="BU302" s="6">
        <v>68.555461892607198</v>
      </c>
      <c r="BV302" s="6">
        <v>93.3041340729431</v>
      </c>
      <c r="BW302" s="6">
        <v>98.504353362139597</v>
      </c>
      <c r="BX302" s="6">
        <v>99.634164313630706</v>
      </c>
      <c r="BY302" s="6" t="str">
        <f>TRIM(Table1[[#This Row],[LA_Name]])</f>
        <v>Surrey</v>
      </c>
      <c r="BZ302" s="7">
        <v>29.873619713041698</v>
      </c>
      <c r="CA302" s="7">
        <v>0.13145444149045901</v>
      </c>
      <c r="CB302" s="7">
        <v>0.90731966116282203</v>
      </c>
      <c r="CC302" s="7">
        <v>3.1821102458750601</v>
      </c>
      <c r="CD302" s="7">
        <v>7.0621602343800696</v>
      </c>
      <c r="CE302" s="7">
        <v>11.3753323233455</v>
      </c>
      <c r="CF302" s="7">
        <v>55.804384604955203</v>
      </c>
      <c r="CG302" s="7">
        <v>89.103566986365195</v>
      </c>
      <c r="CH302" s="7">
        <v>97.502461108589401</v>
      </c>
      <c r="CI302" s="7">
        <v>26.122940859177</v>
      </c>
      <c r="CJ302" s="7">
        <v>0.33469426252217899</v>
      </c>
      <c r="CK302" s="7">
        <v>1.6075147813887101</v>
      </c>
      <c r="CL302" s="7">
        <v>3.89716397762307</v>
      </c>
      <c r="CM302" s="7">
        <v>6.8370657690743304</v>
      </c>
      <c r="CN302" s="7">
        <v>23.315982763397599</v>
      </c>
      <c r="CO302" s="7">
        <v>70.9131744469137</v>
      </c>
      <c r="CP302" s="7">
        <v>88.576565530332104</v>
      </c>
      <c r="CQ302" s="7">
        <v>95.605137969452798</v>
      </c>
      <c r="CR302" s="7">
        <v>15.351552254364099</v>
      </c>
      <c r="CS302" s="7">
        <v>0.96038057286355105</v>
      </c>
      <c r="CT302" s="7">
        <v>7.0108760367604104</v>
      </c>
      <c r="CU302" s="7">
        <v>9.9221865255041592</v>
      </c>
      <c r="CV302" s="7">
        <v>10</v>
      </c>
      <c r="CW302" s="7">
        <v>53.014224323416201</v>
      </c>
      <c r="CX302" s="7">
        <v>98.616709600976193</v>
      </c>
      <c r="CY302" s="7">
        <v>100</v>
      </c>
      <c r="CZ302" s="7">
        <v>100</v>
      </c>
      <c r="DA302" s="9">
        <v>60.992782411770101</v>
      </c>
      <c r="DB302" s="9">
        <v>0.105310689169354</v>
      </c>
      <c r="DC302" s="9">
        <v>0.32370386526683098</v>
      </c>
      <c r="DD302" s="9">
        <v>0.64538107392757604</v>
      </c>
      <c r="DE302" s="9">
        <v>1.0173627526689</v>
      </c>
      <c r="DF302" s="9">
        <v>9.0209208967277608</v>
      </c>
      <c r="DG302" s="9">
        <v>22.465588691279699</v>
      </c>
      <c r="DH302" s="9">
        <v>38.781294395746301</v>
      </c>
      <c r="DI302" s="9">
        <v>53.518943167549899</v>
      </c>
    </row>
    <row r="303" spans="1:113">
      <c r="A303" s="5" t="s">
        <v>610</v>
      </c>
      <c r="B303" s="5" t="s">
        <v>721</v>
      </c>
      <c r="C303" s="5" t="s">
        <v>722</v>
      </c>
      <c r="D303" s="6">
        <v>93686</v>
      </c>
      <c r="E303" s="7">
        <v>9.0609244720629896</v>
      </c>
      <c r="F303" s="7">
        <v>2.5517473261746701</v>
      </c>
      <c r="G303" s="7">
        <v>9.0310825523557394</v>
      </c>
      <c r="H303" s="7">
        <v>9.8267724099651996</v>
      </c>
      <c r="I303" s="7">
        <v>9.9845868112631599</v>
      </c>
      <c r="J303" s="7">
        <v>84.781077215379</v>
      </c>
      <c r="K303" s="7">
        <v>99.722477211109506</v>
      </c>
      <c r="L303" s="7">
        <v>100</v>
      </c>
      <c r="M303" s="7">
        <v>100</v>
      </c>
      <c r="N303" s="7">
        <v>8.3475881957749305</v>
      </c>
      <c r="O303" s="7">
        <v>6.2875136092906097</v>
      </c>
      <c r="P303" s="7">
        <v>9.9200734367995196</v>
      </c>
      <c r="Q303" s="7">
        <v>10</v>
      </c>
      <c r="R303" s="7">
        <v>10</v>
      </c>
      <c r="S303" s="7">
        <v>98.458681126315597</v>
      </c>
      <c r="T303" s="7">
        <v>100</v>
      </c>
      <c r="U303" s="7">
        <v>100</v>
      </c>
      <c r="V303" s="7">
        <v>100</v>
      </c>
      <c r="W303" s="7">
        <v>7.0783759492993399</v>
      </c>
      <c r="X303" s="7">
        <v>9.4377601776145905</v>
      </c>
      <c r="Y303" s="7">
        <v>10</v>
      </c>
      <c r="Z303" s="7">
        <v>10</v>
      </c>
      <c r="AA303" s="7">
        <v>10</v>
      </c>
      <c r="AB303" s="7">
        <v>100</v>
      </c>
      <c r="AC303" s="7">
        <v>100</v>
      </c>
      <c r="AD303" s="7">
        <v>100</v>
      </c>
      <c r="AE303" s="7">
        <v>100</v>
      </c>
      <c r="AF303" s="6">
        <v>9.8515782677482697</v>
      </c>
      <c r="AG303" s="6">
        <v>2.1264756740601598</v>
      </c>
      <c r="AH303" s="6">
        <v>6.1422944730269204</v>
      </c>
      <c r="AI303" s="6">
        <v>8.7756441730888302</v>
      </c>
      <c r="AJ303" s="6">
        <v>9.4297653865038509</v>
      </c>
      <c r="AK303" s="6">
        <v>81.069743611638899</v>
      </c>
      <c r="AL303" s="6">
        <v>98.446939777554803</v>
      </c>
      <c r="AM303" s="6">
        <v>100</v>
      </c>
      <c r="AN303" s="6">
        <v>100</v>
      </c>
      <c r="AO303" s="6">
        <v>9.3065756889163094</v>
      </c>
      <c r="AP303" s="7">
        <v>2.0033622953269399</v>
      </c>
      <c r="AQ303" s="7">
        <v>9.3425805349785396</v>
      </c>
      <c r="AR303" s="7">
        <v>9.9839677219648593</v>
      </c>
      <c r="AS303" s="7">
        <v>10</v>
      </c>
      <c r="AT303" s="7">
        <v>88.6599918877954</v>
      </c>
      <c r="AU303" s="7">
        <v>100</v>
      </c>
      <c r="AV303" s="7">
        <v>100</v>
      </c>
      <c r="AW303" s="7">
        <v>100</v>
      </c>
      <c r="AX303" s="7">
        <v>8.2655409657751306</v>
      </c>
      <c r="AY303" s="7">
        <v>5.5616741028542096</v>
      </c>
      <c r="AZ303" s="7">
        <v>9.9889524582114699</v>
      </c>
      <c r="BA303" s="7">
        <v>10</v>
      </c>
      <c r="BB303" s="7">
        <v>10</v>
      </c>
      <c r="BC303" s="7">
        <v>100</v>
      </c>
      <c r="BD303" s="7">
        <v>100</v>
      </c>
      <c r="BE303" s="7">
        <v>100</v>
      </c>
      <c r="BF303" s="7">
        <v>100</v>
      </c>
      <c r="BG303" s="7">
        <v>7.0227467357034596</v>
      </c>
      <c r="BH303" s="7">
        <v>9.7564844267019595</v>
      </c>
      <c r="BI303" s="7">
        <v>10</v>
      </c>
      <c r="BJ303" s="7">
        <v>10</v>
      </c>
      <c r="BK303" s="7">
        <v>10</v>
      </c>
      <c r="BL303" s="7">
        <v>100</v>
      </c>
      <c r="BM303" s="7">
        <v>100</v>
      </c>
      <c r="BN303" s="7">
        <v>100</v>
      </c>
      <c r="BO303" s="7">
        <v>100</v>
      </c>
      <c r="BP303" s="6">
        <v>9.7799216766025907</v>
      </c>
      <c r="BQ303" s="6">
        <v>1.5604039023973699</v>
      </c>
      <c r="BR303" s="6">
        <v>5.35008432423201</v>
      </c>
      <c r="BS303" s="6">
        <v>8.7980274534081904</v>
      </c>
      <c r="BT303" s="6">
        <v>9.7167132762632598</v>
      </c>
      <c r="BU303" s="6">
        <v>83.928228337211493</v>
      </c>
      <c r="BV303" s="6">
        <v>100</v>
      </c>
      <c r="BW303" s="6">
        <v>100</v>
      </c>
      <c r="BX303" s="6">
        <v>100</v>
      </c>
      <c r="BY303" s="6" t="str">
        <f>TRIM(Table1[[#This Row],[LA_Name]])</f>
        <v>Elmbridge</v>
      </c>
      <c r="BZ303" s="7">
        <v>32.271071444683997</v>
      </c>
      <c r="CA303" s="7">
        <v>2.1219819396708198E-2</v>
      </c>
      <c r="CB303" s="7">
        <v>0.49767307815468698</v>
      </c>
      <c r="CC303" s="7">
        <v>3.1061951625643101</v>
      </c>
      <c r="CD303" s="7">
        <v>7.6378861302649304</v>
      </c>
      <c r="CE303" s="7">
        <v>2.1219819396708202</v>
      </c>
      <c r="CF303" s="7">
        <v>41.184381871357502</v>
      </c>
      <c r="CG303" s="7">
        <v>92.605085071408695</v>
      </c>
      <c r="CH303" s="7">
        <v>99.506863352048299</v>
      </c>
      <c r="CI303" s="7">
        <v>25.522537836615101</v>
      </c>
      <c r="CJ303" s="7">
        <v>7.0095852101701397E-2</v>
      </c>
      <c r="CK303" s="7">
        <v>0.937685459940653</v>
      </c>
      <c r="CL303" s="7">
        <v>3.6437034348782098</v>
      </c>
      <c r="CM303" s="7">
        <v>9.1391670046751905</v>
      </c>
      <c r="CN303" s="7">
        <v>7.0095852101701404</v>
      </c>
      <c r="CO303" s="7">
        <v>73.739939798902697</v>
      </c>
      <c r="CP303" s="7">
        <v>100</v>
      </c>
      <c r="CQ303" s="7">
        <v>100</v>
      </c>
      <c r="CR303" s="7">
        <v>16.4346520261353</v>
      </c>
      <c r="CS303" s="7">
        <v>0.319727600708751</v>
      </c>
      <c r="CT303" s="7">
        <v>8.3266229746173401</v>
      </c>
      <c r="CU303" s="7">
        <v>10</v>
      </c>
      <c r="CV303" s="7">
        <v>10</v>
      </c>
      <c r="CW303" s="7">
        <v>31.972760070875101</v>
      </c>
      <c r="CX303" s="7">
        <v>100</v>
      </c>
      <c r="CY303" s="7">
        <v>100</v>
      </c>
      <c r="CZ303" s="7">
        <v>100</v>
      </c>
      <c r="DA303" s="9">
        <v>64.834834003978798</v>
      </c>
      <c r="DB303" s="9">
        <v>1.3427833400935001E-2</v>
      </c>
      <c r="DC303" s="9">
        <v>7.6350788805157693E-2</v>
      </c>
      <c r="DD303" s="9">
        <v>0.20218602566018401</v>
      </c>
      <c r="DE303" s="9">
        <v>0.37186986315991699</v>
      </c>
      <c r="DF303" s="9">
        <v>1.3427833400935001</v>
      </c>
      <c r="DG303" s="9">
        <v>7.6350788805157697</v>
      </c>
      <c r="DH303" s="9">
        <v>20.218602566018401</v>
      </c>
      <c r="DI303" s="9">
        <v>35.489827722391802</v>
      </c>
    </row>
    <row r="304" spans="1:113">
      <c r="A304" s="5" t="s">
        <v>610</v>
      </c>
      <c r="B304" s="5" t="s">
        <v>723</v>
      </c>
      <c r="C304" s="5" t="s">
        <v>724</v>
      </c>
      <c r="D304" s="6">
        <v>56743</v>
      </c>
      <c r="E304" s="7">
        <v>7.4159092361080301</v>
      </c>
      <c r="F304" s="7">
        <v>2.8631373032797001</v>
      </c>
      <c r="G304" s="7">
        <v>9.7779109317448807</v>
      </c>
      <c r="H304" s="7">
        <v>10</v>
      </c>
      <c r="I304" s="7">
        <v>10</v>
      </c>
      <c r="J304" s="7">
        <v>95.948398921452906</v>
      </c>
      <c r="K304" s="7">
        <v>100</v>
      </c>
      <c r="L304" s="7">
        <v>100</v>
      </c>
      <c r="M304" s="7">
        <v>100</v>
      </c>
      <c r="N304" s="7">
        <v>7.6823652231506099</v>
      </c>
      <c r="O304" s="7">
        <v>8.5069171527765501</v>
      </c>
      <c r="P304" s="7">
        <v>10</v>
      </c>
      <c r="Q304" s="7">
        <v>10</v>
      </c>
      <c r="R304" s="7">
        <v>10</v>
      </c>
      <c r="S304" s="7">
        <v>100</v>
      </c>
      <c r="T304" s="7">
        <v>100</v>
      </c>
      <c r="U304" s="7">
        <v>100</v>
      </c>
      <c r="V304" s="7">
        <v>100</v>
      </c>
      <c r="W304" s="7">
        <v>6.7713332127636496</v>
      </c>
      <c r="X304" s="7">
        <v>10</v>
      </c>
      <c r="Y304" s="7">
        <v>10</v>
      </c>
      <c r="Z304" s="7">
        <v>10</v>
      </c>
      <c r="AA304" s="7">
        <v>10</v>
      </c>
      <c r="AB304" s="7">
        <v>100</v>
      </c>
      <c r="AC304" s="7">
        <v>100</v>
      </c>
      <c r="AD304" s="7">
        <v>100</v>
      </c>
      <c r="AE304" s="7">
        <v>100</v>
      </c>
      <c r="AF304" s="6">
        <v>7.6590039164863599</v>
      </c>
      <c r="AG304" s="6">
        <v>2.5044675114111001</v>
      </c>
      <c r="AH304" s="6">
        <v>8.7528858185150593</v>
      </c>
      <c r="AI304" s="6">
        <v>9.8909821475776791</v>
      </c>
      <c r="AJ304" s="6">
        <v>10</v>
      </c>
      <c r="AK304" s="6">
        <v>91.8016319193557</v>
      </c>
      <c r="AL304" s="6">
        <v>100</v>
      </c>
      <c r="AM304" s="6">
        <v>100</v>
      </c>
      <c r="AN304" s="6">
        <v>100</v>
      </c>
      <c r="AO304" s="6">
        <v>9.8111127527492403</v>
      </c>
      <c r="AP304" s="7">
        <v>1.9098919690534499</v>
      </c>
      <c r="AQ304" s="7">
        <v>9.5954919549548006</v>
      </c>
      <c r="AR304" s="7">
        <v>10</v>
      </c>
      <c r="AS304" s="7">
        <v>10</v>
      </c>
      <c r="AT304" s="7">
        <v>87.943887351743797</v>
      </c>
      <c r="AU304" s="7">
        <v>100</v>
      </c>
      <c r="AV304" s="7">
        <v>100</v>
      </c>
      <c r="AW304" s="7">
        <v>100</v>
      </c>
      <c r="AX304" s="7">
        <v>8.6726699306860606</v>
      </c>
      <c r="AY304" s="7">
        <v>5.9496854237527099</v>
      </c>
      <c r="AZ304" s="7">
        <v>10</v>
      </c>
      <c r="BA304" s="7">
        <v>10</v>
      </c>
      <c r="BB304" s="7">
        <v>10</v>
      </c>
      <c r="BC304" s="7">
        <v>98.579560474419793</v>
      </c>
      <c r="BD304" s="7">
        <v>100</v>
      </c>
      <c r="BE304" s="7">
        <v>100</v>
      </c>
      <c r="BF304" s="7">
        <v>100</v>
      </c>
      <c r="BG304" s="7">
        <v>7.64198772635363</v>
      </c>
      <c r="BH304" s="7">
        <v>9.9058914756005105</v>
      </c>
      <c r="BI304" s="7">
        <v>10</v>
      </c>
      <c r="BJ304" s="7">
        <v>10</v>
      </c>
      <c r="BK304" s="7">
        <v>10</v>
      </c>
      <c r="BL304" s="7">
        <v>100</v>
      </c>
      <c r="BM304" s="7">
        <v>100</v>
      </c>
      <c r="BN304" s="7">
        <v>100</v>
      </c>
      <c r="BO304" s="7">
        <v>100</v>
      </c>
      <c r="BP304" s="6">
        <v>10.6070066943344</v>
      </c>
      <c r="BQ304" s="6">
        <v>1.4337098849197301</v>
      </c>
      <c r="BR304" s="6">
        <v>6.0246197768887804</v>
      </c>
      <c r="BS304" s="6">
        <v>9.8506599933031396</v>
      </c>
      <c r="BT304" s="6">
        <v>9.9946601342896901</v>
      </c>
      <c r="BU304" s="6">
        <v>80.180815254745099</v>
      </c>
      <c r="BV304" s="6">
        <v>98.1037308566695</v>
      </c>
      <c r="BW304" s="6">
        <v>100</v>
      </c>
      <c r="BX304" s="6">
        <v>100</v>
      </c>
      <c r="BY304" s="6" t="str">
        <f>TRIM(Table1[[#This Row],[LA_Name]])</f>
        <v>Epsom and Ewell</v>
      </c>
      <c r="BZ304" s="7">
        <v>19.142081004411502</v>
      </c>
      <c r="CA304" s="7">
        <v>0.23542992087129699</v>
      </c>
      <c r="CB304" s="7">
        <v>1.1191865075868399</v>
      </c>
      <c r="CC304" s="7">
        <v>4.1740831468198696</v>
      </c>
      <c r="CD304" s="7">
        <v>9.0932978517173897</v>
      </c>
      <c r="CE304" s="7">
        <v>23.542992087129701</v>
      </c>
      <c r="CF304" s="7">
        <v>96.388981900851206</v>
      </c>
      <c r="CG304" s="7">
        <v>100</v>
      </c>
      <c r="CH304" s="7">
        <v>100</v>
      </c>
      <c r="CI304" s="7">
        <v>15.412760162896401</v>
      </c>
      <c r="CJ304" s="7">
        <v>0.48279082882470098</v>
      </c>
      <c r="CK304" s="7">
        <v>1.89429533158275</v>
      </c>
      <c r="CL304" s="7">
        <v>5.8553301728847602</v>
      </c>
      <c r="CM304" s="7">
        <v>9.7250057275787292</v>
      </c>
      <c r="CN304" s="7">
        <v>48.279082882470099</v>
      </c>
      <c r="CO304" s="7">
        <v>100</v>
      </c>
      <c r="CP304" s="7">
        <v>100</v>
      </c>
      <c r="CQ304" s="7">
        <v>100</v>
      </c>
      <c r="CR304" s="7">
        <v>12.411704190080799</v>
      </c>
      <c r="CS304" s="7">
        <v>0.80806443085490698</v>
      </c>
      <c r="CT304" s="7">
        <v>6.4784026223498898</v>
      </c>
      <c r="CU304" s="7">
        <v>10</v>
      </c>
      <c r="CV304" s="7">
        <v>10</v>
      </c>
      <c r="CW304" s="7">
        <v>79.022963184886194</v>
      </c>
      <c r="CX304" s="7">
        <v>100</v>
      </c>
      <c r="CY304" s="7">
        <v>100</v>
      </c>
      <c r="CZ304" s="7">
        <v>100</v>
      </c>
      <c r="DA304" s="9">
        <v>32.995135637032</v>
      </c>
      <c r="DB304" s="9">
        <v>0.18033942512732801</v>
      </c>
      <c r="DC304" s="9">
        <v>0.46393387730645202</v>
      </c>
      <c r="DD304" s="9">
        <v>0.67079639779356004</v>
      </c>
      <c r="DE304" s="9">
        <v>1.1571118904534501</v>
      </c>
      <c r="DF304" s="9">
        <v>18.033942512732899</v>
      </c>
      <c r="DG304" s="9">
        <v>46.393387730645202</v>
      </c>
      <c r="DH304" s="9">
        <v>67.079639779356</v>
      </c>
      <c r="DI304" s="9">
        <v>100</v>
      </c>
    </row>
    <row r="305" spans="1:113">
      <c r="A305" s="5" t="s">
        <v>610</v>
      </c>
      <c r="B305" s="5" t="s">
        <v>725</v>
      </c>
      <c r="C305" s="5" t="s">
        <v>726</v>
      </c>
      <c r="D305" s="6">
        <v>110971</v>
      </c>
      <c r="E305" s="7">
        <v>11.3001387690482</v>
      </c>
      <c r="F305" s="7">
        <v>1.8111038018941901</v>
      </c>
      <c r="G305" s="7">
        <v>8.1849131755143194</v>
      </c>
      <c r="H305" s="7">
        <v>9.8093826314983197</v>
      </c>
      <c r="I305" s="7">
        <v>9.9450036496021497</v>
      </c>
      <c r="J305" s="7">
        <v>72.741527065629796</v>
      </c>
      <c r="K305" s="7">
        <v>98.182408016508802</v>
      </c>
      <c r="L305" s="7">
        <v>99.710735237134003</v>
      </c>
      <c r="M305" s="7">
        <v>100</v>
      </c>
      <c r="N305" s="7">
        <v>9.6342495965162307</v>
      </c>
      <c r="O305" s="7">
        <v>5.1353686999306101</v>
      </c>
      <c r="P305" s="7">
        <v>9.4951203467572594</v>
      </c>
      <c r="Q305" s="7">
        <v>9.96485568301628</v>
      </c>
      <c r="R305" s="7">
        <v>10</v>
      </c>
      <c r="S305" s="7">
        <v>92.194357084283297</v>
      </c>
      <c r="T305" s="7">
        <v>100</v>
      </c>
      <c r="U305" s="7">
        <v>100</v>
      </c>
      <c r="V305" s="7">
        <v>100</v>
      </c>
      <c r="W305" s="7">
        <v>7.7363404967050897</v>
      </c>
      <c r="X305" s="7">
        <v>9.1340260067945707</v>
      </c>
      <c r="Y305" s="7">
        <v>10</v>
      </c>
      <c r="Z305" s="7">
        <v>10</v>
      </c>
      <c r="AA305" s="7">
        <v>10</v>
      </c>
      <c r="AB305" s="7">
        <v>100</v>
      </c>
      <c r="AC305" s="7">
        <v>100</v>
      </c>
      <c r="AD305" s="7">
        <v>100</v>
      </c>
      <c r="AE305" s="7">
        <v>100</v>
      </c>
      <c r="AF305" s="6">
        <v>13.689742056186899</v>
      </c>
      <c r="AG305" s="6">
        <v>1.43574447378144</v>
      </c>
      <c r="AH305" s="6">
        <v>5.1862108118337202</v>
      </c>
      <c r="AI305" s="6">
        <v>7.6054284452694896</v>
      </c>
      <c r="AJ305" s="6">
        <v>8.7064728622793304</v>
      </c>
      <c r="AK305" s="6">
        <v>62.7244955889376</v>
      </c>
      <c r="AL305" s="6">
        <v>91.928521866073098</v>
      </c>
      <c r="AM305" s="6">
        <v>97.794018257022103</v>
      </c>
      <c r="AN305" s="6">
        <v>100</v>
      </c>
      <c r="AO305" s="6">
        <v>12.735154598626499</v>
      </c>
      <c r="AP305" s="7">
        <v>1.20095340224022</v>
      </c>
      <c r="AQ305" s="7">
        <v>7.9992610682070104</v>
      </c>
      <c r="AR305" s="7">
        <v>9.8280451649530107</v>
      </c>
      <c r="AS305" s="7">
        <v>9.9726415009326796</v>
      </c>
      <c r="AT305" s="7">
        <v>60.086869542493098</v>
      </c>
      <c r="AU305" s="7">
        <v>98.979012534806401</v>
      </c>
      <c r="AV305" s="7">
        <v>100</v>
      </c>
      <c r="AW305" s="7">
        <v>100</v>
      </c>
      <c r="AX305" s="7">
        <v>10.345567743225899</v>
      </c>
      <c r="AY305" s="7">
        <v>3.4530913481900698</v>
      </c>
      <c r="AZ305" s="7">
        <v>9.3799280893206305</v>
      </c>
      <c r="BA305" s="7">
        <v>9.9981887159708407</v>
      </c>
      <c r="BB305" s="7">
        <v>10</v>
      </c>
      <c r="BC305" s="7">
        <v>88.804282199854001</v>
      </c>
      <c r="BD305" s="7">
        <v>100</v>
      </c>
      <c r="BE305" s="7">
        <v>100</v>
      </c>
      <c r="BF305" s="7">
        <v>100</v>
      </c>
      <c r="BG305" s="7">
        <v>8.1241844062448703</v>
      </c>
      <c r="BH305" s="7">
        <v>8.8313973921114499</v>
      </c>
      <c r="BI305" s="7">
        <v>10</v>
      </c>
      <c r="BJ305" s="7">
        <v>10</v>
      </c>
      <c r="BK305" s="7">
        <v>10</v>
      </c>
      <c r="BL305" s="7">
        <v>100</v>
      </c>
      <c r="BM305" s="7">
        <v>100</v>
      </c>
      <c r="BN305" s="7">
        <v>100</v>
      </c>
      <c r="BO305" s="7">
        <v>100</v>
      </c>
      <c r="BP305" s="6">
        <v>15.909556941098201</v>
      </c>
      <c r="BQ305" s="6">
        <v>0.90456966234421599</v>
      </c>
      <c r="BR305" s="6">
        <v>3.3131178415982601</v>
      </c>
      <c r="BS305" s="6">
        <v>6.5560011174090498</v>
      </c>
      <c r="BT305" s="6">
        <v>8.5530724243270804</v>
      </c>
      <c r="BU305" s="6">
        <v>53.622117490155098</v>
      </c>
      <c r="BV305" s="6">
        <v>88.4996981193285</v>
      </c>
      <c r="BW305" s="6">
        <v>99.838696596408099</v>
      </c>
      <c r="BX305" s="6">
        <v>100</v>
      </c>
      <c r="BY305" s="6" t="str">
        <f>TRIM(Table1[[#This Row],[LA_Name]])</f>
        <v>Guildford</v>
      </c>
      <c r="BZ305" s="7">
        <v>24.032356573013701</v>
      </c>
      <c r="CA305" s="7">
        <v>0.37884672572113398</v>
      </c>
      <c r="CB305" s="7">
        <v>1.80226365446828</v>
      </c>
      <c r="CC305" s="7">
        <v>4.2242567878094297</v>
      </c>
      <c r="CD305" s="7">
        <v>6.8928639013796396</v>
      </c>
      <c r="CE305" s="7">
        <v>25.1579241423435</v>
      </c>
      <c r="CF305" s="7">
        <v>69.826351028647096</v>
      </c>
      <c r="CG305" s="7">
        <v>96.997413738724504</v>
      </c>
      <c r="CH305" s="7">
        <v>98.748321633579906</v>
      </c>
      <c r="CI305" s="7">
        <v>20.210859187139999</v>
      </c>
      <c r="CJ305" s="7">
        <v>1.00527164754756</v>
      </c>
      <c r="CK305" s="7">
        <v>2.8837984698705101</v>
      </c>
      <c r="CL305" s="7">
        <v>4.2155427994701302</v>
      </c>
      <c r="CM305" s="7">
        <v>5.8205386992998198</v>
      </c>
      <c r="CN305" s="7">
        <v>39.877085004190299</v>
      </c>
      <c r="CO305" s="7">
        <v>80.5877211163277</v>
      </c>
      <c r="CP305" s="7">
        <v>93.826314983193797</v>
      </c>
      <c r="CQ305" s="7">
        <v>99.844103414405595</v>
      </c>
      <c r="CR305" s="7">
        <v>12.7566370984848</v>
      </c>
      <c r="CS305" s="7">
        <v>1.95880905822242</v>
      </c>
      <c r="CT305" s="7">
        <v>6.9897360571680904</v>
      </c>
      <c r="CU305" s="7">
        <v>10</v>
      </c>
      <c r="CV305" s="7">
        <v>10</v>
      </c>
      <c r="CW305" s="7">
        <v>69.691180578709705</v>
      </c>
      <c r="CX305" s="7">
        <v>100</v>
      </c>
      <c r="CY305" s="7">
        <v>100</v>
      </c>
      <c r="CZ305" s="7">
        <v>100</v>
      </c>
      <c r="DA305" s="9">
        <v>46.093377585568298</v>
      </c>
      <c r="DB305" s="9">
        <v>0.328392102441178</v>
      </c>
      <c r="DC305" s="9">
        <v>0.97170431914644395</v>
      </c>
      <c r="DD305" s="9">
        <v>1.72435140712438</v>
      </c>
      <c r="DE305" s="9">
        <v>2.35887754458372</v>
      </c>
      <c r="DF305" s="9">
        <v>22.0994674284272</v>
      </c>
      <c r="DG305" s="9">
        <v>38.072108929359899</v>
      </c>
      <c r="DH305" s="9">
        <v>56.024546953708601</v>
      </c>
      <c r="DI305" s="9">
        <v>70.230060105793399</v>
      </c>
    </row>
    <row r="306" spans="1:113">
      <c r="A306" s="5" t="s">
        <v>610</v>
      </c>
      <c r="B306" s="5" t="s">
        <v>727</v>
      </c>
      <c r="C306" s="5" t="s">
        <v>728</v>
      </c>
      <c r="D306" s="6">
        <v>61475</v>
      </c>
      <c r="E306" s="7">
        <v>14.4414063002007</v>
      </c>
      <c r="F306" s="7">
        <v>1.30819032126881</v>
      </c>
      <c r="G306" s="7">
        <v>6.5938186254574997</v>
      </c>
      <c r="H306" s="7">
        <v>9.0119723464823096</v>
      </c>
      <c r="I306" s="7">
        <v>9.6443594957299705</v>
      </c>
      <c r="J306" s="7">
        <v>61.986173241154901</v>
      </c>
      <c r="K306" s="7">
        <v>94.662871085807197</v>
      </c>
      <c r="L306" s="7">
        <v>97.455876372509195</v>
      </c>
      <c r="M306" s="7">
        <v>98.140707604717406</v>
      </c>
      <c r="N306" s="7">
        <v>11.4715276296801</v>
      </c>
      <c r="O306" s="7">
        <v>3.3931028873525801</v>
      </c>
      <c r="P306" s="7">
        <v>7.3923058153721</v>
      </c>
      <c r="Q306" s="7">
        <v>9.6204310695404605</v>
      </c>
      <c r="R306" s="7">
        <v>10</v>
      </c>
      <c r="S306" s="7">
        <v>80.309068727124796</v>
      </c>
      <c r="T306" s="7">
        <v>98.911752745018305</v>
      </c>
      <c r="U306" s="7">
        <v>100</v>
      </c>
      <c r="V306" s="7">
        <v>100</v>
      </c>
      <c r="W306" s="7">
        <v>8.5602892203871992</v>
      </c>
      <c r="X306" s="7">
        <v>6.8683529890199297</v>
      </c>
      <c r="Y306" s="7">
        <v>10</v>
      </c>
      <c r="Z306" s="7">
        <v>10</v>
      </c>
      <c r="AA306" s="7">
        <v>10</v>
      </c>
      <c r="AB306" s="7">
        <v>98.832045546970306</v>
      </c>
      <c r="AC306" s="7">
        <v>100</v>
      </c>
      <c r="AD306" s="7">
        <v>100</v>
      </c>
      <c r="AE306" s="7">
        <v>100</v>
      </c>
      <c r="AF306" s="6">
        <v>19.326665620528502</v>
      </c>
      <c r="AG306" s="6">
        <v>1.1100122000813299</v>
      </c>
      <c r="AH306" s="6">
        <v>3.3382675884505901</v>
      </c>
      <c r="AI306" s="6">
        <v>5.32081333875559</v>
      </c>
      <c r="AJ306" s="6">
        <v>6.4031720211468102</v>
      </c>
      <c r="AK306" s="6">
        <v>54.627084180561198</v>
      </c>
      <c r="AL306" s="6">
        <v>80.798698657991096</v>
      </c>
      <c r="AM306" s="6">
        <v>89.782838552257004</v>
      </c>
      <c r="AN306" s="6">
        <v>96.863765758438404</v>
      </c>
      <c r="AO306" s="6">
        <v>14.018036120485</v>
      </c>
      <c r="AP306" s="7">
        <v>1.50913379422529</v>
      </c>
      <c r="AQ306" s="7">
        <v>7.37433102887353</v>
      </c>
      <c r="AR306" s="7">
        <v>9.5906628710858097</v>
      </c>
      <c r="AS306" s="7">
        <v>9.6924115494103305</v>
      </c>
      <c r="AT306" s="7">
        <v>57.966653111020698</v>
      </c>
      <c r="AU306" s="7">
        <v>96.912566083773896</v>
      </c>
      <c r="AV306" s="7">
        <v>98.498576657177694</v>
      </c>
      <c r="AW306" s="7">
        <v>99.163887759251693</v>
      </c>
      <c r="AX306" s="7">
        <v>11.062383437651199</v>
      </c>
      <c r="AY306" s="7">
        <v>3.2026026840178901</v>
      </c>
      <c r="AZ306" s="7">
        <v>8.7019601464009799</v>
      </c>
      <c r="BA306" s="7">
        <v>9.9419438796258603</v>
      </c>
      <c r="BB306" s="7">
        <v>10</v>
      </c>
      <c r="BC306" s="7">
        <v>82.614070760471705</v>
      </c>
      <c r="BD306" s="7">
        <v>100</v>
      </c>
      <c r="BE306" s="7">
        <v>100</v>
      </c>
      <c r="BF306" s="7">
        <v>100</v>
      </c>
      <c r="BG306" s="7">
        <v>8.0647925178788498</v>
      </c>
      <c r="BH306" s="7">
        <v>8.2533224888165897</v>
      </c>
      <c r="BI306" s="7">
        <v>10</v>
      </c>
      <c r="BJ306" s="7">
        <v>10</v>
      </c>
      <c r="BK306" s="7">
        <v>10</v>
      </c>
      <c r="BL306" s="7">
        <v>99.594957299715304</v>
      </c>
      <c r="BM306" s="7">
        <v>100</v>
      </c>
      <c r="BN306" s="7">
        <v>100</v>
      </c>
      <c r="BO306" s="7">
        <v>100</v>
      </c>
      <c r="BP306" s="6">
        <v>18.728068128820102</v>
      </c>
      <c r="BQ306" s="6">
        <v>1.15899145994307</v>
      </c>
      <c r="BR306" s="6">
        <v>3.0755591703944698</v>
      </c>
      <c r="BS306" s="6">
        <v>5.5516714111427401</v>
      </c>
      <c r="BT306" s="6">
        <v>7.2735908906059397</v>
      </c>
      <c r="BU306" s="6">
        <v>49.5095567303782</v>
      </c>
      <c r="BV306" s="6">
        <v>82.248068320455502</v>
      </c>
      <c r="BW306" s="6">
        <v>91.385115900772703</v>
      </c>
      <c r="BX306" s="6">
        <v>97.319235461569704</v>
      </c>
      <c r="BY306" s="6" t="str">
        <f>TRIM(Table1[[#This Row],[LA_Name]])</f>
        <v>Mole Valley</v>
      </c>
      <c r="BZ306" s="7">
        <v>38.240611713683997</v>
      </c>
      <c r="CA306" s="7">
        <v>0</v>
      </c>
      <c r="CB306" s="7">
        <v>0.32473363155754398</v>
      </c>
      <c r="CC306" s="7">
        <v>1.5554941032940199</v>
      </c>
      <c r="CD306" s="7">
        <v>5.7972834485563203</v>
      </c>
      <c r="CE306" s="7">
        <v>0</v>
      </c>
      <c r="CF306" s="7">
        <v>32.030906872712499</v>
      </c>
      <c r="CG306" s="7">
        <v>80.039040260268393</v>
      </c>
      <c r="CH306" s="7">
        <v>95.406262708418097</v>
      </c>
      <c r="CI306" s="7">
        <v>37.723566689291502</v>
      </c>
      <c r="CJ306" s="7">
        <v>3.4810898739324899E-3</v>
      </c>
      <c r="CK306" s="7">
        <v>0.29421716144774301</v>
      </c>
      <c r="CL306" s="7">
        <v>0.89786091907279397</v>
      </c>
      <c r="CM306" s="7">
        <v>3.0412362749085</v>
      </c>
      <c r="CN306" s="7">
        <v>0.34810898739324903</v>
      </c>
      <c r="CO306" s="7">
        <v>27.915412769418499</v>
      </c>
      <c r="CP306" s="7">
        <v>69.595770638470896</v>
      </c>
      <c r="CQ306" s="7">
        <v>98.895485969906503</v>
      </c>
      <c r="CR306" s="7">
        <v>20.6153547895881</v>
      </c>
      <c r="CS306" s="7">
        <v>0.118308255388369</v>
      </c>
      <c r="CT306" s="7">
        <v>2.9222610817405399</v>
      </c>
      <c r="CU306" s="7">
        <v>9.9054575030500196</v>
      </c>
      <c r="CV306" s="7">
        <v>10</v>
      </c>
      <c r="CW306" s="7">
        <v>11.830825538836899</v>
      </c>
      <c r="CX306" s="7">
        <v>100</v>
      </c>
      <c r="CY306" s="7">
        <v>100</v>
      </c>
      <c r="CZ306" s="7">
        <v>100</v>
      </c>
      <c r="DA306" s="9">
        <v>98.021225967065902</v>
      </c>
      <c r="DB306" s="9">
        <v>0</v>
      </c>
      <c r="DC306" s="9">
        <v>0</v>
      </c>
      <c r="DD306" s="9">
        <v>4.2618950793005303E-2</v>
      </c>
      <c r="DE306" s="9">
        <v>0.14067507116714101</v>
      </c>
      <c r="DF306" s="9">
        <v>0</v>
      </c>
      <c r="DG306" s="9">
        <v>0</v>
      </c>
      <c r="DH306" s="9">
        <v>4.2618950793005297</v>
      </c>
      <c r="DI306" s="9">
        <v>14.067507116714101</v>
      </c>
    </row>
    <row r="307" spans="1:113">
      <c r="A307" s="5" t="s">
        <v>610</v>
      </c>
      <c r="B307" s="5" t="s">
        <v>729</v>
      </c>
      <c r="C307" s="5" t="s">
        <v>730</v>
      </c>
      <c r="D307" s="6">
        <v>105004</v>
      </c>
      <c r="E307" s="7">
        <v>9.5136019429150398</v>
      </c>
      <c r="F307" s="7">
        <v>2.27176107576854</v>
      </c>
      <c r="G307" s="7">
        <v>9.3531198811473892</v>
      </c>
      <c r="H307" s="7">
        <v>9.9941716506037892</v>
      </c>
      <c r="I307" s="7">
        <v>10</v>
      </c>
      <c r="J307" s="7">
        <v>81.652127537998595</v>
      </c>
      <c r="K307" s="7">
        <v>99.805721686792893</v>
      </c>
      <c r="L307" s="7">
        <v>100</v>
      </c>
      <c r="M307" s="7">
        <v>100</v>
      </c>
      <c r="N307" s="7">
        <v>8.4974995328196492</v>
      </c>
      <c r="O307" s="7">
        <v>6.0917869795436399</v>
      </c>
      <c r="P307" s="7">
        <v>10</v>
      </c>
      <c r="Q307" s="7">
        <v>10</v>
      </c>
      <c r="R307" s="7">
        <v>10</v>
      </c>
      <c r="S307" s="7">
        <v>98.521961068149807</v>
      </c>
      <c r="T307" s="7">
        <v>100</v>
      </c>
      <c r="U307" s="7">
        <v>100</v>
      </c>
      <c r="V307" s="7">
        <v>100</v>
      </c>
      <c r="W307" s="7">
        <v>7.1451767358792297</v>
      </c>
      <c r="X307" s="7">
        <v>9.8865471791550803</v>
      </c>
      <c r="Y307" s="7">
        <v>10</v>
      </c>
      <c r="Z307" s="7">
        <v>10</v>
      </c>
      <c r="AA307" s="7">
        <v>10</v>
      </c>
      <c r="AB307" s="7">
        <v>100</v>
      </c>
      <c r="AC307" s="7">
        <v>100</v>
      </c>
      <c r="AD307" s="7">
        <v>100</v>
      </c>
      <c r="AE307" s="7">
        <v>100</v>
      </c>
      <c r="AF307" s="6">
        <v>10.2643475410608</v>
      </c>
      <c r="AG307" s="6">
        <v>1.86942402194202</v>
      </c>
      <c r="AH307" s="6">
        <v>6.0188183307302596</v>
      </c>
      <c r="AI307" s="6">
        <v>9.0673402917984092</v>
      </c>
      <c r="AJ307" s="6">
        <v>9.8285779589349005</v>
      </c>
      <c r="AK307" s="6">
        <v>75.707592091729794</v>
      </c>
      <c r="AL307" s="6">
        <v>98.287684278694101</v>
      </c>
      <c r="AM307" s="6">
        <v>100</v>
      </c>
      <c r="AN307" s="6">
        <v>100</v>
      </c>
      <c r="AO307" s="6">
        <v>10.751080158107101</v>
      </c>
      <c r="AP307" s="7">
        <v>1.75964725153327</v>
      </c>
      <c r="AQ307" s="7">
        <v>8.6779836958592096</v>
      </c>
      <c r="AR307" s="7">
        <v>9.9442306959734896</v>
      </c>
      <c r="AS307" s="7">
        <v>10</v>
      </c>
      <c r="AT307" s="7">
        <v>80.344558302540904</v>
      </c>
      <c r="AU307" s="7">
        <v>99.033370157327298</v>
      </c>
      <c r="AV307" s="7">
        <v>100</v>
      </c>
      <c r="AW307" s="7">
        <v>100</v>
      </c>
      <c r="AX307" s="7">
        <v>9.1571915328972704</v>
      </c>
      <c r="AY307" s="7">
        <v>4.73799093367872</v>
      </c>
      <c r="AZ307" s="7">
        <v>9.81544512589997</v>
      </c>
      <c r="BA307" s="7">
        <v>10</v>
      </c>
      <c r="BB307" s="7">
        <v>10</v>
      </c>
      <c r="BC307" s="7">
        <v>95.133518723096302</v>
      </c>
      <c r="BD307" s="7">
        <v>100</v>
      </c>
      <c r="BE307" s="7">
        <v>100</v>
      </c>
      <c r="BF307" s="7">
        <v>100</v>
      </c>
      <c r="BG307" s="7">
        <v>7.4663204259134197</v>
      </c>
      <c r="BH307" s="7">
        <v>9.2212106205477902</v>
      </c>
      <c r="BI307" s="7">
        <v>10</v>
      </c>
      <c r="BJ307" s="7">
        <v>10</v>
      </c>
      <c r="BK307" s="7">
        <v>10</v>
      </c>
      <c r="BL307" s="7">
        <v>100</v>
      </c>
      <c r="BM307" s="7">
        <v>100</v>
      </c>
      <c r="BN307" s="7">
        <v>100</v>
      </c>
      <c r="BO307" s="7">
        <v>100</v>
      </c>
      <c r="BP307" s="6">
        <v>12.255640642861</v>
      </c>
      <c r="BQ307" s="6">
        <v>1.39481353091311</v>
      </c>
      <c r="BR307" s="6">
        <v>4.6422422002971304</v>
      </c>
      <c r="BS307" s="6">
        <v>7.2309721534417699</v>
      </c>
      <c r="BT307" s="6">
        <v>8.8423488629004598</v>
      </c>
      <c r="BU307" s="6">
        <v>71.522037255723603</v>
      </c>
      <c r="BV307" s="6">
        <v>95.384937716658399</v>
      </c>
      <c r="BW307" s="6">
        <v>98.276256142623097</v>
      </c>
      <c r="BX307" s="6">
        <v>100</v>
      </c>
      <c r="BY307" s="6" t="str">
        <f>TRIM(Table1[[#This Row],[LA_Name]])</f>
        <v>Reigate and Banstead</v>
      </c>
      <c r="BZ307" s="7">
        <v>25.339511899360101</v>
      </c>
      <c r="CA307" s="7">
        <v>0.124671441087959</v>
      </c>
      <c r="CB307" s="7">
        <v>1.0551026627557001</v>
      </c>
      <c r="CC307" s="7">
        <v>3.2143918326920899</v>
      </c>
      <c r="CD307" s="7">
        <v>7.47516285093901</v>
      </c>
      <c r="CE307" s="7">
        <v>12.4671441087959</v>
      </c>
      <c r="CF307" s="7">
        <v>72.471524894289701</v>
      </c>
      <c r="CG307" s="7">
        <v>96.597272484857697</v>
      </c>
      <c r="CH307" s="7">
        <v>100</v>
      </c>
      <c r="CI307" s="7">
        <v>21.107111736518501</v>
      </c>
      <c r="CJ307" s="7">
        <v>0.29915050855205499</v>
      </c>
      <c r="CK307" s="7">
        <v>1.4258409203458899</v>
      </c>
      <c r="CL307" s="7">
        <v>3.29402689421355</v>
      </c>
      <c r="CM307" s="7">
        <v>5.8697002018970696</v>
      </c>
      <c r="CN307" s="7">
        <v>29.547445811588101</v>
      </c>
      <c r="CO307" s="7">
        <v>89.603253209401501</v>
      </c>
      <c r="CP307" s="7">
        <v>100</v>
      </c>
      <c r="CQ307" s="7">
        <v>100</v>
      </c>
      <c r="CR307" s="7">
        <v>13.703404537115</v>
      </c>
      <c r="CS307" s="7">
        <v>0.89174698106738803</v>
      </c>
      <c r="CT307" s="7">
        <v>5.2406194049750496</v>
      </c>
      <c r="CU307" s="7">
        <v>9.9140985105329307</v>
      </c>
      <c r="CV307" s="7">
        <v>10</v>
      </c>
      <c r="CW307" s="7">
        <v>56.301664698487699</v>
      </c>
      <c r="CX307" s="7">
        <v>100</v>
      </c>
      <c r="CY307" s="7">
        <v>100</v>
      </c>
      <c r="CZ307" s="7">
        <v>100</v>
      </c>
      <c r="DA307" s="9">
        <v>50.723169913372899</v>
      </c>
      <c r="DB307" s="9">
        <v>9.5034474877147501E-2</v>
      </c>
      <c r="DC307" s="9">
        <v>0.27791322235343402</v>
      </c>
      <c r="DD307" s="9">
        <v>0.57397813416631704</v>
      </c>
      <c r="DE307" s="9">
        <v>0.91229857910174905</v>
      </c>
      <c r="DF307" s="9">
        <v>9.5034474877147499</v>
      </c>
      <c r="DG307" s="9">
        <v>27.428478915088899</v>
      </c>
      <c r="DH307" s="9">
        <v>39.983238733762498</v>
      </c>
      <c r="DI307" s="9">
        <v>57.316864119462103</v>
      </c>
    </row>
    <row r="308" spans="1:113">
      <c r="A308" s="5" t="s">
        <v>610</v>
      </c>
      <c r="B308" s="5" t="s">
        <v>731</v>
      </c>
      <c r="C308" s="5" t="s">
        <v>732</v>
      </c>
      <c r="D308" s="6">
        <v>66386</v>
      </c>
      <c r="E308" s="7">
        <v>11.065863727136501</v>
      </c>
      <c r="F308" s="7">
        <v>1.3878980507938401</v>
      </c>
      <c r="G308" s="7">
        <v>6.9411020395866601</v>
      </c>
      <c r="H308" s="7">
        <v>9.8422558973277496</v>
      </c>
      <c r="I308" s="7">
        <v>9.9693459464344905</v>
      </c>
      <c r="J308" s="7">
        <v>76.746603199469803</v>
      </c>
      <c r="K308" s="7">
        <v>98.550899285994007</v>
      </c>
      <c r="L308" s="7">
        <v>99.593287741391293</v>
      </c>
      <c r="M308" s="7">
        <v>100</v>
      </c>
      <c r="N308" s="7">
        <v>8.9431003429069893</v>
      </c>
      <c r="O308" s="7">
        <v>3.2215527370228698</v>
      </c>
      <c r="P308" s="7">
        <v>9.8431446389298891</v>
      </c>
      <c r="Q308" s="7">
        <v>10</v>
      </c>
      <c r="R308" s="7">
        <v>10</v>
      </c>
      <c r="S308" s="7">
        <v>96.988822944596706</v>
      </c>
      <c r="T308" s="7">
        <v>100</v>
      </c>
      <c r="U308" s="7">
        <v>100</v>
      </c>
      <c r="V308" s="7">
        <v>100</v>
      </c>
      <c r="W308" s="7">
        <v>7.4445874008572002</v>
      </c>
      <c r="X308" s="7">
        <v>9.4660169312806897</v>
      </c>
      <c r="Y308" s="7">
        <v>10</v>
      </c>
      <c r="Z308" s="7">
        <v>10</v>
      </c>
      <c r="AA308" s="7">
        <v>10</v>
      </c>
      <c r="AB308" s="7">
        <v>100</v>
      </c>
      <c r="AC308" s="7">
        <v>100</v>
      </c>
      <c r="AD308" s="7">
        <v>100</v>
      </c>
      <c r="AE308" s="7">
        <v>100</v>
      </c>
      <c r="AF308" s="6">
        <v>12.0245672250391</v>
      </c>
      <c r="AG308" s="6">
        <v>1.1489922574036699</v>
      </c>
      <c r="AH308" s="6">
        <v>3.0645618051998902</v>
      </c>
      <c r="AI308" s="6">
        <v>6.2842316150995696</v>
      </c>
      <c r="AJ308" s="6">
        <v>8.9741813032868407</v>
      </c>
      <c r="AK308" s="6">
        <v>74.389178441237604</v>
      </c>
      <c r="AL308" s="6">
        <v>96.631819962040197</v>
      </c>
      <c r="AM308" s="6">
        <v>99.364323803211505</v>
      </c>
      <c r="AN308" s="6">
        <v>100</v>
      </c>
      <c r="AO308" s="6">
        <v>9.1855549621081707</v>
      </c>
      <c r="AP308" s="7">
        <v>2.2142771066188698</v>
      </c>
      <c r="AQ308" s="7">
        <v>9.2828759075708707</v>
      </c>
      <c r="AR308" s="7">
        <v>9.9262947006898994</v>
      </c>
      <c r="AS308" s="7">
        <v>9.9837315096556498</v>
      </c>
      <c r="AT308" s="7">
        <v>83.8188774741662</v>
      </c>
      <c r="AU308" s="7">
        <v>98.526797818817201</v>
      </c>
      <c r="AV308" s="7">
        <v>100</v>
      </c>
      <c r="AW308" s="7">
        <v>100</v>
      </c>
      <c r="AX308" s="7">
        <v>8.4124738888293304</v>
      </c>
      <c r="AY308" s="7">
        <v>5.45473443195855</v>
      </c>
      <c r="AZ308" s="7">
        <v>10</v>
      </c>
      <c r="BA308" s="7">
        <v>10</v>
      </c>
      <c r="BB308" s="7">
        <v>10</v>
      </c>
      <c r="BC308" s="7">
        <v>96.719187780556098</v>
      </c>
      <c r="BD308" s="7">
        <v>100</v>
      </c>
      <c r="BE308" s="7">
        <v>100</v>
      </c>
      <c r="BF308" s="7">
        <v>100</v>
      </c>
      <c r="BG308" s="7">
        <v>6.9245060410391996</v>
      </c>
      <c r="BH308" s="7">
        <v>9.9956316090742003</v>
      </c>
      <c r="BI308" s="7">
        <v>10</v>
      </c>
      <c r="BJ308" s="7">
        <v>10</v>
      </c>
      <c r="BK308" s="7">
        <v>10</v>
      </c>
      <c r="BL308" s="7">
        <v>100</v>
      </c>
      <c r="BM308" s="7">
        <v>100</v>
      </c>
      <c r="BN308" s="7">
        <v>100</v>
      </c>
      <c r="BO308" s="7">
        <v>100</v>
      </c>
      <c r="BP308" s="6">
        <v>10.234910858715001</v>
      </c>
      <c r="BQ308" s="6">
        <v>1.75835266471846</v>
      </c>
      <c r="BR308" s="6">
        <v>5.2100894766968899</v>
      </c>
      <c r="BS308" s="6">
        <v>8.5879854186123605</v>
      </c>
      <c r="BT308" s="6">
        <v>9.7649504413581205</v>
      </c>
      <c r="BU308" s="6">
        <v>80.218720814629606</v>
      </c>
      <c r="BV308" s="6">
        <v>95.747597384990797</v>
      </c>
      <c r="BW308" s="6">
        <v>100</v>
      </c>
      <c r="BX308" s="6">
        <v>100</v>
      </c>
      <c r="BY308" s="6" t="str">
        <f>TRIM(Table1[[#This Row],[LA_Name]])</f>
        <v>Runnymede</v>
      </c>
      <c r="BZ308" s="7">
        <v>27.812739010324599</v>
      </c>
      <c r="CA308" s="7">
        <v>0.10884825113728799</v>
      </c>
      <c r="CB308" s="7">
        <v>1.1888349953303401</v>
      </c>
      <c r="CC308" s="7">
        <v>3.7467086433886698</v>
      </c>
      <c r="CD308" s="7">
        <v>8.16785165546953</v>
      </c>
      <c r="CE308" s="7">
        <v>10.476606513421499</v>
      </c>
      <c r="CF308" s="7">
        <v>56.852348386708002</v>
      </c>
      <c r="CG308" s="7">
        <v>96.294399421564805</v>
      </c>
      <c r="CH308" s="7">
        <v>100</v>
      </c>
      <c r="CI308" s="7">
        <v>19.017732868591601</v>
      </c>
      <c r="CJ308" s="7">
        <v>0.31948001084566002</v>
      </c>
      <c r="CK308" s="7">
        <v>2.8551803091013199</v>
      </c>
      <c r="CL308" s="7">
        <v>6.2674660319947</v>
      </c>
      <c r="CM308" s="7">
        <v>8.8354622962672895</v>
      </c>
      <c r="CN308" s="7">
        <v>20.822161299069101</v>
      </c>
      <c r="CO308" s="7">
        <v>100</v>
      </c>
      <c r="CP308" s="7">
        <v>100</v>
      </c>
      <c r="CQ308" s="7">
        <v>100</v>
      </c>
      <c r="CR308" s="7">
        <v>12.2500870299426</v>
      </c>
      <c r="CS308" s="7">
        <v>1.9664085801223199</v>
      </c>
      <c r="CT308" s="7">
        <v>9.5826830958334597</v>
      </c>
      <c r="CU308" s="7">
        <v>10</v>
      </c>
      <c r="CV308" s="7">
        <v>10</v>
      </c>
      <c r="CW308" s="7">
        <v>81.750670322055896</v>
      </c>
      <c r="CX308" s="7">
        <v>100</v>
      </c>
      <c r="CY308" s="7">
        <v>100</v>
      </c>
      <c r="CZ308" s="7">
        <v>100</v>
      </c>
      <c r="DA308" s="9">
        <v>43.645938430383403</v>
      </c>
      <c r="DB308" s="9">
        <v>9.7851956737866397E-2</v>
      </c>
      <c r="DC308" s="9">
        <v>0.30685686741180401</v>
      </c>
      <c r="DD308" s="9">
        <v>0.87598288795830404</v>
      </c>
      <c r="DE308" s="9">
        <v>1.7026180218720799</v>
      </c>
      <c r="DF308" s="9">
        <v>9.3769770734793507</v>
      </c>
      <c r="DG308" s="9">
        <v>21.277076492031501</v>
      </c>
      <c r="DH308" s="9">
        <v>45.217365107100903</v>
      </c>
      <c r="DI308" s="9">
        <v>83.413671557256095</v>
      </c>
    </row>
    <row r="309" spans="1:113">
      <c r="A309" s="5" t="s">
        <v>610</v>
      </c>
      <c r="B309" s="5" t="s">
        <v>733</v>
      </c>
      <c r="C309" s="5" t="s">
        <v>734</v>
      </c>
      <c r="D309" s="6">
        <v>70993</v>
      </c>
      <c r="E309" s="7">
        <v>7.7105969365986802</v>
      </c>
      <c r="F309" s="7">
        <v>3.1892017522854399</v>
      </c>
      <c r="G309" s="7">
        <v>9.8754102517149605</v>
      </c>
      <c r="H309" s="7">
        <v>10</v>
      </c>
      <c r="I309" s="7">
        <v>10</v>
      </c>
      <c r="J309" s="7">
        <v>92.269660389052405</v>
      </c>
      <c r="K309" s="7">
        <v>100</v>
      </c>
      <c r="L309" s="7">
        <v>100</v>
      </c>
      <c r="M309" s="7">
        <v>100</v>
      </c>
      <c r="N309" s="7">
        <v>7.7785125300834999</v>
      </c>
      <c r="O309" s="7">
        <v>7.692490808953</v>
      </c>
      <c r="P309" s="7">
        <v>10</v>
      </c>
      <c r="Q309" s="7">
        <v>10</v>
      </c>
      <c r="R309" s="7">
        <v>10</v>
      </c>
      <c r="S309" s="7">
        <v>99.708421957094401</v>
      </c>
      <c r="T309" s="7">
        <v>100</v>
      </c>
      <c r="U309" s="7">
        <v>100</v>
      </c>
      <c r="V309" s="7">
        <v>100</v>
      </c>
      <c r="W309" s="7">
        <v>6.7753777157453801</v>
      </c>
      <c r="X309" s="7">
        <v>9.9432479258518391</v>
      </c>
      <c r="Y309" s="7">
        <v>10</v>
      </c>
      <c r="Z309" s="7">
        <v>10</v>
      </c>
      <c r="AA309" s="7">
        <v>10</v>
      </c>
      <c r="AB309" s="7">
        <v>100</v>
      </c>
      <c r="AC309" s="7">
        <v>100</v>
      </c>
      <c r="AD309" s="7">
        <v>100</v>
      </c>
      <c r="AE309" s="7">
        <v>100</v>
      </c>
      <c r="AF309" s="6">
        <v>8.3323558432756997</v>
      </c>
      <c r="AG309" s="6">
        <v>2.58850872621244</v>
      </c>
      <c r="AH309" s="6">
        <v>7.4014902877748501</v>
      </c>
      <c r="AI309" s="6">
        <v>9.6124265772681792</v>
      </c>
      <c r="AJ309" s="6">
        <v>9.9492062597720903</v>
      </c>
      <c r="AK309" s="6">
        <v>88.094600876142707</v>
      </c>
      <c r="AL309" s="6">
        <v>99.015395884101295</v>
      </c>
      <c r="AM309" s="6">
        <v>100</v>
      </c>
      <c r="AN309" s="6">
        <v>100</v>
      </c>
      <c r="AO309" s="6">
        <v>10.5713626657489</v>
      </c>
      <c r="AP309" s="7">
        <v>1.6552054427901299</v>
      </c>
      <c r="AQ309" s="7">
        <v>9.32600397222261</v>
      </c>
      <c r="AR309" s="7">
        <v>10</v>
      </c>
      <c r="AS309" s="7">
        <v>10</v>
      </c>
      <c r="AT309" s="7">
        <v>78.596481343231005</v>
      </c>
      <c r="AU309" s="7">
        <v>100</v>
      </c>
      <c r="AV309" s="7">
        <v>100</v>
      </c>
      <c r="AW309" s="7">
        <v>100</v>
      </c>
      <c r="AX309" s="7">
        <v>8.8414511633451909</v>
      </c>
      <c r="AY309" s="7">
        <v>4.5041342104151099</v>
      </c>
      <c r="AZ309" s="7">
        <v>10</v>
      </c>
      <c r="BA309" s="7">
        <v>10</v>
      </c>
      <c r="BB309" s="7">
        <v>10</v>
      </c>
      <c r="BC309" s="7">
        <v>99.585874663699201</v>
      </c>
      <c r="BD309" s="7">
        <v>100</v>
      </c>
      <c r="BE309" s="7">
        <v>100</v>
      </c>
      <c r="BF309" s="7">
        <v>100</v>
      </c>
      <c r="BG309" s="7">
        <v>7.5315240915908399</v>
      </c>
      <c r="BH309" s="7">
        <v>9.8146014395785492</v>
      </c>
      <c r="BI309" s="7">
        <v>10</v>
      </c>
      <c r="BJ309" s="7">
        <v>10</v>
      </c>
      <c r="BK309" s="7">
        <v>10</v>
      </c>
      <c r="BL309" s="7">
        <v>100</v>
      </c>
      <c r="BM309" s="7">
        <v>100</v>
      </c>
      <c r="BN309" s="7">
        <v>100</v>
      </c>
      <c r="BO309" s="7">
        <v>100</v>
      </c>
      <c r="BP309" s="6">
        <v>11.5020545631857</v>
      </c>
      <c r="BQ309" s="6">
        <v>1.2713084388601701</v>
      </c>
      <c r="BR309" s="6">
        <v>4.1245756623892502</v>
      </c>
      <c r="BS309" s="6">
        <v>8.4107447213105502</v>
      </c>
      <c r="BT309" s="6">
        <v>9.9546293296522208</v>
      </c>
      <c r="BU309" s="6">
        <v>71.137999521079493</v>
      </c>
      <c r="BV309" s="6">
        <v>99.585874663699201</v>
      </c>
      <c r="BW309" s="6">
        <v>100</v>
      </c>
      <c r="BX309" s="6">
        <v>100</v>
      </c>
      <c r="BY309" s="6" t="str">
        <f>TRIM(Table1[[#This Row],[LA_Name]])</f>
        <v>Spelthorne</v>
      </c>
      <c r="BZ309" s="7">
        <v>24.866984705548699</v>
      </c>
      <c r="CA309" s="7">
        <v>0.12895637598073001</v>
      </c>
      <c r="CB309" s="7">
        <v>1.22559970701337</v>
      </c>
      <c r="CC309" s="7">
        <v>5.35044300142268</v>
      </c>
      <c r="CD309" s="7">
        <v>9.6840533573732603</v>
      </c>
      <c r="CE309" s="7">
        <v>12.0223120589354</v>
      </c>
      <c r="CF309" s="7">
        <v>71.859197385657694</v>
      </c>
      <c r="CG309" s="7">
        <v>99.435155578719005</v>
      </c>
      <c r="CH309" s="7">
        <v>100</v>
      </c>
      <c r="CI309" s="7">
        <v>19.090658958040901</v>
      </c>
      <c r="CJ309" s="7">
        <v>0.36990970940797002</v>
      </c>
      <c r="CK309" s="7">
        <v>3.1436761370839399</v>
      </c>
      <c r="CL309" s="7">
        <v>8.6157649345710094</v>
      </c>
      <c r="CM309" s="7">
        <v>10</v>
      </c>
      <c r="CN309" s="7">
        <v>26.5744510022115</v>
      </c>
      <c r="CO309" s="7">
        <v>92.882396856028095</v>
      </c>
      <c r="CP309" s="7">
        <v>100</v>
      </c>
      <c r="CQ309" s="7">
        <v>100</v>
      </c>
      <c r="CR309" s="7">
        <v>12.380892304107499</v>
      </c>
      <c r="CS309" s="7">
        <v>1.6548251236037399</v>
      </c>
      <c r="CT309" s="7">
        <v>9.9923513585846493</v>
      </c>
      <c r="CU309" s="7">
        <v>10</v>
      </c>
      <c r="CV309" s="7">
        <v>10</v>
      </c>
      <c r="CW309" s="7">
        <v>77.430169171608497</v>
      </c>
      <c r="CX309" s="7">
        <v>100</v>
      </c>
      <c r="CY309" s="7">
        <v>100</v>
      </c>
      <c r="CZ309" s="7">
        <v>100</v>
      </c>
      <c r="DA309" s="9">
        <v>43.294990422338003</v>
      </c>
      <c r="DB309" s="9">
        <v>9.6403870804163794E-2</v>
      </c>
      <c r="DC309" s="9">
        <v>0.36338793965602201</v>
      </c>
      <c r="DD309" s="9">
        <v>0.96016508669868905</v>
      </c>
      <c r="DE309" s="9">
        <v>1.72207119011734</v>
      </c>
      <c r="DF309" s="9">
        <v>8.7670615412787196</v>
      </c>
      <c r="DG309" s="9">
        <v>25.922274027016801</v>
      </c>
      <c r="DH309" s="9">
        <v>61.510289746876502</v>
      </c>
      <c r="DI309" s="9">
        <v>76.032848308988207</v>
      </c>
    </row>
    <row r="310" spans="1:113">
      <c r="A310" s="5" t="s">
        <v>610</v>
      </c>
      <c r="B310" s="5" t="s">
        <v>735</v>
      </c>
      <c r="C310" s="5" t="s">
        <v>736</v>
      </c>
      <c r="D310" s="6">
        <v>63382</v>
      </c>
      <c r="E310" s="7">
        <v>8.9918615520945604</v>
      </c>
      <c r="F310" s="7">
        <v>1.72203464706068</v>
      </c>
      <c r="G310" s="7">
        <v>9.1008172667318803</v>
      </c>
      <c r="H310" s="7">
        <v>9.9218863399703405</v>
      </c>
      <c r="I310" s="7">
        <v>10</v>
      </c>
      <c r="J310" s="7">
        <v>85.091981950711599</v>
      </c>
      <c r="K310" s="7">
        <v>100</v>
      </c>
      <c r="L310" s="7">
        <v>100</v>
      </c>
      <c r="M310" s="7">
        <v>100</v>
      </c>
      <c r="N310" s="7">
        <v>8.3333059959009006</v>
      </c>
      <c r="O310" s="7">
        <v>4.5152724748351298</v>
      </c>
      <c r="P310" s="7">
        <v>9.9932788488845397</v>
      </c>
      <c r="Q310" s="7">
        <v>10</v>
      </c>
      <c r="R310" s="7">
        <v>10</v>
      </c>
      <c r="S310" s="7">
        <v>99.597677574074694</v>
      </c>
      <c r="T310" s="7">
        <v>100</v>
      </c>
      <c r="U310" s="7">
        <v>100</v>
      </c>
      <c r="V310" s="7">
        <v>100</v>
      </c>
      <c r="W310" s="7">
        <v>7.05855812744608</v>
      </c>
      <c r="X310" s="7">
        <v>9.9436275283203397</v>
      </c>
      <c r="Y310" s="7">
        <v>10</v>
      </c>
      <c r="Z310" s="7">
        <v>10</v>
      </c>
      <c r="AA310" s="7">
        <v>10</v>
      </c>
      <c r="AB310" s="7">
        <v>100</v>
      </c>
      <c r="AC310" s="7">
        <v>100</v>
      </c>
      <c r="AD310" s="7">
        <v>100</v>
      </c>
      <c r="AE310" s="7">
        <v>100</v>
      </c>
      <c r="AF310" s="6">
        <v>9.5779176733837499</v>
      </c>
      <c r="AG310" s="6">
        <v>1.3573569783219199</v>
      </c>
      <c r="AH310" s="6">
        <v>4.3555741377678201</v>
      </c>
      <c r="AI310" s="6">
        <v>8.8741440787605299</v>
      </c>
      <c r="AJ310" s="6">
        <v>9.7678362942160195</v>
      </c>
      <c r="AK310" s="6">
        <v>80.7342778706888</v>
      </c>
      <c r="AL310" s="6">
        <v>100</v>
      </c>
      <c r="AM310" s="6">
        <v>100</v>
      </c>
      <c r="AN310" s="6">
        <v>100</v>
      </c>
      <c r="AO310" s="6">
        <v>11.739921589361099</v>
      </c>
      <c r="AP310" s="7">
        <v>1.2723643936764399</v>
      </c>
      <c r="AQ310" s="7">
        <v>7.7418194440061896</v>
      </c>
      <c r="AR310" s="7">
        <v>9.9888138588242708</v>
      </c>
      <c r="AS310" s="7">
        <v>10</v>
      </c>
      <c r="AT310" s="7">
        <v>65.718973841153598</v>
      </c>
      <c r="AU310" s="7">
        <v>100</v>
      </c>
      <c r="AV310" s="7">
        <v>100</v>
      </c>
      <c r="AW310" s="7">
        <v>100</v>
      </c>
      <c r="AX310" s="7">
        <v>10.124657488144599</v>
      </c>
      <c r="AY310" s="7">
        <v>3.0683159256571302</v>
      </c>
      <c r="AZ310" s="7">
        <v>10</v>
      </c>
      <c r="BA310" s="7">
        <v>10</v>
      </c>
      <c r="BB310" s="7">
        <v>10</v>
      </c>
      <c r="BC310" s="7">
        <v>90.355305922817195</v>
      </c>
      <c r="BD310" s="7">
        <v>100</v>
      </c>
      <c r="BE310" s="7">
        <v>100</v>
      </c>
      <c r="BF310" s="7">
        <v>100</v>
      </c>
      <c r="BG310" s="7">
        <v>7.7929525732343299</v>
      </c>
      <c r="BH310" s="7">
        <v>9.6430690101290608</v>
      </c>
      <c r="BI310" s="7">
        <v>10</v>
      </c>
      <c r="BJ310" s="7">
        <v>10</v>
      </c>
      <c r="BK310" s="7">
        <v>10</v>
      </c>
      <c r="BL310" s="7">
        <v>100</v>
      </c>
      <c r="BM310" s="7">
        <v>100</v>
      </c>
      <c r="BN310" s="7">
        <v>100</v>
      </c>
      <c r="BO310" s="7">
        <v>100</v>
      </c>
      <c r="BP310" s="6">
        <v>15.620592926695</v>
      </c>
      <c r="BQ310" s="6">
        <v>0.95983086680761098</v>
      </c>
      <c r="BR310" s="6">
        <v>2.89001609289704</v>
      </c>
      <c r="BS310" s="6">
        <v>6.1202391846265503</v>
      </c>
      <c r="BT310" s="6">
        <v>8.9749613454924102</v>
      </c>
      <c r="BU310" s="6">
        <v>56.691174150389699</v>
      </c>
      <c r="BV310" s="6">
        <v>90.270108232621297</v>
      </c>
      <c r="BW310" s="6">
        <v>98.330756366160699</v>
      </c>
      <c r="BX310" s="6">
        <v>100</v>
      </c>
      <c r="BY310" s="6" t="str">
        <f>TRIM(Table1[[#This Row],[LA_Name]])</f>
        <v>Surrey Heath</v>
      </c>
      <c r="BZ310" s="7">
        <v>25.982187520588401</v>
      </c>
      <c r="CA310" s="7">
        <v>0.16548862453062399</v>
      </c>
      <c r="CB310" s="7">
        <v>0.96181881291218296</v>
      </c>
      <c r="CC310" s="7">
        <v>2.95363036824335</v>
      </c>
      <c r="CD310" s="7">
        <v>6.2203780253068697</v>
      </c>
      <c r="CE310" s="7">
        <v>16.548862453062402</v>
      </c>
      <c r="CF310" s="7">
        <v>61.951342652488101</v>
      </c>
      <c r="CG310" s="7">
        <v>97.668107664636693</v>
      </c>
      <c r="CH310" s="7">
        <v>100</v>
      </c>
      <c r="CI310" s="7">
        <v>19.922514378541099</v>
      </c>
      <c r="CJ310" s="7">
        <v>0.42597267362973701</v>
      </c>
      <c r="CK310" s="7">
        <v>2.4095168975418901</v>
      </c>
      <c r="CL310" s="7">
        <v>4.7440282730112697</v>
      </c>
      <c r="CM310" s="7">
        <v>8.9434066454198309</v>
      </c>
      <c r="CN310" s="7">
        <v>36.838534599728597</v>
      </c>
      <c r="CO310" s="7">
        <v>81.106623331545194</v>
      </c>
      <c r="CP310" s="7">
        <v>100</v>
      </c>
      <c r="CQ310" s="7">
        <v>100</v>
      </c>
      <c r="CR310" s="7">
        <v>12.423419881328201</v>
      </c>
      <c r="CS310" s="7">
        <v>1.4710012306333</v>
      </c>
      <c r="CT310" s="7">
        <v>9.9584424600044201</v>
      </c>
      <c r="CU310" s="7">
        <v>10</v>
      </c>
      <c r="CV310" s="7">
        <v>10</v>
      </c>
      <c r="CW310" s="7">
        <v>70.400113596920306</v>
      </c>
      <c r="CX310" s="7">
        <v>100</v>
      </c>
      <c r="CY310" s="7">
        <v>100</v>
      </c>
      <c r="CZ310" s="7">
        <v>100</v>
      </c>
      <c r="DA310" s="9">
        <v>46.700678537374301</v>
      </c>
      <c r="DB310" s="9">
        <v>0.13123599760184301</v>
      </c>
      <c r="DC310" s="9">
        <v>0.43272537944526801</v>
      </c>
      <c r="DD310" s="9">
        <v>0.87113060490359995</v>
      </c>
      <c r="DE310" s="9">
        <v>1.50780978826796</v>
      </c>
      <c r="DF310" s="9">
        <v>13.1235997601843</v>
      </c>
      <c r="DG310" s="9">
        <v>36.317882048531096</v>
      </c>
      <c r="DH310" s="9">
        <v>58.133223943706398</v>
      </c>
      <c r="DI310" s="9">
        <v>67.006405604114704</v>
      </c>
    </row>
    <row r="311" spans="1:113">
      <c r="A311" s="5" t="s">
        <v>610</v>
      </c>
      <c r="B311" s="5" t="s">
        <v>737</v>
      </c>
      <c r="C311" s="5" t="s">
        <v>738</v>
      </c>
      <c r="D311" s="10">
        <v>62120</v>
      </c>
      <c r="E311" s="7">
        <v>11.7717823993791</v>
      </c>
      <c r="F311" s="7">
        <v>1.3521088216355399</v>
      </c>
      <c r="G311" s="7">
        <v>7.5327269800386301</v>
      </c>
      <c r="H311" s="7">
        <v>9.7228911783644598</v>
      </c>
      <c r="I311" s="7">
        <v>9.8787186091435899</v>
      </c>
      <c r="J311" s="7">
        <v>70.043464262717293</v>
      </c>
      <c r="K311" s="7">
        <v>97.335801674178995</v>
      </c>
      <c r="L311" s="7">
        <v>99.647456535737305</v>
      </c>
      <c r="M311" s="7">
        <v>100</v>
      </c>
      <c r="N311" s="7">
        <v>10.3052941127892</v>
      </c>
      <c r="O311" s="7">
        <v>2.9043625241468098</v>
      </c>
      <c r="P311" s="7">
        <v>8.8517385705086902</v>
      </c>
      <c r="Q311" s="7">
        <v>10</v>
      </c>
      <c r="R311" s="7">
        <v>10</v>
      </c>
      <c r="S311" s="7">
        <v>81.498712169993595</v>
      </c>
      <c r="T311" s="7">
        <v>100</v>
      </c>
      <c r="U311" s="7">
        <v>100</v>
      </c>
      <c r="V311" s="7">
        <v>100</v>
      </c>
      <c r="W311" s="7">
        <v>7.7009438145030202</v>
      </c>
      <c r="X311" s="7">
        <v>8.4265132002575704</v>
      </c>
      <c r="Y311" s="7">
        <v>10</v>
      </c>
      <c r="Z311" s="7">
        <v>10</v>
      </c>
      <c r="AA311" s="7">
        <v>10</v>
      </c>
      <c r="AB311" s="7">
        <v>100</v>
      </c>
      <c r="AC311" s="7">
        <v>100</v>
      </c>
      <c r="AD311" s="7">
        <v>100</v>
      </c>
      <c r="AE311" s="7">
        <v>100</v>
      </c>
      <c r="AF311" s="6">
        <v>15.856024917866099</v>
      </c>
      <c r="AG311" s="6">
        <v>0.99368963296844803</v>
      </c>
      <c r="AH311" s="6">
        <v>3.0224404378621998</v>
      </c>
      <c r="AI311" s="6">
        <v>5.7051674179008396</v>
      </c>
      <c r="AJ311" s="6">
        <v>7.3579523502897599</v>
      </c>
      <c r="AK311" s="6">
        <v>64.1629104958146</v>
      </c>
      <c r="AL311" s="6">
        <v>81.4037347070187</v>
      </c>
      <c r="AM311" s="6">
        <v>96.167095943335497</v>
      </c>
      <c r="AN311" s="6">
        <v>100</v>
      </c>
      <c r="AO311" s="6">
        <v>11.321716662583601</v>
      </c>
      <c r="AP311" s="7">
        <v>1.4455408886026999</v>
      </c>
      <c r="AQ311" s="7">
        <v>8.14513844172569</v>
      </c>
      <c r="AR311" s="7">
        <v>9.7337572440437903</v>
      </c>
      <c r="AS311" s="7">
        <v>9.8821313586606596</v>
      </c>
      <c r="AT311" s="7">
        <v>79.1500321957502</v>
      </c>
      <c r="AU311" s="7">
        <v>97.261751448808795</v>
      </c>
      <c r="AV311" s="7">
        <v>99.600772698003894</v>
      </c>
      <c r="AW311" s="7">
        <v>100</v>
      </c>
      <c r="AX311" s="7">
        <v>9.7768093866681696</v>
      </c>
      <c r="AY311" s="7">
        <v>2.7206374758531902</v>
      </c>
      <c r="AZ311" s="7">
        <v>8.8566806181583999</v>
      </c>
      <c r="BA311" s="7">
        <v>10</v>
      </c>
      <c r="BB311" s="7">
        <v>10</v>
      </c>
      <c r="BC311" s="7">
        <v>89.6426271732131</v>
      </c>
      <c r="BD311" s="7">
        <v>100</v>
      </c>
      <c r="BE311" s="7">
        <v>100</v>
      </c>
      <c r="BF311" s="7">
        <v>100</v>
      </c>
      <c r="BG311" s="7">
        <v>7.4980708301566299</v>
      </c>
      <c r="BH311" s="7">
        <v>8.5964423696072103</v>
      </c>
      <c r="BI311" s="7">
        <v>10</v>
      </c>
      <c r="BJ311" s="7">
        <v>10</v>
      </c>
      <c r="BK311" s="7">
        <v>10</v>
      </c>
      <c r="BL311" s="7">
        <v>100</v>
      </c>
      <c r="BM311" s="7">
        <v>100</v>
      </c>
      <c r="BN311" s="7">
        <v>100</v>
      </c>
      <c r="BO311" s="7">
        <v>100</v>
      </c>
      <c r="BP311" s="6">
        <v>14.0626992773569</v>
      </c>
      <c r="BQ311" s="6">
        <v>0.99655505473277495</v>
      </c>
      <c r="BR311" s="6">
        <v>2.7271732131358699</v>
      </c>
      <c r="BS311" s="6">
        <v>4.7462974887314902</v>
      </c>
      <c r="BT311" s="6">
        <v>6.8067128139085602</v>
      </c>
      <c r="BU311" s="6">
        <v>66.484224082421093</v>
      </c>
      <c r="BV311" s="6">
        <v>88.765292981326496</v>
      </c>
      <c r="BW311" s="6">
        <v>98.568898905344497</v>
      </c>
      <c r="BX311" s="6">
        <v>99.641017385705098</v>
      </c>
      <c r="BY311" s="6" t="str">
        <f>TRIM(Table1[[#This Row],[LA_Name]])</f>
        <v>Tandridge</v>
      </c>
      <c r="BZ311" s="7">
        <v>47.068462727350799</v>
      </c>
      <c r="CA311" s="7">
        <v>0</v>
      </c>
      <c r="CB311" s="7">
        <v>0</v>
      </c>
      <c r="CC311" s="7">
        <v>0.99225692208628502</v>
      </c>
      <c r="CD311" s="7">
        <v>4.1386509980682504</v>
      </c>
      <c r="CE311" s="7">
        <v>0</v>
      </c>
      <c r="CF311" s="7">
        <v>0</v>
      </c>
      <c r="CG311" s="7">
        <v>56.862524146812603</v>
      </c>
      <c r="CH311" s="7">
        <v>88.556020605280096</v>
      </c>
      <c r="CI311" s="7">
        <v>46.842681515239903</v>
      </c>
      <c r="CJ311" s="7">
        <v>0</v>
      </c>
      <c r="CK311" s="7">
        <v>8.9488087572440395E-2</v>
      </c>
      <c r="CL311" s="7">
        <v>1.2582421120412099</v>
      </c>
      <c r="CM311" s="7">
        <v>3.8182388924661899</v>
      </c>
      <c r="CN311" s="7">
        <v>0</v>
      </c>
      <c r="CO311" s="7">
        <v>5.31229877656149</v>
      </c>
      <c r="CP311" s="7">
        <v>50.046683837733397</v>
      </c>
      <c r="CQ311" s="7">
        <v>79.198325820991599</v>
      </c>
      <c r="CR311" s="7">
        <v>23.653495788098301</v>
      </c>
      <c r="CS311" s="7">
        <v>4.9903412749517102E-2</v>
      </c>
      <c r="CT311" s="7">
        <v>4.06992916934965</v>
      </c>
      <c r="CU311" s="7">
        <v>9.9585962652929805</v>
      </c>
      <c r="CV311" s="7">
        <v>10</v>
      </c>
      <c r="CW311" s="7">
        <v>4.02768834513844</v>
      </c>
      <c r="CX311" s="7">
        <v>92.289117836445598</v>
      </c>
      <c r="CY311" s="7">
        <v>100</v>
      </c>
      <c r="CZ311" s="7">
        <v>100</v>
      </c>
      <c r="DA311" s="9">
        <v>110.330521351372</v>
      </c>
      <c r="DB311" s="9">
        <v>0</v>
      </c>
      <c r="DC311" s="9">
        <v>0</v>
      </c>
      <c r="DD311" s="9">
        <v>2.0267224726336099E-2</v>
      </c>
      <c r="DE311" s="9">
        <v>3.52221506761108E-2</v>
      </c>
      <c r="DF311" s="9">
        <v>0</v>
      </c>
      <c r="DG311" s="9">
        <v>0</v>
      </c>
      <c r="DH311" s="9">
        <v>2.0267224726336099</v>
      </c>
      <c r="DI311" s="9">
        <v>3.5222150676110799</v>
      </c>
    </row>
    <row r="312" spans="1:113">
      <c r="A312" s="5" t="s">
        <v>610</v>
      </c>
      <c r="B312" s="5" t="s">
        <v>739</v>
      </c>
      <c r="C312" s="5" t="s">
        <v>740</v>
      </c>
      <c r="D312" s="6">
        <v>86798</v>
      </c>
      <c r="E312" s="7">
        <v>12.462413316768201</v>
      </c>
      <c r="F312" s="7">
        <v>1.39835019240075</v>
      </c>
      <c r="G312" s="7">
        <v>6.2617917463535999</v>
      </c>
      <c r="H312" s="7">
        <v>9.4223369202055292</v>
      </c>
      <c r="I312" s="7">
        <v>9.7909168414018808</v>
      </c>
      <c r="J312" s="7">
        <v>70.188253185557301</v>
      </c>
      <c r="K312" s="7">
        <v>95.954975921104193</v>
      </c>
      <c r="L312" s="7">
        <v>99.107122283923601</v>
      </c>
      <c r="M312" s="7">
        <v>100</v>
      </c>
      <c r="N312" s="7">
        <v>9.9748431847044294</v>
      </c>
      <c r="O312" s="7">
        <v>3.2956519735477801</v>
      </c>
      <c r="P312" s="7">
        <v>7.9524758634991599</v>
      </c>
      <c r="Q312" s="7">
        <v>9.7021014309085505</v>
      </c>
      <c r="R312" s="7">
        <v>10</v>
      </c>
      <c r="S312" s="7">
        <v>90.037788889144906</v>
      </c>
      <c r="T312" s="7">
        <v>100</v>
      </c>
      <c r="U312" s="7">
        <v>100</v>
      </c>
      <c r="V312" s="7">
        <v>100</v>
      </c>
      <c r="W312" s="7">
        <v>7.6762960153740298</v>
      </c>
      <c r="X312" s="7">
        <v>7.4044908868867898</v>
      </c>
      <c r="Y312" s="7">
        <v>10</v>
      </c>
      <c r="Z312" s="7">
        <v>10</v>
      </c>
      <c r="AA312" s="7">
        <v>10</v>
      </c>
      <c r="AB312" s="7">
        <v>100</v>
      </c>
      <c r="AC312" s="7">
        <v>100</v>
      </c>
      <c r="AD312" s="7">
        <v>100</v>
      </c>
      <c r="AE312" s="7">
        <v>100</v>
      </c>
      <c r="AF312" s="6">
        <v>14.737598021752699</v>
      </c>
      <c r="AG312" s="6">
        <v>1.0928131984607901</v>
      </c>
      <c r="AH312" s="6">
        <v>3.2003041544736099</v>
      </c>
      <c r="AI312" s="6">
        <v>5.0845756814673102</v>
      </c>
      <c r="AJ312" s="6">
        <v>6.3822668725085796</v>
      </c>
      <c r="AK312" s="6">
        <v>63.390861540588503</v>
      </c>
      <c r="AL312" s="6">
        <v>90.111523306988602</v>
      </c>
      <c r="AM312" s="6">
        <v>96.466508444894998</v>
      </c>
      <c r="AN312" s="6">
        <v>99.758058941450301</v>
      </c>
      <c r="AO312" s="6">
        <v>12.0836605386746</v>
      </c>
      <c r="AP312" s="7">
        <v>1.3528883153989699</v>
      </c>
      <c r="AQ312" s="7">
        <v>6.9933869443996404</v>
      </c>
      <c r="AR312" s="7">
        <v>9.4694923846171601</v>
      </c>
      <c r="AS312" s="7">
        <v>9.8108942602364095</v>
      </c>
      <c r="AT312" s="7">
        <v>68.419779257586598</v>
      </c>
      <c r="AU312" s="7">
        <v>96.0598170464757</v>
      </c>
      <c r="AV312" s="7">
        <v>98.558722551210806</v>
      </c>
      <c r="AW312" s="7">
        <v>99.468881771469398</v>
      </c>
      <c r="AX312" s="7">
        <v>9.9488724468682701</v>
      </c>
      <c r="AY312" s="7">
        <v>3.3714140878822101</v>
      </c>
      <c r="AZ312" s="7">
        <v>8.0966612133920108</v>
      </c>
      <c r="BA312" s="7">
        <v>9.8271619161731802</v>
      </c>
      <c r="BB312" s="7">
        <v>10</v>
      </c>
      <c r="BC312" s="7">
        <v>87.794649646305203</v>
      </c>
      <c r="BD312" s="7">
        <v>100</v>
      </c>
      <c r="BE312" s="7">
        <v>100</v>
      </c>
      <c r="BF312" s="7">
        <v>100</v>
      </c>
      <c r="BG312" s="7">
        <v>7.57887645020908</v>
      </c>
      <c r="BH312" s="7">
        <v>7.7934629830180402</v>
      </c>
      <c r="BI312" s="7">
        <v>10</v>
      </c>
      <c r="BJ312" s="7">
        <v>10</v>
      </c>
      <c r="BK312" s="7">
        <v>10</v>
      </c>
      <c r="BL312" s="7">
        <v>99.468881771469398</v>
      </c>
      <c r="BM312" s="7">
        <v>100</v>
      </c>
      <c r="BN312" s="7">
        <v>100</v>
      </c>
      <c r="BO312" s="7">
        <v>100</v>
      </c>
      <c r="BP312" s="6">
        <v>14.8836253472551</v>
      </c>
      <c r="BQ312" s="6">
        <v>0.98835226618124805</v>
      </c>
      <c r="BR312" s="6">
        <v>3.2612156962142</v>
      </c>
      <c r="BS312" s="6">
        <v>5.4759671881840601</v>
      </c>
      <c r="BT312" s="6">
        <v>6.7826562824028196</v>
      </c>
      <c r="BU312" s="6">
        <v>63.071729763358597</v>
      </c>
      <c r="BV312" s="6">
        <v>88.163321735523894</v>
      </c>
      <c r="BW312" s="6">
        <v>96.020645636996306</v>
      </c>
      <c r="BX312" s="6">
        <v>98.580612456508206</v>
      </c>
      <c r="BY312" s="6" t="str">
        <f>TRIM(Table1[[#This Row],[LA_Name]])</f>
        <v>Waverley</v>
      </c>
      <c r="BZ312" s="7">
        <v>44.031505155839099</v>
      </c>
      <c r="CA312" s="7">
        <v>0</v>
      </c>
      <c r="CB312" s="7">
        <v>0.29401599115186999</v>
      </c>
      <c r="CC312" s="7">
        <v>1.8188552731629799</v>
      </c>
      <c r="CD312" s="7">
        <v>4.7596718818405996</v>
      </c>
      <c r="CE312" s="7">
        <v>0</v>
      </c>
      <c r="CF312" s="7">
        <v>18.081061775616899</v>
      </c>
      <c r="CG312" s="7">
        <v>59.933408603884899</v>
      </c>
      <c r="CH312" s="7">
        <v>89.170257379202297</v>
      </c>
      <c r="CI312" s="7">
        <v>48.2775791634689</v>
      </c>
      <c r="CJ312" s="7">
        <v>0</v>
      </c>
      <c r="CK312" s="7">
        <v>0.37097628977626201</v>
      </c>
      <c r="CL312" s="7">
        <v>1.6062121247033301</v>
      </c>
      <c r="CM312" s="7">
        <v>2.8551694739510101</v>
      </c>
      <c r="CN312" s="7">
        <v>0</v>
      </c>
      <c r="CO312" s="7">
        <v>19.940551625613502</v>
      </c>
      <c r="CP312" s="7">
        <v>53.547316758450698</v>
      </c>
      <c r="CQ312" s="7">
        <v>72.922187147169296</v>
      </c>
      <c r="CR312" s="7">
        <v>22.288819780041901</v>
      </c>
      <c r="CS312" s="7">
        <v>9.1845434226595093E-2</v>
      </c>
      <c r="CT312" s="7">
        <v>4.8931657411461096</v>
      </c>
      <c r="CU312" s="7">
        <v>9.4401138275075507</v>
      </c>
      <c r="CV312" s="7">
        <v>10</v>
      </c>
      <c r="CW312" s="7">
        <v>7.6084702412498002</v>
      </c>
      <c r="CX312" s="7">
        <v>92.000967764234204</v>
      </c>
      <c r="CY312" s="7">
        <v>100</v>
      </c>
      <c r="CZ312" s="7">
        <v>100</v>
      </c>
      <c r="DA312" s="9">
        <v>105.164254791234</v>
      </c>
      <c r="DB312" s="9">
        <v>0</v>
      </c>
      <c r="DC312" s="9">
        <v>0</v>
      </c>
      <c r="DD312" s="9">
        <v>0</v>
      </c>
      <c r="DE312" s="9">
        <v>0</v>
      </c>
      <c r="DF312" s="9">
        <v>0</v>
      </c>
      <c r="DG312" s="9">
        <v>0</v>
      </c>
      <c r="DH312" s="9">
        <v>0</v>
      </c>
      <c r="DI312" s="9">
        <v>0</v>
      </c>
    </row>
    <row r="313" spans="1:113">
      <c r="A313" s="5" t="s">
        <v>610</v>
      </c>
      <c r="B313" s="5" t="s">
        <v>741</v>
      </c>
      <c r="C313" s="5" t="s">
        <v>742</v>
      </c>
      <c r="D313" s="6">
        <v>70637</v>
      </c>
      <c r="E313" s="7">
        <v>7.4554519627427798</v>
      </c>
      <c r="F313" s="7">
        <v>2.7786429208488501</v>
      </c>
      <c r="G313" s="7">
        <v>9.6465025411611496</v>
      </c>
      <c r="H313" s="7">
        <v>10</v>
      </c>
      <c r="I313" s="7">
        <v>10</v>
      </c>
      <c r="J313" s="7">
        <v>95.302745020315101</v>
      </c>
      <c r="K313" s="7">
        <v>99.866925265795501</v>
      </c>
      <c r="L313" s="7">
        <v>100</v>
      </c>
      <c r="M313" s="7">
        <v>100</v>
      </c>
      <c r="N313" s="7">
        <v>7.6573307209437997</v>
      </c>
      <c r="O313" s="7">
        <v>7.2320313716607396</v>
      </c>
      <c r="P313" s="7">
        <v>10</v>
      </c>
      <c r="Q313" s="7">
        <v>10</v>
      </c>
      <c r="R313" s="7">
        <v>10</v>
      </c>
      <c r="S313" s="7">
        <v>99.866925265795501</v>
      </c>
      <c r="T313" s="7">
        <v>100</v>
      </c>
      <c r="U313" s="7">
        <v>100</v>
      </c>
      <c r="V313" s="7">
        <v>100</v>
      </c>
      <c r="W313" s="7">
        <v>6.6614051936414898</v>
      </c>
      <c r="X313" s="7">
        <v>9.9978764670073801</v>
      </c>
      <c r="Y313" s="7">
        <v>10</v>
      </c>
      <c r="Z313" s="7">
        <v>10</v>
      </c>
      <c r="AA313" s="7">
        <v>10</v>
      </c>
      <c r="AB313" s="7">
        <v>100</v>
      </c>
      <c r="AC313" s="7">
        <v>100</v>
      </c>
      <c r="AD313" s="7">
        <v>100</v>
      </c>
      <c r="AE313" s="7">
        <v>100</v>
      </c>
      <c r="AF313" s="6">
        <v>7.6044275677344899</v>
      </c>
      <c r="AG313" s="6">
        <v>2.3639452411625599</v>
      </c>
      <c r="AH313" s="6">
        <v>7.2899330379262999</v>
      </c>
      <c r="AI313" s="6">
        <v>9.6750852952418693</v>
      </c>
      <c r="AJ313" s="6">
        <v>9.9969137987173902</v>
      </c>
      <c r="AK313" s="6">
        <v>94.464657332559398</v>
      </c>
      <c r="AL313" s="6">
        <v>99.866925265795501</v>
      </c>
      <c r="AM313" s="6">
        <v>100</v>
      </c>
      <c r="AN313" s="6">
        <v>100</v>
      </c>
      <c r="AO313" s="6">
        <v>9.5797431850376995</v>
      </c>
      <c r="AP313" s="7">
        <v>1.8136387445672899</v>
      </c>
      <c r="AQ313" s="7">
        <v>9.3169726913657094</v>
      </c>
      <c r="AR313" s="7">
        <v>9.9960077579738709</v>
      </c>
      <c r="AS313" s="7">
        <v>10</v>
      </c>
      <c r="AT313" s="7">
        <v>88.214391890935303</v>
      </c>
      <c r="AU313" s="7">
        <v>99.866925265795501</v>
      </c>
      <c r="AV313" s="7">
        <v>100</v>
      </c>
      <c r="AW313" s="7">
        <v>100</v>
      </c>
      <c r="AX313" s="7">
        <v>8.5993257153909592</v>
      </c>
      <c r="AY313" s="7">
        <v>5.4695556153290799</v>
      </c>
      <c r="AZ313" s="7">
        <v>10</v>
      </c>
      <c r="BA313" s="7">
        <v>10</v>
      </c>
      <c r="BB313" s="7">
        <v>10</v>
      </c>
      <c r="BC313" s="7">
        <v>99.092543567818595</v>
      </c>
      <c r="BD313" s="7">
        <v>100</v>
      </c>
      <c r="BE313" s="7">
        <v>100</v>
      </c>
      <c r="BF313" s="7">
        <v>100</v>
      </c>
      <c r="BG313" s="7">
        <v>7.2192341242536298</v>
      </c>
      <c r="BH313" s="7">
        <v>9.9878675481688095</v>
      </c>
      <c r="BI313" s="7">
        <v>10</v>
      </c>
      <c r="BJ313" s="7">
        <v>10</v>
      </c>
      <c r="BK313" s="7">
        <v>10</v>
      </c>
      <c r="BL313" s="7">
        <v>100</v>
      </c>
      <c r="BM313" s="7">
        <v>100</v>
      </c>
      <c r="BN313" s="7">
        <v>100</v>
      </c>
      <c r="BO313" s="7">
        <v>100</v>
      </c>
      <c r="BP313" s="6">
        <v>10.403335769239099</v>
      </c>
      <c r="BQ313" s="6">
        <v>1.3732746294434901</v>
      </c>
      <c r="BR313" s="6">
        <v>5.4423177654770196</v>
      </c>
      <c r="BS313" s="6">
        <v>8.8274133952461202</v>
      </c>
      <c r="BT313" s="6">
        <v>9.9506207794781805</v>
      </c>
      <c r="BU313" s="6">
        <v>80.102495859110704</v>
      </c>
      <c r="BV313" s="6">
        <v>99.065645483245305</v>
      </c>
      <c r="BW313" s="6">
        <v>100</v>
      </c>
      <c r="BX313" s="6">
        <v>100</v>
      </c>
      <c r="BY313" s="6" t="str">
        <f>TRIM(Table1[[#This Row],[LA_Name]])</f>
        <v>Woking</v>
      </c>
      <c r="BZ313" s="7">
        <v>21.8913739421338</v>
      </c>
      <c r="CA313" s="7">
        <v>0.20031994563755501</v>
      </c>
      <c r="CB313" s="7">
        <v>1.0800005662754599</v>
      </c>
      <c r="CC313" s="7">
        <v>3.31247080142135</v>
      </c>
      <c r="CD313" s="7">
        <v>7.9011424607500302</v>
      </c>
      <c r="CE313" s="7">
        <v>20.0319945637555</v>
      </c>
      <c r="CF313" s="7">
        <v>89.271911321262195</v>
      </c>
      <c r="CG313" s="7">
        <v>99.425230403329707</v>
      </c>
      <c r="CH313" s="7">
        <v>100</v>
      </c>
      <c r="CI313" s="7">
        <v>16.0349753044847</v>
      </c>
      <c r="CJ313" s="7">
        <v>0.45688520180641901</v>
      </c>
      <c r="CK313" s="7">
        <v>1.0918357234876901</v>
      </c>
      <c r="CL313" s="7">
        <v>3.0729221229667201</v>
      </c>
      <c r="CM313" s="7">
        <v>8.4031031895465507</v>
      </c>
      <c r="CN313" s="7">
        <v>45.688520180641902</v>
      </c>
      <c r="CO313" s="7">
        <v>100</v>
      </c>
      <c r="CP313" s="7">
        <v>100</v>
      </c>
      <c r="CQ313" s="7">
        <v>100</v>
      </c>
      <c r="CR313" s="7">
        <v>10.9246630121982</v>
      </c>
      <c r="CS313" s="7">
        <v>0.96511743137449202</v>
      </c>
      <c r="CT313" s="7">
        <v>9.0467885102708205</v>
      </c>
      <c r="CU313" s="7">
        <v>10</v>
      </c>
      <c r="CV313" s="7">
        <v>10</v>
      </c>
      <c r="CW313" s="7">
        <v>96.511743137449201</v>
      </c>
      <c r="CX313" s="7">
        <v>100</v>
      </c>
      <c r="CY313" s="7">
        <v>100</v>
      </c>
      <c r="CZ313" s="7">
        <v>100</v>
      </c>
      <c r="DA313" s="9">
        <v>34.082890402764903</v>
      </c>
      <c r="DB313" s="9">
        <v>0.13808627206704699</v>
      </c>
      <c r="DC313" s="9">
        <v>0.43145943344139798</v>
      </c>
      <c r="DD313" s="9">
        <v>0.755553038775712</v>
      </c>
      <c r="DE313" s="9">
        <v>0.89434715517363395</v>
      </c>
      <c r="DF313" s="9">
        <v>13.808627206704699</v>
      </c>
      <c r="DG313" s="9">
        <v>43.145943344139802</v>
      </c>
      <c r="DH313" s="9">
        <v>75.555303877571205</v>
      </c>
      <c r="DI313" s="9">
        <v>89.434715517363401</v>
      </c>
    </row>
    <row r="314" spans="1:113">
      <c r="A314" s="5" t="s">
        <v>610</v>
      </c>
      <c r="B314" s="5" t="s">
        <v>743</v>
      </c>
      <c r="C314" s="5" t="s">
        <v>744</v>
      </c>
      <c r="D314" s="6">
        <v>609678</v>
      </c>
      <c r="E314" s="7">
        <v>9.7344212652616307</v>
      </c>
      <c r="F314" s="7">
        <v>2.5221133122730399</v>
      </c>
      <c r="G314" s="7">
        <v>8.0931508107558408</v>
      </c>
      <c r="H314" s="7">
        <v>9.4381509583747505</v>
      </c>
      <c r="I314" s="7">
        <v>9.7626123953955997</v>
      </c>
      <c r="J314" s="7">
        <v>84.806570025488895</v>
      </c>
      <c r="K314" s="7">
        <v>97.223944442804196</v>
      </c>
      <c r="L314" s="7">
        <v>99.005540629643804</v>
      </c>
      <c r="M314" s="7">
        <v>99.457582527170104</v>
      </c>
      <c r="N314" s="7">
        <v>9.1265435668729396</v>
      </c>
      <c r="O314" s="7">
        <v>5.7519231463165799</v>
      </c>
      <c r="P314" s="7">
        <v>8.7132453524647406</v>
      </c>
      <c r="Q314" s="7">
        <v>9.6304377064614393</v>
      </c>
      <c r="R314" s="7">
        <v>9.9697774891007995</v>
      </c>
      <c r="S314" s="7">
        <v>91.154347048770006</v>
      </c>
      <c r="T314" s="7">
        <v>99.441836510420302</v>
      </c>
      <c r="U314" s="7">
        <v>100</v>
      </c>
      <c r="V314" s="7">
        <v>100</v>
      </c>
      <c r="W314" s="7">
        <v>7.1820259628969003</v>
      </c>
      <c r="X314" s="7">
        <v>8.6357257437532606</v>
      </c>
      <c r="Y314" s="7">
        <v>9.9991077257175096</v>
      </c>
      <c r="Z314" s="7">
        <v>10</v>
      </c>
      <c r="AA314" s="7">
        <v>10</v>
      </c>
      <c r="AB314" s="7">
        <v>99.392138145053593</v>
      </c>
      <c r="AC314" s="7">
        <v>100</v>
      </c>
      <c r="AD314" s="7">
        <v>100</v>
      </c>
      <c r="AE314" s="7">
        <v>100</v>
      </c>
      <c r="AF314" s="6">
        <v>12.263550957805601</v>
      </c>
      <c r="AG314" s="6">
        <v>2.0540793664852601</v>
      </c>
      <c r="AH314" s="6">
        <v>5.6912895003592103</v>
      </c>
      <c r="AI314" s="6">
        <v>7.41394965867228</v>
      </c>
      <c r="AJ314" s="6">
        <v>8.1121674064014098</v>
      </c>
      <c r="AK314" s="6">
        <v>81.004727085445097</v>
      </c>
      <c r="AL314" s="6">
        <v>90.941939843655206</v>
      </c>
      <c r="AM314" s="6">
        <v>94.954877820751307</v>
      </c>
      <c r="AN314" s="6">
        <v>97.309071345858001</v>
      </c>
      <c r="AO314" s="6">
        <v>11.1068121453301</v>
      </c>
      <c r="AP314" s="7">
        <v>1.74309061504598</v>
      </c>
      <c r="AQ314" s="7">
        <v>7.5608599949481503</v>
      </c>
      <c r="AR314" s="7">
        <v>9.5854434635988195</v>
      </c>
      <c r="AS314" s="7">
        <v>9.8281699520074497</v>
      </c>
      <c r="AT314" s="7">
        <v>76.226631106912194</v>
      </c>
      <c r="AU314" s="7">
        <v>98.002388145873695</v>
      </c>
      <c r="AV314" s="7">
        <v>99.311275788203005</v>
      </c>
      <c r="AW314" s="7">
        <v>99.751672194174603</v>
      </c>
      <c r="AX314" s="7">
        <v>9.5174956779213407</v>
      </c>
      <c r="AY314" s="7">
        <v>4.2513507129993204</v>
      </c>
      <c r="AZ314" s="7">
        <v>8.7996499791693292</v>
      </c>
      <c r="BA314" s="7">
        <v>9.7676117557136699</v>
      </c>
      <c r="BB314" s="7">
        <v>9.9986911123576707</v>
      </c>
      <c r="BC314" s="7">
        <v>91.891621478879003</v>
      </c>
      <c r="BD314" s="7">
        <v>99.702465891831395</v>
      </c>
      <c r="BE314" s="7">
        <v>100</v>
      </c>
      <c r="BF314" s="7">
        <v>100</v>
      </c>
      <c r="BG314" s="7">
        <v>7.4312376155975404</v>
      </c>
      <c r="BH314" s="7">
        <v>8.6007777876190392</v>
      </c>
      <c r="BI314" s="7">
        <v>10</v>
      </c>
      <c r="BJ314" s="7">
        <v>10</v>
      </c>
      <c r="BK314" s="7">
        <v>10</v>
      </c>
      <c r="BL314" s="7">
        <v>99.736746282463898</v>
      </c>
      <c r="BM314" s="7">
        <v>100</v>
      </c>
      <c r="BN314" s="7">
        <v>100</v>
      </c>
      <c r="BO314" s="7">
        <v>100</v>
      </c>
      <c r="BP314" s="6">
        <v>13.5558536903229</v>
      </c>
      <c r="BQ314" s="6">
        <v>1.3953988826888899</v>
      </c>
      <c r="BR314" s="6">
        <v>4.15098297789981</v>
      </c>
      <c r="BS314" s="6">
        <v>6.2501910844740998</v>
      </c>
      <c r="BT314" s="6">
        <v>7.6756829014660202</v>
      </c>
      <c r="BU314" s="6">
        <v>68.921791503055701</v>
      </c>
      <c r="BV314" s="6">
        <v>91.871610915926098</v>
      </c>
      <c r="BW314" s="6">
        <v>97.117330787727298</v>
      </c>
      <c r="BX314" s="6">
        <v>98.894170365340401</v>
      </c>
      <c r="BY314" s="6" t="str">
        <f>TRIM(Table1[[#This Row],[LA_Name]])</f>
        <v>West Sussex</v>
      </c>
      <c r="BZ314" s="7">
        <v>35.829016636906502</v>
      </c>
      <c r="CA314" s="7">
        <v>9.6290172845338001E-2</v>
      </c>
      <c r="CB314" s="7">
        <v>0.63618828299528596</v>
      </c>
      <c r="CC314" s="7">
        <v>1.8370697318912601</v>
      </c>
      <c r="CD314" s="7">
        <v>4.24685489717523</v>
      </c>
      <c r="CE314" s="7">
        <v>8.1928493401434892</v>
      </c>
      <c r="CF314" s="7">
        <v>40.548781487932999</v>
      </c>
      <c r="CG314" s="7">
        <v>75.057161321221997</v>
      </c>
      <c r="CH314" s="7">
        <v>93.773598522498801</v>
      </c>
      <c r="CI314" s="7">
        <v>37.4884786481432</v>
      </c>
      <c r="CJ314" s="7">
        <v>0.29772765295779102</v>
      </c>
      <c r="CK314" s="7">
        <v>0.89247110769947402</v>
      </c>
      <c r="CL314" s="7">
        <v>1.2627403317816901</v>
      </c>
      <c r="CM314" s="7">
        <v>2.0936133499978702</v>
      </c>
      <c r="CN314" s="7">
        <v>20.655165513599002</v>
      </c>
      <c r="CO314" s="7">
        <v>46.603616991264197</v>
      </c>
      <c r="CP314" s="7">
        <v>61.983210809640497</v>
      </c>
      <c r="CQ314" s="7">
        <v>79.516728502586602</v>
      </c>
      <c r="CR314" s="7">
        <v>18.594605378733</v>
      </c>
      <c r="CS314" s="7">
        <v>0.75572187285747605</v>
      </c>
      <c r="CT314" s="7">
        <v>2.9110169630526301</v>
      </c>
      <c r="CU314" s="7">
        <v>8.0828338893645508</v>
      </c>
      <c r="CV314" s="7">
        <v>10</v>
      </c>
      <c r="CW314" s="7">
        <v>41.0601989902867</v>
      </c>
      <c r="CX314" s="7">
        <v>94.329629738977005</v>
      </c>
      <c r="CY314" s="7">
        <v>100</v>
      </c>
      <c r="CZ314" s="7">
        <v>100</v>
      </c>
      <c r="DA314" s="9">
        <v>79.298203850888001</v>
      </c>
      <c r="DB314" s="9">
        <v>7.4910034477215795E-2</v>
      </c>
      <c r="DC314" s="9">
        <v>0.27908174478987302</v>
      </c>
      <c r="DD314" s="9">
        <v>0.51295929982712196</v>
      </c>
      <c r="DE314" s="9">
        <v>0.75792959562260698</v>
      </c>
      <c r="DF314" s="9">
        <v>6.3718881114293104</v>
      </c>
      <c r="DG314" s="9">
        <v>19.763547315140102</v>
      </c>
      <c r="DH314" s="9">
        <v>30.856288073376401</v>
      </c>
      <c r="DI314" s="9">
        <v>38.723063649992298</v>
      </c>
    </row>
    <row r="315" spans="1:113">
      <c r="A315" s="5" t="s">
        <v>610</v>
      </c>
      <c r="B315" s="5" t="s">
        <v>745</v>
      </c>
      <c r="C315" s="5" t="s">
        <v>746</v>
      </c>
      <c r="D315" s="6">
        <v>45039</v>
      </c>
      <c r="E315" s="7">
        <v>6.6302542030432798</v>
      </c>
      <c r="F315" s="7">
        <v>3.5646217722418299</v>
      </c>
      <c r="G315" s="7">
        <v>9.8784164834920904</v>
      </c>
      <c r="H315" s="7">
        <v>10</v>
      </c>
      <c r="I315" s="7">
        <v>10</v>
      </c>
      <c r="J315" s="7">
        <v>98.559026621372595</v>
      </c>
      <c r="K315" s="7">
        <v>100</v>
      </c>
      <c r="L315" s="7">
        <v>100</v>
      </c>
      <c r="M315" s="7">
        <v>100</v>
      </c>
      <c r="N315" s="7">
        <v>7.3989686533455004</v>
      </c>
      <c r="O315" s="7">
        <v>8.1022447212415898</v>
      </c>
      <c r="P315" s="7">
        <v>10</v>
      </c>
      <c r="Q315" s="7">
        <v>10</v>
      </c>
      <c r="R315" s="7">
        <v>10</v>
      </c>
      <c r="S315" s="7">
        <v>100</v>
      </c>
      <c r="T315" s="7">
        <v>100</v>
      </c>
      <c r="U315" s="7">
        <v>100</v>
      </c>
      <c r="V315" s="7">
        <v>100</v>
      </c>
      <c r="W315" s="7">
        <v>6.5282699198252701</v>
      </c>
      <c r="X315" s="7">
        <v>9.7881169652967408</v>
      </c>
      <c r="Y315" s="7">
        <v>10</v>
      </c>
      <c r="Z315" s="7">
        <v>10</v>
      </c>
      <c r="AA315" s="7">
        <v>10</v>
      </c>
      <c r="AB315" s="7">
        <v>100</v>
      </c>
      <c r="AC315" s="7">
        <v>100</v>
      </c>
      <c r="AD315" s="7">
        <v>100</v>
      </c>
      <c r="AE315" s="7">
        <v>100</v>
      </c>
      <c r="AF315" s="6">
        <v>6.9243702139926997</v>
      </c>
      <c r="AG315" s="6">
        <v>3.09642754057595</v>
      </c>
      <c r="AH315" s="6">
        <v>8.0125446834965306</v>
      </c>
      <c r="AI315" s="6">
        <v>9.8144941051089098</v>
      </c>
      <c r="AJ315" s="6">
        <v>10</v>
      </c>
      <c r="AK315" s="6">
        <v>93.920824174604206</v>
      </c>
      <c r="AL315" s="6">
        <v>100</v>
      </c>
      <c r="AM315" s="6">
        <v>100</v>
      </c>
      <c r="AN315" s="6">
        <v>100</v>
      </c>
      <c r="AO315" s="6">
        <v>10.105200178751</v>
      </c>
      <c r="AP315" s="7">
        <v>1.44346011234708</v>
      </c>
      <c r="AQ315" s="7">
        <v>9.0768889184928607</v>
      </c>
      <c r="AR315" s="7">
        <v>10</v>
      </c>
      <c r="AS315" s="7">
        <v>10</v>
      </c>
      <c r="AT315" s="7">
        <v>81.236261906347806</v>
      </c>
      <c r="AU315" s="7">
        <v>100</v>
      </c>
      <c r="AV315" s="7">
        <v>100</v>
      </c>
      <c r="AW315" s="7">
        <v>100</v>
      </c>
      <c r="AX315" s="7">
        <v>8.7140790980134106</v>
      </c>
      <c r="AY315" s="7">
        <v>4.48600102133706</v>
      </c>
      <c r="AZ315" s="7">
        <v>9.9686493927485103</v>
      </c>
      <c r="BA315" s="7">
        <v>10</v>
      </c>
      <c r="BB315" s="7">
        <v>10</v>
      </c>
      <c r="BC315" s="7">
        <v>98.385843380181598</v>
      </c>
      <c r="BD315" s="7">
        <v>100</v>
      </c>
      <c r="BE315" s="7">
        <v>100</v>
      </c>
      <c r="BF315" s="7">
        <v>100</v>
      </c>
      <c r="BG315" s="7">
        <v>7.4106974218276997</v>
      </c>
      <c r="BH315" s="7">
        <v>9.3955016763249599</v>
      </c>
      <c r="BI315" s="7">
        <v>10</v>
      </c>
      <c r="BJ315" s="7">
        <v>10</v>
      </c>
      <c r="BK315" s="7">
        <v>10</v>
      </c>
      <c r="BL315" s="7">
        <v>100</v>
      </c>
      <c r="BM315" s="7">
        <v>100</v>
      </c>
      <c r="BN315" s="7">
        <v>100</v>
      </c>
      <c r="BO315" s="7">
        <v>100</v>
      </c>
      <c r="BP315" s="6">
        <v>10.897866967076</v>
      </c>
      <c r="BQ315" s="6">
        <v>1.1939652301338799</v>
      </c>
      <c r="BR315" s="6">
        <v>4.16716623370856</v>
      </c>
      <c r="BS315" s="6">
        <v>7.01067963320678</v>
      </c>
      <c r="BT315" s="6">
        <v>9.4360221141677201</v>
      </c>
      <c r="BU315" s="6">
        <v>74.575368014387493</v>
      </c>
      <c r="BV315" s="6">
        <v>99.349452696551893</v>
      </c>
      <c r="BW315" s="6">
        <v>100</v>
      </c>
      <c r="BX315" s="6">
        <v>100</v>
      </c>
      <c r="BY315" s="6" t="str">
        <f>TRIM(Table1[[#This Row],[LA_Name]])</f>
        <v>Adur</v>
      </c>
      <c r="BZ315" s="7">
        <v>33.254315370755201</v>
      </c>
      <c r="CA315" s="7">
        <v>0</v>
      </c>
      <c r="CB315" s="7">
        <v>0.39992006927329599</v>
      </c>
      <c r="CC315" s="7">
        <v>2.7695996802770901</v>
      </c>
      <c r="CD315" s="7">
        <v>5.3086214169941597</v>
      </c>
      <c r="CE315" s="7">
        <v>0</v>
      </c>
      <c r="CF315" s="7">
        <v>35.500344146184403</v>
      </c>
      <c r="CG315" s="7">
        <v>97.906259019960501</v>
      </c>
      <c r="CH315" s="7">
        <v>100</v>
      </c>
      <c r="CI315" s="7">
        <v>29.0627492616564</v>
      </c>
      <c r="CJ315" s="7">
        <v>0</v>
      </c>
      <c r="CK315" s="7">
        <v>0.53518062123937005</v>
      </c>
      <c r="CL315" s="7">
        <v>2.5142432114389801</v>
      </c>
      <c r="CM315" s="7">
        <v>4.2824441039987597</v>
      </c>
      <c r="CN315" s="7">
        <v>0</v>
      </c>
      <c r="CO315" s="7">
        <v>49.539288172472702</v>
      </c>
      <c r="CP315" s="7">
        <v>100</v>
      </c>
      <c r="CQ315" s="7">
        <v>100</v>
      </c>
      <c r="CR315" s="7">
        <v>17.978842512218101</v>
      </c>
      <c r="CS315" s="7">
        <v>0.29150291969182301</v>
      </c>
      <c r="CT315" s="7">
        <v>4.4439707808787903</v>
      </c>
      <c r="CU315" s="7">
        <v>9.9259974688603201</v>
      </c>
      <c r="CV315" s="7">
        <v>10</v>
      </c>
      <c r="CW315" s="7">
        <v>29.150291969182302</v>
      </c>
      <c r="CX315" s="7">
        <v>100</v>
      </c>
      <c r="CY315" s="7">
        <v>100</v>
      </c>
      <c r="CZ315" s="7">
        <v>100</v>
      </c>
      <c r="DA315" s="9">
        <v>78.530921572851696</v>
      </c>
      <c r="DB315" s="9">
        <v>0</v>
      </c>
      <c r="DC315" s="9">
        <v>0</v>
      </c>
      <c r="DD315" s="9">
        <v>3.8166922000932503E-2</v>
      </c>
      <c r="DE315" s="9">
        <v>0.27562778924931702</v>
      </c>
      <c r="DF315" s="9">
        <v>0</v>
      </c>
      <c r="DG315" s="9">
        <v>0</v>
      </c>
      <c r="DH315" s="9">
        <v>3.8166922000932502</v>
      </c>
      <c r="DI315" s="9">
        <v>27.562778924931699</v>
      </c>
    </row>
    <row r="316" spans="1:113">
      <c r="A316" s="5" t="s">
        <v>610</v>
      </c>
      <c r="B316" s="5" t="s">
        <v>747</v>
      </c>
      <c r="C316" s="5" t="s">
        <v>748</v>
      </c>
      <c r="D316" s="6">
        <v>112079</v>
      </c>
      <c r="E316" s="7">
        <v>9.1912949952466203</v>
      </c>
      <c r="F316" s="7">
        <v>2.4246915122369002</v>
      </c>
      <c r="G316" s="7">
        <v>8.7091872696937003</v>
      </c>
      <c r="H316" s="7">
        <v>9.7828585194371804</v>
      </c>
      <c r="I316" s="7">
        <v>9.9225635489253108</v>
      </c>
      <c r="J316" s="7">
        <v>87.793431418909904</v>
      </c>
      <c r="K316" s="7">
        <v>98.097770322718802</v>
      </c>
      <c r="L316" s="7">
        <v>99.347781475566407</v>
      </c>
      <c r="M316" s="7">
        <v>99.9179150420685</v>
      </c>
      <c r="N316" s="7">
        <v>8.5976105104637899</v>
      </c>
      <c r="O316" s="7">
        <v>5.9147565556437902</v>
      </c>
      <c r="P316" s="7">
        <v>9.4901274993531306</v>
      </c>
      <c r="Q316" s="7">
        <v>9.9951284361923296</v>
      </c>
      <c r="R316" s="7">
        <v>10</v>
      </c>
      <c r="S316" s="7">
        <v>93.117354723007907</v>
      </c>
      <c r="T316" s="7">
        <v>100</v>
      </c>
      <c r="U316" s="7">
        <v>100</v>
      </c>
      <c r="V316" s="7">
        <v>100</v>
      </c>
      <c r="W316" s="7">
        <v>7.0135877472624797</v>
      </c>
      <c r="X316" s="7">
        <v>9.3923393320782704</v>
      </c>
      <c r="Y316" s="7">
        <v>10</v>
      </c>
      <c r="Z316" s="7">
        <v>10</v>
      </c>
      <c r="AA316" s="7">
        <v>10</v>
      </c>
      <c r="AB316" s="7">
        <v>100</v>
      </c>
      <c r="AC316" s="7">
        <v>100</v>
      </c>
      <c r="AD316" s="7">
        <v>100</v>
      </c>
      <c r="AE316" s="7">
        <v>100</v>
      </c>
      <c r="AF316" s="6">
        <v>10.633072817552801</v>
      </c>
      <c r="AG316" s="6">
        <v>2.0540868494544</v>
      </c>
      <c r="AH316" s="6">
        <v>5.7267106237564596</v>
      </c>
      <c r="AI316" s="6">
        <v>7.89138018718939</v>
      </c>
      <c r="AJ316" s="6">
        <v>8.90802915800462</v>
      </c>
      <c r="AK316" s="6">
        <v>84.438654877363305</v>
      </c>
      <c r="AL316" s="6">
        <v>92.971029363216999</v>
      </c>
      <c r="AM316" s="6">
        <v>98.206622114758304</v>
      </c>
      <c r="AN316" s="6">
        <v>99.561916148430996</v>
      </c>
      <c r="AO316" s="6">
        <v>10.3802804169098</v>
      </c>
      <c r="AP316" s="7">
        <v>1.9045048581803901</v>
      </c>
      <c r="AQ316" s="7">
        <v>8.1115195531723199</v>
      </c>
      <c r="AR316" s="7">
        <v>9.8805128525415107</v>
      </c>
      <c r="AS316" s="7">
        <v>9.9532383408131793</v>
      </c>
      <c r="AT316" s="7">
        <v>78.077962865478796</v>
      </c>
      <c r="AU316" s="7">
        <v>99.174689281667398</v>
      </c>
      <c r="AV316" s="7">
        <v>99.514628074840104</v>
      </c>
      <c r="AW316" s="7">
        <v>100</v>
      </c>
      <c r="AX316" s="7">
        <v>9.0652787918050208</v>
      </c>
      <c r="AY316" s="7">
        <v>4.6492652504037304</v>
      </c>
      <c r="AZ316" s="7">
        <v>9.6814568295577192</v>
      </c>
      <c r="BA316" s="7">
        <v>9.9983939899535095</v>
      </c>
      <c r="BB316" s="7">
        <v>10</v>
      </c>
      <c r="BC316" s="7">
        <v>92.955861490555804</v>
      </c>
      <c r="BD316" s="7">
        <v>100</v>
      </c>
      <c r="BE316" s="7">
        <v>100</v>
      </c>
      <c r="BF316" s="7">
        <v>100</v>
      </c>
      <c r="BG316" s="7">
        <v>7.1865689321869901</v>
      </c>
      <c r="BH316" s="7">
        <v>9.5034216936268194</v>
      </c>
      <c r="BI316" s="7">
        <v>10</v>
      </c>
      <c r="BJ316" s="7">
        <v>10</v>
      </c>
      <c r="BK316" s="7">
        <v>10</v>
      </c>
      <c r="BL316" s="7">
        <v>100</v>
      </c>
      <c r="BM316" s="7">
        <v>100</v>
      </c>
      <c r="BN316" s="7">
        <v>100</v>
      </c>
      <c r="BO316" s="7">
        <v>100</v>
      </c>
      <c r="BP316" s="6">
        <v>12.3767357921118</v>
      </c>
      <c r="BQ316" s="6">
        <v>1.5345425994164801</v>
      </c>
      <c r="BR316" s="6">
        <v>4.4756555643786999</v>
      </c>
      <c r="BS316" s="6">
        <v>7.0084672418561897</v>
      </c>
      <c r="BT316" s="6">
        <v>8.3937668965640295</v>
      </c>
      <c r="BU316" s="6">
        <v>71.964417955192303</v>
      </c>
      <c r="BV316" s="6">
        <v>93.044192043112403</v>
      </c>
      <c r="BW316" s="6">
        <v>98.184316419668306</v>
      </c>
      <c r="BX316" s="6">
        <v>99.919699497675794</v>
      </c>
      <c r="BY316" s="6" t="str">
        <f>TRIM(Table1[[#This Row],[LA_Name]])</f>
        <v>Arun</v>
      </c>
      <c r="BZ316" s="7">
        <v>42.870373671561502</v>
      </c>
      <c r="CA316" s="7">
        <v>0</v>
      </c>
      <c r="CB316" s="7">
        <v>6.0350288635694499E-2</v>
      </c>
      <c r="CC316" s="7">
        <v>0.74659838149876401</v>
      </c>
      <c r="CD316" s="7">
        <v>2.3733705689736699</v>
      </c>
      <c r="CE316" s="7">
        <v>0</v>
      </c>
      <c r="CF316" s="7">
        <v>6.0350288635694502</v>
      </c>
      <c r="CG316" s="7">
        <v>61.959867593393902</v>
      </c>
      <c r="CH316" s="7">
        <v>96.725523960777707</v>
      </c>
      <c r="CI316" s="7">
        <v>48.527246627682999</v>
      </c>
      <c r="CJ316" s="7">
        <v>0</v>
      </c>
      <c r="CK316" s="7">
        <v>6.4151179079042497E-3</v>
      </c>
      <c r="CL316" s="7">
        <v>0.45332310245451901</v>
      </c>
      <c r="CM316" s="7">
        <v>0.85744876381837798</v>
      </c>
      <c r="CN316" s="7">
        <v>0</v>
      </c>
      <c r="CO316" s="7">
        <v>0.64151179079042497</v>
      </c>
      <c r="CP316" s="7">
        <v>45.3323102454519</v>
      </c>
      <c r="CQ316" s="7">
        <v>85.744876381837798</v>
      </c>
      <c r="CR316" s="7">
        <v>23.689281372798501</v>
      </c>
      <c r="CS316" s="7">
        <v>0</v>
      </c>
      <c r="CT316" s="7">
        <v>1.2124483623158699</v>
      </c>
      <c r="CU316" s="7">
        <v>5.8833055255667901</v>
      </c>
      <c r="CV316" s="7">
        <v>10</v>
      </c>
      <c r="CW316" s="7">
        <v>0</v>
      </c>
      <c r="CX316" s="7">
        <v>99.665414573648903</v>
      </c>
      <c r="CY316" s="7">
        <v>100</v>
      </c>
      <c r="CZ316" s="7">
        <v>100</v>
      </c>
      <c r="DA316" s="9">
        <v>116.931492670674</v>
      </c>
      <c r="DB316" s="9">
        <v>0</v>
      </c>
      <c r="DC316" s="9">
        <v>0</v>
      </c>
      <c r="DD316" s="9">
        <v>0</v>
      </c>
      <c r="DE316" s="9">
        <v>0</v>
      </c>
      <c r="DF316" s="9">
        <v>0</v>
      </c>
      <c r="DG316" s="9">
        <v>0</v>
      </c>
      <c r="DH316" s="9">
        <v>0</v>
      </c>
      <c r="DI316" s="9">
        <v>0</v>
      </c>
    </row>
    <row r="317" spans="1:113">
      <c r="A317" s="5" t="s">
        <v>610</v>
      </c>
      <c r="B317" s="5" t="s">
        <v>749</v>
      </c>
      <c r="C317" s="5" t="s">
        <v>750</v>
      </c>
      <c r="D317" s="6">
        <v>84640</v>
      </c>
      <c r="E317" s="7">
        <v>13.5449698739383</v>
      </c>
      <c r="F317" s="7">
        <v>1.1364839319470701</v>
      </c>
      <c r="G317" s="7">
        <v>4.84340737240076</v>
      </c>
      <c r="H317" s="7">
        <v>7.5837665406427197</v>
      </c>
      <c r="I317" s="7">
        <v>9.0528473534971603</v>
      </c>
      <c r="J317" s="7">
        <v>63.401465028355403</v>
      </c>
      <c r="K317" s="7">
        <v>94.015831758033997</v>
      </c>
      <c r="L317" s="7">
        <v>97.244801512287296</v>
      </c>
      <c r="M317" s="7">
        <v>98.236058601134204</v>
      </c>
      <c r="N317" s="7">
        <v>12.064293150155899</v>
      </c>
      <c r="O317" s="7">
        <v>2.4526701323251401</v>
      </c>
      <c r="P317" s="7">
        <v>6.1469872400756103</v>
      </c>
      <c r="Q317" s="7">
        <v>7.7754489603024597</v>
      </c>
      <c r="R317" s="7">
        <v>9.7823015122873294</v>
      </c>
      <c r="S317" s="7">
        <v>75.965264650283601</v>
      </c>
      <c r="T317" s="7">
        <v>96.787570888468807</v>
      </c>
      <c r="U317" s="7">
        <v>100</v>
      </c>
      <c r="V317" s="7">
        <v>100</v>
      </c>
      <c r="W317" s="7">
        <v>8.2037031990086895</v>
      </c>
      <c r="X317" s="7">
        <v>5.8892603969754296</v>
      </c>
      <c r="Y317" s="7">
        <v>9.9935727788279802</v>
      </c>
      <c r="Z317" s="7">
        <v>10</v>
      </c>
      <c r="AA317" s="7">
        <v>10</v>
      </c>
      <c r="AB317" s="7">
        <v>97.364130434782595</v>
      </c>
      <c r="AC317" s="7">
        <v>100</v>
      </c>
      <c r="AD317" s="7">
        <v>100</v>
      </c>
      <c r="AE317" s="7">
        <v>100</v>
      </c>
      <c r="AF317" s="6">
        <v>22.010734535474398</v>
      </c>
      <c r="AG317" s="6">
        <v>0.89412807183364795</v>
      </c>
      <c r="AH317" s="6">
        <v>2.3431828922495299</v>
      </c>
      <c r="AI317" s="6">
        <v>3.7892249527410198</v>
      </c>
      <c r="AJ317" s="6">
        <v>4.9709357277882802</v>
      </c>
      <c r="AK317" s="6">
        <v>57.095935727788302</v>
      </c>
      <c r="AL317" s="6">
        <v>76.288988657844996</v>
      </c>
      <c r="AM317" s="6">
        <v>84.056001890359198</v>
      </c>
      <c r="AN317" s="6">
        <v>89.198960302457493</v>
      </c>
      <c r="AO317" s="6">
        <v>12.581715978958799</v>
      </c>
      <c r="AP317" s="7">
        <v>1.14254489603025</v>
      </c>
      <c r="AQ317" s="7">
        <v>5.5128189981096396</v>
      </c>
      <c r="AR317" s="7">
        <v>8.5686672967863906</v>
      </c>
      <c r="AS317" s="7">
        <v>9.4816871455576592</v>
      </c>
      <c r="AT317" s="7">
        <v>70.370982986767501</v>
      </c>
      <c r="AU317" s="7">
        <v>95.037807183364805</v>
      </c>
      <c r="AV317" s="7">
        <v>98.590500945179599</v>
      </c>
      <c r="AW317" s="7">
        <v>99.271030245746701</v>
      </c>
      <c r="AX317" s="7">
        <v>10.694021026291599</v>
      </c>
      <c r="AY317" s="7">
        <v>2.5463019848771302</v>
      </c>
      <c r="AZ317" s="7">
        <v>6.5328922495274098</v>
      </c>
      <c r="BA317" s="7">
        <v>8.6167178638941397</v>
      </c>
      <c r="BB317" s="7">
        <v>9.9905718336483904</v>
      </c>
      <c r="BC317" s="7">
        <v>84.000472589792096</v>
      </c>
      <c r="BD317" s="7">
        <v>97.856805293005706</v>
      </c>
      <c r="BE317" s="7">
        <v>100</v>
      </c>
      <c r="BF317" s="7">
        <v>100</v>
      </c>
      <c r="BG317" s="7">
        <v>7.6974762572852304</v>
      </c>
      <c r="BH317" s="7">
        <v>6.5501299621928197</v>
      </c>
      <c r="BI317" s="7">
        <v>10</v>
      </c>
      <c r="BJ317" s="7">
        <v>10</v>
      </c>
      <c r="BK317" s="7">
        <v>10</v>
      </c>
      <c r="BL317" s="7">
        <v>98.392013232514202</v>
      </c>
      <c r="BM317" s="7">
        <v>100</v>
      </c>
      <c r="BN317" s="7">
        <v>100</v>
      </c>
      <c r="BO317" s="7">
        <v>100</v>
      </c>
      <c r="BP317" s="6">
        <v>17.539235189042301</v>
      </c>
      <c r="BQ317" s="6">
        <v>0.98825614366729697</v>
      </c>
      <c r="BR317" s="6">
        <v>2.4626417769376201</v>
      </c>
      <c r="BS317" s="6">
        <v>3.9642131379962202</v>
      </c>
      <c r="BT317" s="6">
        <v>5.1932301512287298</v>
      </c>
      <c r="BU317" s="6">
        <v>65.502126654064298</v>
      </c>
      <c r="BV317" s="6">
        <v>82.941871455576603</v>
      </c>
      <c r="BW317" s="6">
        <v>90.811672967863899</v>
      </c>
      <c r="BX317" s="6">
        <v>96.1212192816635</v>
      </c>
      <c r="BY317" s="6" t="str">
        <f>TRIM(Table1[[#This Row],[LA_Name]])</f>
        <v>Chichester</v>
      </c>
      <c r="BZ317" s="7">
        <v>39.779974114655403</v>
      </c>
      <c r="CA317" s="7">
        <v>0.14146975425330799</v>
      </c>
      <c r="CB317" s="7">
        <v>0.55986531190926303</v>
      </c>
      <c r="CC317" s="7">
        <v>1.4975425330812899</v>
      </c>
      <c r="CD317" s="7">
        <v>3.3203449905481999</v>
      </c>
      <c r="CE317" s="7">
        <v>14.146975425330799</v>
      </c>
      <c r="CF317" s="7">
        <v>46.272448015122897</v>
      </c>
      <c r="CG317" s="7">
        <v>69.580576559546301</v>
      </c>
      <c r="CH317" s="7">
        <v>84.7518903591682</v>
      </c>
      <c r="CI317" s="7">
        <v>42.920744834043099</v>
      </c>
      <c r="CJ317" s="7">
        <v>0.266635160680529</v>
      </c>
      <c r="CK317" s="7">
        <v>0.55725425330812906</v>
      </c>
      <c r="CL317" s="7">
        <v>0.75821124763705094</v>
      </c>
      <c r="CM317" s="7">
        <v>1.2374054820415901</v>
      </c>
      <c r="CN317" s="7">
        <v>26.6635160680529</v>
      </c>
      <c r="CO317" s="7">
        <v>49.248582230623803</v>
      </c>
      <c r="CP317" s="7">
        <v>57.542533081285399</v>
      </c>
      <c r="CQ317" s="7">
        <v>71.859640831758</v>
      </c>
      <c r="CR317" s="7">
        <v>19.2790920596943</v>
      </c>
      <c r="CS317" s="7">
        <v>0.45581285444234398</v>
      </c>
      <c r="CT317" s="7">
        <v>3.4533672022684301</v>
      </c>
      <c r="CU317" s="7">
        <v>8.4006616257088904</v>
      </c>
      <c r="CV317" s="7">
        <v>10</v>
      </c>
      <c r="CW317" s="7">
        <v>42.681947069943298</v>
      </c>
      <c r="CX317" s="7">
        <v>83.543241965973493</v>
      </c>
      <c r="CY317" s="7">
        <v>100</v>
      </c>
      <c r="CZ317" s="7">
        <v>100</v>
      </c>
      <c r="DA317" s="9">
        <v>77.812947744793107</v>
      </c>
      <c r="DB317" s="9">
        <v>8.1226370510396995E-2</v>
      </c>
      <c r="DC317" s="9">
        <v>0.25997164461247602</v>
      </c>
      <c r="DD317" s="9">
        <v>0.30805765595463103</v>
      </c>
      <c r="DE317" s="9">
        <v>0.369754253308129</v>
      </c>
      <c r="DF317" s="9">
        <v>8.1226370510396997</v>
      </c>
      <c r="DG317" s="9">
        <v>25.9971644612476</v>
      </c>
      <c r="DH317" s="9">
        <v>30.8057655954631</v>
      </c>
      <c r="DI317" s="9">
        <v>35.5730151228734</v>
      </c>
    </row>
    <row r="318" spans="1:113">
      <c r="A318" s="5" t="s">
        <v>610</v>
      </c>
      <c r="B318" s="5" t="s">
        <v>751</v>
      </c>
      <c r="C318" s="5" t="s">
        <v>752</v>
      </c>
      <c r="D318" s="6">
        <v>80780</v>
      </c>
      <c r="E318" s="7">
        <v>7.5949711604308998</v>
      </c>
      <c r="F318" s="7">
        <v>3.2506065857885602</v>
      </c>
      <c r="G318" s="7">
        <v>9.7577865808368394</v>
      </c>
      <c r="H318" s="7">
        <v>10</v>
      </c>
      <c r="I318" s="7">
        <v>10</v>
      </c>
      <c r="J318" s="7">
        <v>96.829660807130495</v>
      </c>
      <c r="K318" s="7">
        <v>100</v>
      </c>
      <c r="L318" s="7">
        <v>100</v>
      </c>
      <c r="M318" s="7">
        <v>100</v>
      </c>
      <c r="N318" s="7">
        <v>7.8961648797422201</v>
      </c>
      <c r="O318" s="7">
        <v>7.65935875216638</v>
      </c>
      <c r="P318" s="7">
        <v>10</v>
      </c>
      <c r="Q318" s="7">
        <v>10</v>
      </c>
      <c r="R318" s="7">
        <v>10</v>
      </c>
      <c r="S318" s="7">
        <v>100</v>
      </c>
      <c r="T318" s="7">
        <v>100</v>
      </c>
      <c r="U318" s="7">
        <v>100</v>
      </c>
      <c r="V318" s="7">
        <v>100</v>
      </c>
      <c r="W318" s="7">
        <v>6.8216185903454702</v>
      </c>
      <c r="X318" s="7">
        <v>10</v>
      </c>
      <c r="Y318" s="7">
        <v>10</v>
      </c>
      <c r="Z318" s="7">
        <v>10</v>
      </c>
      <c r="AA318" s="7">
        <v>10</v>
      </c>
      <c r="AB318" s="7">
        <v>100</v>
      </c>
      <c r="AC318" s="7">
        <v>100</v>
      </c>
      <c r="AD318" s="7">
        <v>100</v>
      </c>
      <c r="AE318" s="7">
        <v>100</v>
      </c>
      <c r="AF318" s="6">
        <v>7.8316909086840001</v>
      </c>
      <c r="AG318" s="6">
        <v>2.4788685318148098</v>
      </c>
      <c r="AH318" s="6">
        <v>7.9054964100024803</v>
      </c>
      <c r="AI318" s="6">
        <v>9.8628373359742501</v>
      </c>
      <c r="AJ318" s="6">
        <v>10</v>
      </c>
      <c r="AK318" s="6">
        <v>91.9398365932161</v>
      </c>
      <c r="AL318" s="6">
        <v>99.712800198068805</v>
      </c>
      <c r="AM318" s="6">
        <v>100</v>
      </c>
      <c r="AN318" s="6">
        <v>100</v>
      </c>
      <c r="AO318" s="6">
        <v>11.6296163603593</v>
      </c>
      <c r="AP318" s="7">
        <v>1.4256746719485001</v>
      </c>
      <c r="AQ318" s="7">
        <v>8.5351076999257192</v>
      </c>
      <c r="AR318" s="7">
        <v>10</v>
      </c>
      <c r="AS318" s="7">
        <v>10</v>
      </c>
      <c r="AT318" s="7">
        <v>71.593216142609606</v>
      </c>
      <c r="AU318" s="7">
        <v>100</v>
      </c>
      <c r="AV318" s="7">
        <v>100</v>
      </c>
      <c r="AW318" s="7">
        <v>100</v>
      </c>
      <c r="AX318" s="7">
        <v>9.8996450788226902</v>
      </c>
      <c r="AY318" s="7">
        <v>4.5351448378311501</v>
      </c>
      <c r="AZ318" s="7">
        <v>10</v>
      </c>
      <c r="BA318" s="7">
        <v>10</v>
      </c>
      <c r="BB318" s="7">
        <v>10</v>
      </c>
      <c r="BC318" s="7">
        <v>92.713542956177307</v>
      </c>
      <c r="BD318" s="7">
        <v>100</v>
      </c>
      <c r="BE318" s="7">
        <v>100</v>
      </c>
      <c r="BF318" s="7">
        <v>100</v>
      </c>
      <c r="BG318" s="7">
        <v>7.8199431593862601</v>
      </c>
      <c r="BH318" s="7">
        <v>9.7974746224313005</v>
      </c>
      <c r="BI318" s="7">
        <v>10</v>
      </c>
      <c r="BJ318" s="7">
        <v>10</v>
      </c>
      <c r="BK318" s="7">
        <v>10</v>
      </c>
      <c r="BL318" s="7">
        <v>100</v>
      </c>
      <c r="BM318" s="7">
        <v>100</v>
      </c>
      <c r="BN318" s="7">
        <v>100</v>
      </c>
      <c r="BO318" s="7">
        <v>100</v>
      </c>
      <c r="BP318" s="6">
        <v>14.026214881840099</v>
      </c>
      <c r="BQ318" s="6">
        <v>1.1200544689279499</v>
      </c>
      <c r="BR318" s="6">
        <v>4.5390071799950498</v>
      </c>
      <c r="BS318" s="6">
        <v>8.10422134191632</v>
      </c>
      <c r="BT318" s="6">
        <v>9.5989972765536002</v>
      </c>
      <c r="BU318" s="6">
        <v>62.3025501361723</v>
      </c>
      <c r="BV318" s="6">
        <v>92.805149789551905</v>
      </c>
      <c r="BW318" s="6">
        <v>100</v>
      </c>
      <c r="BX318" s="6">
        <v>100</v>
      </c>
      <c r="BY318" s="6" t="str">
        <f>TRIM(Table1[[#This Row],[LA_Name]])</f>
        <v>Crawley</v>
      </c>
      <c r="BZ318" s="7">
        <v>20.656233316726301</v>
      </c>
      <c r="CA318" s="7">
        <v>0.34429314186679899</v>
      </c>
      <c r="CB318" s="7">
        <v>2.4373359742510501</v>
      </c>
      <c r="CC318" s="7">
        <v>4.5271973260708096</v>
      </c>
      <c r="CD318" s="7">
        <v>7.7834241148799199</v>
      </c>
      <c r="CE318" s="7">
        <v>23.589997524139601</v>
      </c>
      <c r="CF318" s="7">
        <v>87.790294627383005</v>
      </c>
      <c r="CG318" s="7">
        <v>100</v>
      </c>
      <c r="CH318" s="7">
        <v>100</v>
      </c>
      <c r="CI318" s="7">
        <v>14.033067032139201</v>
      </c>
      <c r="CJ318" s="7">
        <v>1.2403441445902501</v>
      </c>
      <c r="CK318" s="7">
        <v>3.9971280019806898</v>
      </c>
      <c r="CL318" s="7">
        <v>4.0593339935627597</v>
      </c>
      <c r="CM318" s="7">
        <v>5.2419534538252002</v>
      </c>
      <c r="CN318" s="7">
        <v>55.220351572171303</v>
      </c>
      <c r="CO318" s="7">
        <v>100</v>
      </c>
      <c r="CP318" s="7">
        <v>100</v>
      </c>
      <c r="CQ318" s="7">
        <v>100</v>
      </c>
      <c r="CR318" s="7">
        <v>10.1332807526609</v>
      </c>
      <c r="CS318" s="7">
        <v>3.5240529834117398</v>
      </c>
      <c r="CT318" s="7">
        <v>6.0282743253280504</v>
      </c>
      <c r="CU318" s="7">
        <v>7.90984154493687</v>
      </c>
      <c r="CV318" s="7">
        <v>10</v>
      </c>
      <c r="CW318" s="7">
        <v>98.148056449616206</v>
      </c>
      <c r="CX318" s="7">
        <v>100</v>
      </c>
      <c r="CY318" s="7">
        <v>100</v>
      </c>
      <c r="CZ318" s="7">
        <v>100</v>
      </c>
      <c r="DA318" s="9">
        <v>27.266707304032298</v>
      </c>
      <c r="DB318" s="9">
        <v>0.28945283486011403</v>
      </c>
      <c r="DC318" s="9">
        <v>1.1624164397128001</v>
      </c>
      <c r="DD318" s="9">
        <v>2.4467937608318899</v>
      </c>
      <c r="DE318" s="9">
        <v>3.76162416439713</v>
      </c>
      <c r="DF318" s="9">
        <v>20.498885862837302</v>
      </c>
      <c r="DG318" s="9">
        <v>54.770982916563497</v>
      </c>
      <c r="DH318" s="9">
        <v>90.807130477841</v>
      </c>
      <c r="DI318" s="9">
        <v>99.712800198068805</v>
      </c>
    </row>
    <row r="319" spans="1:113">
      <c r="A319" s="5" t="s">
        <v>610</v>
      </c>
      <c r="B319" s="5" t="s">
        <v>753</v>
      </c>
      <c r="C319" s="5" t="s">
        <v>754</v>
      </c>
      <c r="D319" s="6">
        <v>102002</v>
      </c>
      <c r="E319" s="7">
        <v>12.375375373798001</v>
      </c>
      <c r="F319" s="7">
        <v>1.7669653536205201</v>
      </c>
      <c r="G319" s="7">
        <v>6.3023568165330097</v>
      </c>
      <c r="H319" s="7">
        <v>9.0956745946157902</v>
      </c>
      <c r="I319" s="7">
        <v>9.5263426207329296</v>
      </c>
      <c r="J319" s="7">
        <v>74.278935707143006</v>
      </c>
      <c r="K319" s="7">
        <v>92.896217721221106</v>
      </c>
      <c r="L319" s="7">
        <v>97.750044116781993</v>
      </c>
      <c r="M319" s="7">
        <v>98.540224701476404</v>
      </c>
      <c r="N319" s="7">
        <v>10.0994086420767</v>
      </c>
      <c r="O319" s="7">
        <v>3.7798278465128101</v>
      </c>
      <c r="P319" s="7">
        <v>6.8711299778435704</v>
      </c>
      <c r="Q319" s="7">
        <v>9.6423403462677193</v>
      </c>
      <c r="R319" s="7">
        <v>10</v>
      </c>
      <c r="S319" s="7">
        <v>84.273837767886903</v>
      </c>
      <c r="T319" s="7">
        <v>100</v>
      </c>
      <c r="U319" s="7">
        <v>100</v>
      </c>
      <c r="V319" s="7">
        <v>100</v>
      </c>
      <c r="W319" s="7">
        <v>7.5022431863401202</v>
      </c>
      <c r="X319" s="7">
        <v>6.9097664751671504</v>
      </c>
      <c r="Y319" s="7">
        <v>10</v>
      </c>
      <c r="Z319" s="7">
        <v>10</v>
      </c>
      <c r="AA319" s="7">
        <v>10</v>
      </c>
      <c r="AB319" s="7">
        <v>99.484323836787496</v>
      </c>
      <c r="AC319" s="7">
        <v>100</v>
      </c>
      <c r="AD319" s="7">
        <v>100</v>
      </c>
      <c r="AE319" s="7">
        <v>100</v>
      </c>
      <c r="AF319" s="6">
        <v>15.3276044838596</v>
      </c>
      <c r="AG319" s="6">
        <v>1.4897060841944301</v>
      </c>
      <c r="AH319" s="6">
        <v>3.6990941354091098</v>
      </c>
      <c r="AI319" s="6">
        <v>4.9148055920472196</v>
      </c>
      <c r="AJ319" s="6">
        <v>5.6680457245936404</v>
      </c>
      <c r="AK319" s="6">
        <v>70.813317385933601</v>
      </c>
      <c r="AL319" s="6">
        <v>83.116997705927304</v>
      </c>
      <c r="AM319" s="6">
        <v>91.583498362777206</v>
      </c>
      <c r="AN319" s="6">
        <v>96.789278641595303</v>
      </c>
      <c r="AO319" s="6">
        <v>13.054010461497301</v>
      </c>
      <c r="AP319" s="7">
        <v>1.0402050940177601</v>
      </c>
      <c r="AQ319" s="7">
        <v>5.2614262465441897</v>
      </c>
      <c r="AR319" s="7">
        <v>9.0162545832434695</v>
      </c>
      <c r="AS319" s="7">
        <v>9.4970588811984094</v>
      </c>
      <c r="AT319" s="7">
        <v>68.445716750651997</v>
      </c>
      <c r="AU319" s="7">
        <v>94.276582812101694</v>
      </c>
      <c r="AV319" s="7">
        <v>97.895139310993898</v>
      </c>
      <c r="AW319" s="7">
        <v>99.349032371914305</v>
      </c>
      <c r="AX319" s="7">
        <v>10.243520529760399</v>
      </c>
      <c r="AY319" s="7">
        <v>2.1524283837571798</v>
      </c>
      <c r="AZ319" s="7">
        <v>6.8179055312640902</v>
      </c>
      <c r="BA319" s="7">
        <v>9.7605831258210607</v>
      </c>
      <c r="BB319" s="7">
        <v>10</v>
      </c>
      <c r="BC319" s="7">
        <v>88.277680829787698</v>
      </c>
      <c r="BD319" s="7">
        <v>100</v>
      </c>
      <c r="BE319" s="7">
        <v>100</v>
      </c>
      <c r="BF319" s="7">
        <v>100</v>
      </c>
      <c r="BG319" s="7">
        <v>7.6599147055995704</v>
      </c>
      <c r="BH319" s="7">
        <v>6.7973765220289799</v>
      </c>
      <c r="BI319" s="7">
        <v>10</v>
      </c>
      <c r="BJ319" s="7">
        <v>10</v>
      </c>
      <c r="BK319" s="7">
        <v>10</v>
      </c>
      <c r="BL319" s="7">
        <v>100</v>
      </c>
      <c r="BM319" s="7">
        <v>100</v>
      </c>
      <c r="BN319" s="7">
        <v>100</v>
      </c>
      <c r="BO319" s="7">
        <v>100</v>
      </c>
      <c r="BP319" s="6">
        <v>15.9056188969427</v>
      </c>
      <c r="BQ319" s="6">
        <v>0.80684692457010598</v>
      </c>
      <c r="BR319" s="6">
        <v>2.0467539852159802</v>
      </c>
      <c r="BS319" s="6">
        <v>3.4837846316738901</v>
      </c>
      <c r="BT319" s="6">
        <v>5.0237152212701703</v>
      </c>
      <c r="BU319" s="6">
        <v>59.532166035960103</v>
      </c>
      <c r="BV319" s="6">
        <v>88.855120487833602</v>
      </c>
      <c r="BW319" s="6">
        <v>95.020685868904494</v>
      </c>
      <c r="BX319" s="6">
        <v>99.144134428736706</v>
      </c>
      <c r="BY319" s="6" t="str">
        <f>TRIM(Table1[[#This Row],[LA_Name]])</f>
        <v>Horsham</v>
      </c>
      <c r="BZ319" s="7">
        <v>36.767426995417097</v>
      </c>
      <c r="CA319" s="7">
        <v>7.2537793376600504E-2</v>
      </c>
      <c r="CB319" s="7">
        <v>0.52034273837767897</v>
      </c>
      <c r="CC319" s="7">
        <v>1.37462010548813</v>
      </c>
      <c r="CD319" s="7">
        <v>3.22729946471638</v>
      </c>
      <c r="CE319" s="7">
        <v>7.2537793376600499</v>
      </c>
      <c r="CF319" s="7">
        <v>51.343110919393702</v>
      </c>
      <c r="CG319" s="7">
        <v>68.818258465520302</v>
      </c>
      <c r="CH319" s="7">
        <v>88.232583674829897</v>
      </c>
      <c r="CI319" s="7">
        <v>35.588496845522698</v>
      </c>
      <c r="CJ319" s="7">
        <v>0.223358365522245</v>
      </c>
      <c r="CK319" s="7">
        <v>0.55672437795337304</v>
      </c>
      <c r="CL319" s="7">
        <v>0.85976745554008704</v>
      </c>
      <c r="CM319" s="7">
        <v>2.28461206643007</v>
      </c>
      <c r="CN319" s="7">
        <v>22.335836552224499</v>
      </c>
      <c r="CO319" s="7">
        <v>54.197956902805799</v>
      </c>
      <c r="CP319" s="7">
        <v>59.511578204348901</v>
      </c>
      <c r="CQ319" s="7">
        <v>78.911197819650596</v>
      </c>
      <c r="CR319" s="7">
        <v>16.860387957752199</v>
      </c>
      <c r="CS319" s="7">
        <v>0.53702868571204498</v>
      </c>
      <c r="CT319" s="7">
        <v>2.4547557891021698</v>
      </c>
      <c r="CU319" s="7">
        <v>8.0934589517852604</v>
      </c>
      <c r="CV319" s="7">
        <v>10</v>
      </c>
      <c r="CW319" s="7">
        <v>52.228387678673002</v>
      </c>
      <c r="CX319" s="7">
        <v>98.283366992804105</v>
      </c>
      <c r="CY319" s="7">
        <v>100</v>
      </c>
      <c r="CZ319" s="7">
        <v>100</v>
      </c>
      <c r="DA319" s="9">
        <v>73.846952524875405</v>
      </c>
      <c r="DB319" s="9">
        <v>6.07929256289092E-2</v>
      </c>
      <c r="DC319" s="9">
        <v>0.20549597066724201</v>
      </c>
      <c r="DD319" s="9">
        <v>0.366257524362267</v>
      </c>
      <c r="DE319" s="9">
        <v>0.50490186466931997</v>
      </c>
      <c r="DF319" s="9">
        <v>6.0792925628909202</v>
      </c>
      <c r="DG319" s="9">
        <v>20.5495970667242</v>
      </c>
      <c r="DH319" s="9">
        <v>36.313993843257997</v>
      </c>
      <c r="DI319" s="9">
        <v>49.015705574400499</v>
      </c>
    </row>
    <row r="320" spans="1:113">
      <c r="A320" s="5" t="s">
        <v>610</v>
      </c>
      <c r="B320" s="5" t="s">
        <v>755</v>
      </c>
      <c r="C320" s="5" t="s">
        <v>756</v>
      </c>
      <c r="D320" s="6">
        <v>106596</v>
      </c>
      <c r="E320" s="7">
        <v>9.7296792465757704</v>
      </c>
      <c r="F320" s="7">
        <v>2.3275545048594699</v>
      </c>
      <c r="G320" s="7">
        <v>8.3324984051934408</v>
      </c>
      <c r="H320" s="7">
        <v>9.7987072685654208</v>
      </c>
      <c r="I320" s="7">
        <v>9.9289842020338508</v>
      </c>
      <c r="J320" s="7">
        <v>83.561296859169204</v>
      </c>
      <c r="K320" s="7">
        <v>97.671582423355503</v>
      </c>
      <c r="L320" s="7">
        <v>99.3386243386243</v>
      </c>
      <c r="M320" s="7">
        <v>99.781417689219097</v>
      </c>
      <c r="N320" s="7">
        <v>9.3661937648670595</v>
      </c>
      <c r="O320" s="7">
        <v>5.1017298960561401</v>
      </c>
      <c r="P320" s="7">
        <v>9.2298960561371892</v>
      </c>
      <c r="Q320" s="7">
        <v>10</v>
      </c>
      <c r="R320" s="7">
        <v>10</v>
      </c>
      <c r="S320" s="7">
        <v>90.776389357949597</v>
      </c>
      <c r="T320" s="7">
        <v>99.3583248902398</v>
      </c>
      <c r="U320" s="7">
        <v>100</v>
      </c>
      <c r="V320" s="7">
        <v>100</v>
      </c>
      <c r="W320" s="7">
        <v>7.2607593932130898</v>
      </c>
      <c r="X320" s="7">
        <v>9.1465345791586898</v>
      </c>
      <c r="Y320" s="7">
        <v>10</v>
      </c>
      <c r="Z320" s="7">
        <v>10</v>
      </c>
      <c r="AA320" s="7">
        <v>10</v>
      </c>
      <c r="AB320" s="7">
        <v>99.109722691282997</v>
      </c>
      <c r="AC320" s="7">
        <v>100</v>
      </c>
      <c r="AD320" s="7">
        <v>100</v>
      </c>
      <c r="AE320" s="7">
        <v>100</v>
      </c>
      <c r="AF320" s="6">
        <v>12.7792075530571</v>
      </c>
      <c r="AG320" s="6">
        <v>1.8049082517167601</v>
      </c>
      <c r="AH320" s="6">
        <v>5.0937089571841296</v>
      </c>
      <c r="AI320" s="6">
        <v>7.4074167886224602</v>
      </c>
      <c r="AJ320" s="6">
        <v>8.4891084093211795</v>
      </c>
      <c r="AK320" s="6">
        <v>80.999287027655797</v>
      </c>
      <c r="AL320" s="6">
        <v>90.782956208488102</v>
      </c>
      <c r="AM320" s="6">
        <v>93.743667679837898</v>
      </c>
      <c r="AN320" s="6">
        <v>96.718450973770103</v>
      </c>
      <c r="AO320" s="6">
        <v>11.5247831039435</v>
      </c>
      <c r="AP320" s="7">
        <v>1.6382697286952601</v>
      </c>
      <c r="AQ320" s="7">
        <v>7.7519512927314302</v>
      </c>
      <c r="AR320" s="7">
        <v>9.8324327366880606</v>
      </c>
      <c r="AS320" s="7">
        <v>9.9592010957259198</v>
      </c>
      <c r="AT320" s="7">
        <v>75.136027618297106</v>
      </c>
      <c r="AU320" s="7">
        <v>98.859244249315196</v>
      </c>
      <c r="AV320" s="7">
        <v>99.704491725768307</v>
      </c>
      <c r="AW320" s="7">
        <v>99.781417689219097</v>
      </c>
      <c r="AX320" s="7">
        <v>9.8385555672150797</v>
      </c>
      <c r="AY320" s="7">
        <v>3.48240084055687</v>
      </c>
      <c r="AZ320" s="7">
        <v>9.2806765732297691</v>
      </c>
      <c r="BA320" s="7">
        <v>10</v>
      </c>
      <c r="BB320" s="7">
        <v>10</v>
      </c>
      <c r="BC320" s="7">
        <v>91.513752861270603</v>
      </c>
      <c r="BD320" s="7">
        <v>100</v>
      </c>
      <c r="BE320" s="7">
        <v>100</v>
      </c>
      <c r="BF320" s="7">
        <v>100</v>
      </c>
      <c r="BG320" s="7">
        <v>7.5665940446314002</v>
      </c>
      <c r="BH320" s="7">
        <v>8.7320162107396193</v>
      </c>
      <c r="BI320" s="7">
        <v>10</v>
      </c>
      <c r="BJ320" s="7">
        <v>10</v>
      </c>
      <c r="BK320" s="7">
        <v>10</v>
      </c>
      <c r="BL320" s="7">
        <v>99.771098352658598</v>
      </c>
      <c r="BM320" s="7">
        <v>100</v>
      </c>
      <c r="BN320" s="7">
        <v>100</v>
      </c>
      <c r="BO320" s="7">
        <v>100</v>
      </c>
      <c r="BP320" s="6">
        <v>14.514974400381501</v>
      </c>
      <c r="BQ320" s="6">
        <v>1.16216368344028</v>
      </c>
      <c r="BR320" s="6">
        <v>3.57711358775189</v>
      </c>
      <c r="BS320" s="6">
        <v>5.5981368906900801</v>
      </c>
      <c r="BT320" s="6">
        <v>7.5155728169912601</v>
      </c>
      <c r="BU320" s="6">
        <v>63.600885586701203</v>
      </c>
      <c r="BV320" s="6">
        <v>90.920860069796205</v>
      </c>
      <c r="BW320" s="6">
        <v>97.482081879245001</v>
      </c>
      <c r="BX320" s="6">
        <v>97.658448722278493</v>
      </c>
      <c r="BY320" s="6" t="str">
        <f>TRIM(Table1[[#This Row],[LA_Name]])</f>
        <v>Mid Sussex</v>
      </c>
      <c r="BZ320" s="7">
        <v>45.463740096091698</v>
      </c>
      <c r="CA320" s="7">
        <v>0</v>
      </c>
      <c r="CB320" s="7">
        <v>8.6532327667079398E-2</v>
      </c>
      <c r="CC320" s="7">
        <v>1.43915343915344</v>
      </c>
      <c r="CD320" s="7">
        <v>4.7270535479755296</v>
      </c>
      <c r="CE320" s="7">
        <v>0</v>
      </c>
      <c r="CF320" s="7">
        <v>5.15216330819168</v>
      </c>
      <c r="CG320" s="7">
        <v>52.424105970205297</v>
      </c>
      <c r="CH320" s="7">
        <v>91.198544035423495</v>
      </c>
      <c r="CI320" s="7">
        <v>59.919485007528003</v>
      </c>
      <c r="CJ320" s="7">
        <v>0</v>
      </c>
      <c r="CK320" s="7">
        <v>0.13053022627490701</v>
      </c>
      <c r="CL320" s="7">
        <v>0.44551390296071097</v>
      </c>
      <c r="CM320" s="7">
        <v>1.3855585575443701</v>
      </c>
      <c r="CN320" s="7">
        <v>0</v>
      </c>
      <c r="CO320" s="7">
        <v>4.5142406844534504</v>
      </c>
      <c r="CP320" s="7">
        <v>12.4976546962363</v>
      </c>
      <c r="CQ320" s="7">
        <v>40.3579871664978</v>
      </c>
      <c r="CR320" s="7">
        <v>26.2834053713053</v>
      </c>
      <c r="CS320" s="7">
        <v>3.08829599609741E-2</v>
      </c>
      <c r="CT320" s="7">
        <v>3.0930428909152301</v>
      </c>
      <c r="CU320" s="7">
        <v>9.5649367706105295</v>
      </c>
      <c r="CV320" s="7">
        <v>10</v>
      </c>
      <c r="CW320" s="7">
        <v>2.0891965927426899</v>
      </c>
      <c r="CX320" s="7">
        <v>82.629742204210302</v>
      </c>
      <c r="CY320" s="7">
        <v>100</v>
      </c>
      <c r="CZ320" s="7">
        <v>100</v>
      </c>
      <c r="DA320" s="9">
        <v>116.146035507994</v>
      </c>
      <c r="DB320" s="9">
        <v>0</v>
      </c>
      <c r="DC320" s="9">
        <v>0</v>
      </c>
      <c r="DD320" s="9">
        <v>6.9890052159555698E-3</v>
      </c>
      <c r="DE320" s="9">
        <v>8.79957972156554E-3</v>
      </c>
      <c r="DF320" s="9">
        <v>0</v>
      </c>
      <c r="DG320" s="9">
        <v>0</v>
      </c>
      <c r="DH320" s="9">
        <v>0.69890052159555704</v>
      </c>
      <c r="DI320" s="9">
        <v>0.87995797215655402</v>
      </c>
    </row>
    <row r="321" spans="1:113">
      <c r="A321" s="5" t="s">
        <v>610</v>
      </c>
      <c r="B321" s="5" t="s">
        <v>757</v>
      </c>
      <c r="C321" s="5" t="s">
        <v>758</v>
      </c>
      <c r="D321" s="6">
        <v>78542</v>
      </c>
      <c r="E321" s="7">
        <v>6.9601661407042004</v>
      </c>
      <c r="F321" s="7">
        <v>4.0520358534287402</v>
      </c>
      <c r="G321" s="7">
        <v>9.9811693106872799</v>
      </c>
      <c r="H321" s="7">
        <v>10</v>
      </c>
      <c r="I321" s="7">
        <v>10</v>
      </c>
      <c r="J321" s="7">
        <v>98.721703037865097</v>
      </c>
      <c r="K321" s="7">
        <v>100</v>
      </c>
      <c r="L321" s="7">
        <v>100</v>
      </c>
      <c r="M321" s="7">
        <v>100</v>
      </c>
      <c r="N321" s="7">
        <v>7.38288366861065</v>
      </c>
      <c r="O321" s="7">
        <v>9.2089964604924806</v>
      </c>
      <c r="P321" s="7">
        <v>10</v>
      </c>
      <c r="Q321" s="7">
        <v>10</v>
      </c>
      <c r="R321" s="7">
        <v>10</v>
      </c>
      <c r="S321" s="7">
        <v>100</v>
      </c>
      <c r="T321" s="7">
        <v>100</v>
      </c>
      <c r="U321" s="7">
        <v>100</v>
      </c>
      <c r="V321" s="7">
        <v>100</v>
      </c>
      <c r="W321" s="7">
        <v>6.5442319866874596</v>
      </c>
      <c r="X321" s="7">
        <v>10</v>
      </c>
      <c r="Y321" s="7">
        <v>10</v>
      </c>
      <c r="Z321" s="7">
        <v>10</v>
      </c>
      <c r="AA321" s="7">
        <v>10</v>
      </c>
      <c r="AB321" s="7">
        <v>100</v>
      </c>
      <c r="AC321" s="7">
        <v>100</v>
      </c>
      <c r="AD321" s="7">
        <v>100</v>
      </c>
      <c r="AE321" s="7">
        <v>100</v>
      </c>
      <c r="AF321" s="6">
        <v>7.0270054097440298</v>
      </c>
      <c r="AG321" s="6">
        <v>3.34058210893535</v>
      </c>
      <c r="AH321" s="6">
        <v>9.03867994194189</v>
      </c>
      <c r="AI321" s="6">
        <v>9.9980647296987595</v>
      </c>
      <c r="AJ321" s="6">
        <v>10</v>
      </c>
      <c r="AK321" s="6">
        <v>96.459219271217904</v>
      </c>
      <c r="AL321" s="6">
        <v>100</v>
      </c>
      <c r="AM321" s="6">
        <v>100</v>
      </c>
      <c r="AN321" s="6">
        <v>100</v>
      </c>
      <c r="AO321" s="6">
        <v>7.4947372176981899</v>
      </c>
      <c r="AP321" s="7">
        <v>3.7132998905044401</v>
      </c>
      <c r="AQ321" s="7">
        <v>9.8376792034834892</v>
      </c>
      <c r="AR321" s="7">
        <v>10</v>
      </c>
      <c r="AS321" s="7">
        <v>10</v>
      </c>
      <c r="AT321" s="7">
        <v>93.372972422398206</v>
      </c>
      <c r="AU321" s="7">
        <v>100</v>
      </c>
      <c r="AV321" s="7">
        <v>100</v>
      </c>
      <c r="AW321" s="7">
        <v>100</v>
      </c>
      <c r="AX321" s="7">
        <v>7.5839858963292199</v>
      </c>
      <c r="AY321" s="7">
        <v>8.8639836011306095</v>
      </c>
      <c r="AZ321" s="7">
        <v>10</v>
      </c>
      <c r="BA321" s="7">
        <v>10</v>
      </c>
      <c r="BB321" s="7">
        <v>10</v>
      </c>
      <c r="BC321" s="7">
        <v>99.513636016398905</v>
      </c>
      <c r="BD321" s="7">
        <v>100</v>
      </c>
      <c r="BE321" s="7">
        <v>100</v>
      </c>
      <c r="BF321" s="7">
        <v>100</v>
      </c>
      <c r="BG321" s="7">
        <v>6.6247809968685898</v>
      </c>
      <c r="BH321" s="7">
        <v>10</v>
      </c>
      <c r="BI321" s="7">
        <v>10</v>
      </c>
      <c r="BJ321" s="7">
        <v>10</v>
      </c>
      <c r="BK321" s="7">
        <v>10</v>
      </c>
      <c r="BL321" s="7">
        <v>100</v>
      </c>
      <c r="BM321" s="7">
        <v>100</v>
      </c>
      <c r="BN321" s="7">
        <v>100</v>
      </c>
      <c r="BO321" s="7">
        <v>100</v>
      </c>
      <c r="BP321" s="6">
        <v>7.6328959100843701</v>
      </c>
      <c r="BQ321" s="6">
        <v>3.11518677904815</v>
      </c>
      <c r="BR321" s="6">
        <v>8.6103358712536</v>
      </c>
      <c r="BS321" s="6">
        <v>9.7663161111252599</v>
      </c>
      <c r="BT321" s="6">
        <v>10</v>
      </c>
      <c r="BU321" s="6">
        <v>91.246721499325204</v>
      </c>
      <c r="BV321" s="6">
        <v>99.781008886964898</v>
      </c>
      <c r="BW321" s="6">
        <v>100</v>
      </c>
      <c r="BX321" s="6">
        <v>100</v>
      </c>
      <c r="BY321" s="6" t="str">
        <f>TRIM(Table1[[#This Row],[LA_Name]])</f>
        <v>Worthing</v>
      </c>
      <c r="BZ321" s="7">
        <v>24.310076397066702</v>
      </c>
      <c r="CA321" s="7">
        <v>0.14668584960912601</v>
      </c>
      <c r="CB321" s="7">
        <v>0.71960225102492903</v>
      </c>
      <c r="CC321" s="7">
        <v>1.5981513075806599</v>
      </c>
      <c r="CD321" s="7">
        <v>4.3449237350716796</v>
      </c>
      <c r="CE321" s="7">
        <v>14.6685849609126</v>
      </c>
      <c r="CF321" s="7">
        <v>71.960225102492899</v>
      </c>
      <c r="CG321" s="7">
        <v>99.712255863105099</v>
      </c>
      <c r="CH321" s="7">
        <v>100</v>
      </c>
      <c r="CI321" s="7">
        <v>16.862060677774199</v>
      </c>
      <c r="CJ321" s="7">
        <v>0.45799699523821702</v>
      </c>
      <c r="CK321" s="7">
        <v>1</v>
      </c>
      <c r="CL321" s="7">
        <v>1</v>
      </c>
      <c r="CM321" s="7">
        <v>1</v>
      </c>
      <c r="CN321" s="7">
        <v>45.799699523821701</v>
      </c>
      <c r="CO321" s="7">
        <v>100</v>
      </c>
      <c r="CP321" s="7">
        <v>100</v>
      </c>
      <c r="CQ321" s="7">
        <v>100</v>
      </c>
      <c r="CR321" s="7">
        <v>11.45952255668</v>
      </c>
      <c r="CS321" s="7">
        <v>0.84407068829416099</v>
      </c>
      <c r="CT321" s="7">
        <v>1.01077130707138</v>
      </c>
      <c r="CU321" s="7">
        <v>7.9747396297522304</v>
      </c>
      <c r="CV321" s="7">
        <v>10</v>
      </c>
      <c r="CW321" s="7">
        <v>84.407068829416104</v>
      </c>
      <c r="CX321" s="7">
        <v>100</v>
      </c>
      <c r="CY321" s="7">
        <v>100</v>
      </c>
      <c r="CZ321" s="7">
        <v>100</v>
      </c>
      <c r="DA321" s="9">
        <v>38.220559930408101</v>
      </c>
      <c r="DB321" s="9">
        <v>0.11730029792976999</v>
      </c>
      <c r="DC321" s="9">
        <v>0.42378599984721499</v>
      </c>
      <c r="DD321" s="9">
        <v>0.62630185123882798</v>
      </c>
      <c r="DE321" s="9">
        <v>0.79040513355911501</v>
      </c>
      <c r="DF321" s="9">
        <v>11.730029792977</v>
      </c>
      <c r="DG321" s="9">
        <v>42.378599984721497</v>
      </c>
      <c r="DH321" s="9">
        <v>62.630185123882796</v>
      </c>
      <c r="DI321" s="9">
        <v>79.0405133559115</v>
      </c>
    </row>
    <row r="322" spans="1:113">
      <c r="A322" s="5" t="s">
        <v>759</v>
      </c>
      <c r="B322" s="5" t="s">
        <v>760</v>
      </c>
      <c r="C322" s="5" t="s">
        <v>761</v>
      </c>
      <c r="D322" s="6">
        <v>143332</v>
      </c>
      <c r="E322" s="7">
        <v>8.4366980966943306</v>
      </c>
      <c r="F322" s="7">
        <v>2.91890854798649</v>
      </c>
      <c r="G322" s="7">
        <v>8.9380459353110293</v>
      </c>
      <c r="H322" s="7">
        <v>9.7172578349565999</v>
      </c>
      <c r="I322" s="7">
        <v>9.8320402980492805</v>
      </c>
      <c r="J322" s="7">
        <v>85.828007702397201</v>
      </c>
      <c r="K322" s="7">
        <v>98.598359054502794</v>
      </c>
      <c r="L322" s="7">
        <v>99.882789607345202</v>
      </c>
      <c r="M322" s="7">
        <v>100</v>
      </c>
      <c r="N322" s="7">
        <v>8.4189347081428796</v>
      </c>
      <c r="O322" s="7">
        <v>5.84302877236067</v>
      </c>
      <c r="P322" s="7">
        <v>9.7021460664750396</v>
      </c>
      <c r="Q322" s="7">
        <v>9.9351226523037397</v>
      </c>
      <c r="R322" s="7">
        <v>10</v>
      </c>
      <c r="S322" s="7">
        <v>96.369268551335395</v>
      </c>
      <c r="T322" s="7">
        <v>100</v>
      </c>
      <c r="U322" s="7">
        <v>100</v>
      </c>
      <c r="V322" s="7">
        <v>100</v>
      </c>
      <c r="W322" s="7">
        <v>6.9200333537303003</v>
      </c>
      <c r="X322" s="7">
        <v>9.6693620405771199</v>
      </c>
      <c r="Y322" s="7">
        <v>10</v>
      </c>
      <c r="Z322" s="7">
        <v>10</v>
      </c>
      <c r="AA322" s="7">
        <v>10</v>
      </c>
      <c r="AB322" s="7">
        <v>100</v>
      </c>
      <c r="AC322" s="7">
        <v>100</v>
      </c>
      <c r="AD322" s="7">
        <v>100</v>
      </c>
      <c r="AE322" s="7">
        <v>100</v>
      </c>
      <c r="AF322" s="6">
        <v>10.232074956981</v>
      </c>
      <c r="AG322" s="6">
        <v>2.32140764100131</v>
      </c>
      <c r="AH322" s="6">
        <v>5.8729802137694298</v>
      </c>
      <c r="AI322" s="6">
        <v>7.5694959953115797</v>
      </c>
      <c r="AJ322" s="6">
        <v>9.0787891050149305</v>
      </c>
      <c r="AK322" s="6">
        <v>81.650992102252104</v>
      </c>
      <c r="AL322" s="6">
        <v>95.614377808165699</v>
      </c>
      <c r="AM322" s="6">
        <v>97.554628415148002</v>
      </c>
      <c r="AN322" s="6">
        <v>98.3004493065052</v>
      </c>
      <c r="AO322" s="6">
        <v>12.4952956821406</v>
      </c>
      <c r="AP322" s="7">
        <v>1.68107610303352</v>
      </c>
      <c r="AQ322" s="7">
        <v>7.4972790444562296</v>
      </c>
      <c r="AR322" s="7">
        <v>9.5630703541428304</v>
      </c>
      <c r="AS322" s="7">
        <v>9.8391078056540096</v>
      </c>
      <c r="AT322" s="7">
        <v>69.587391510618701</v>
      </c>
      <c r="AU322" s="7">
        <v>97.194625066279698</v>
      </c>
      <c r="AV322" s="7">
        <v>99.4265062930818</v>
      </c>
      <c r="AW322" s="7">
        <v>99.695113442915797</v>
      </c>
      <c r="AX322" s="7">
        <v>10.514685215873</v>
      </c>
      <c r="AY322" s="7">
        <v>4.5192699466971797</v>
      </c>
      <c r="AZ322" s="7">
        <v>8.9848045098093898</v>
      </c>
      <c r="BA322" s="7">
        <v>9.9158457287974802</v>
      </c>
      <c r="BB322" s="7">
        <v>10</v>
      </c>
      <c r="BC322" s="7">
        <v>84.578461194987895</v>
      </c>
      <c r="BD322" s="7">
        <v>100</v>
      </c>
      <c r="BE322" s="7">
        <v>100</v>
      </c>
      <c r="BF322" s="7">
        <v>100</v>
      </c>
      <c r="BG322" s="7">
        <v>7.9437985949321597</v>
      </c>
      <c r="BH322" s="7">
        <v>8.5149094410180606</v>
      </c>
      <c r="BI322" s="7">
        <v>10</v>
      </c>
      <c r="BJ322" s="7">
        <v>10</v>
      </c>
      <c r="BK322" s="7">
        <v>10</v>
      </c>
      <c r="BL322" s="7">
        <v>100</v>
      </c>
      <c r="BM322" s="7">
        <v>100</v>
      </c>
      <c r="BN322" s="7">
        <v>100</v>
      </c>
      <c r="BO322" s="7">
        <v>100</v>
      </c>
      <c r="BP322" s="6">
        <v>16.930423508399599</v>
      </c>
      <c r="BQ322" s="6">
        <v>1.2791770156001501</v>
      </c>
      <c r="BR322" s="6">
        <v>4.5025465353166103</v>
      </c>
      <c r="BS322" s="6">
        <v>6.6617224346272996</v>
      </c>
      <c r="BT322" s="6">
        <v>7.8899338598498598</v>
      </c>
      <c r="BU322" s="6">
        <v>62.006390757123299</v>
      </c>
      <c r="BV322" s="6">
        <v>84.250551167917806</v>
      </c>
      <c r="BW322" s="6">
        <v>89.888510590796201</v>
      </c>
      <c r="BX322" s="6">
        <v>97.9969581112382</v>
      </c>
      <c r="BY322" s="6" t="str">
        <f>TRIM(Table1[[#This Row],[LA_Name]])</f>
        <v>Bath and North East Somerset</v>
      </c>
      <c r="BZ322" s="7">
        <v>31.742517780047301</v>
      </c>
      <c r="CA322" s="7">
        <v>0.34872882538442201</v>
      </c>
      <c r="CB322" s="7">
        <v>1.6167638768732699</v>
      </c>
      <c r="CC322" s="7">
        <v>3.9038805012139601</v>
      </c>
      <c r="CD322" s="7">
        <v>6.9015293165517804</v>
      </c>
      <c r="CE322" s="7">
        <v>24.039991069684401</v>
      </c>
      <c r="CF322" s="7">
        <v>57.301230709122898</v>
      </c>
      <c r="CG322" s="7">
        <v>75.067675048140003</v>
      </c>
      <c r="CH322" s="7">
        <v>86.116847598582297</v>
      </c>
      <c r="CI322" s="7">
        <v>28.981348348127</v>
      </c>
      <c r="CJ322" s="7">
        <v>0.89467809002874399</v>
      </c>
      <c r="CK322" s="7">
        <v>2.3055633075656501</v>
      </c>
      <c r="CL322" s="7">
        <v>3.2961097312533099</v>
      </c>
      <c r="CM322" s="7">
        <v>4.2329347249741902</v>
      </c>
      <c r="CN322" s="7">
        <v>41.732481232383599</v>
      </c>
      <c r="CO322" s="7">
        <v>60.082884491948803</v>
      </c>
      <c r="CP322" s="7">
        <v>73.7002204671671</v>
      </c>
      <c r="CQ322" s="7">
        <v>84.241481316105293</v>
      </c>
      <c r="CR322" s="7">
        <v>16.357424591493398</v>
      </c>
      <c r="CS322" s="7">
        <v>1.92796444618089</v>
      </c>
      <c r="CT322" s="7">
        <v>4.3819175062093603</v>
      </c>
      <c r="CU322" s="7">
        <v>9.4211969413668992</v>
      </c>
      <c r="CV322" s="7">
        <v>10</v>
      </c>
      <c r="CW322" s="7">
        <v>58.533335193815802</v>
      </c>
      <c r="CX322" s="7">
        <v>93.201099545112001</v>
      </c>
      <c r="CY322" s="7">
        <v>100</v>
      </c>
      <c r="CZ322" s="7">
        <v>100</v>
      </c>
      <c r="DA322" s="9">
        <v>61.440423052925702</v>
      </c>
      <c r="DB322" s="9">
        <v>0.26897692071554202</v>
      </c>
      <c r="DC322" s="9">
        <v>0.85881031451455403</v>
      </c>
      <c r="DD322" s="9">
        <v>1.5324840231071899</v>
      </c>
      <c r="DE322" s="9">
        <v>2.0265118745290698</v>
      </c>
      <c r="DF322" s="9">
        <v>19.371808109842899</v>
      </c>
      <c r="DG322" s="9">
        <v>42.765048977199797</v>
      </c>
      <c r="DH322" s="9">
        <v>52.176764435018001</v>
      </c>
      <c r="DI322" s="9">
        <v>57.495883682638897</v>
      </c>
    </row>
    <row r="323" spans="1:113">
      <c r="A323" s="5" t="s">
        <v>759</v>
      </c>
      <c r="B323" s="5" t="s">
        <v>762</v>
      </c>
      <c r="C323" s="5" t="s">
        <v>763</v>
      </c>
      <c r="D323" s="6">
        <v>142916</v>
      </c>
      <c r="E323" s="7">
        <v>6.45413361515683</v>
      </c>
      <c r="F323" s="7">
        <v>5.1562036440986301</v>
      </c>
      <c r="G323" s="7">
        <v>9.9914005429762902</v>
      </c>
      <c r="H323" s="7">
        <v>10</v>
      </c>
      <c r="I323" s="7">
        <v>10</v>
      </c>
      <c r="J323" s="7">
        <v>96.330711746760301</v>
      </c>
      <c r="K323" s="7">
        <v>100</v>
      </c>
      <c r="L323" s="7">
        <v>100</v>
      </c>
      <c r="M323" s="7">
        <v>100</v>
      </c>
      <c r="N323" s="7">
        <v>7.1788349713742399</v>
      </c>
      <c r="O323" s="7">
        <v>9.5999328276749996</v>
      </c>
      <c r="P323" s="7">
        <v>10</v>
      </c>
      <c r="Q323" s="7">
        <v>10</v>
      </c>
      <c r="R323" s="7">
        <v>10</v>
      </c>
      <c r="S323" s="7">
        <v>100</v>
      </c>
      <c r="T323" s="7">
        <v>100</v>
      </c>
      <c r="U323" s="7">
        <v>100</v>
      </c>
      <c r="V323" s="7">
        <v>100</v>
      </c>
      <c r="W323" s="7">
        <v>6.3670829743294499</v>
      </c>
      <c r="X323" s="7">
        <v>10</v>
      </c>
      <c r="Y323" s="7">
        <v>10</v>
      </c>
      <c r="Z323" s="7">
        <v>10</v>
      </c>
      <c r="AA323" s="7">
        <v>10</v>
      </c>
      <c r="AB323" s="7">
        <v>100</v>
      </c>
      <c r="AC323" s="7">
        <v>100</v>
      </c>
      <c r="AD323" s="7">
        <v>100</v>
      </c>
      <c r="AE323" s="7">
        <v>100</v>
      </c>
      <c r="AF323" s="6">
        <v>6.62323644102079</v>
      </c>
      <c r="AG323" s="6">
        <v>4.1567214307705198</v>
      </c>
      <c r="AH323" s="6">
        <v>9.5219429595006897</v>
      </c>
      <c r="AI323" s="6">
        <v>10</v>
      </c>
      <c r="AJ323" s="6">
        <v>10</v>
      </c>
      <c r="AK323" s="6">
        <v>94.006969128719007</v>
      </c>
      <c r="AL323" s="6">
        <v>100</v>
      </c>
      <c r="AM323" s="6">
        <v>100</v>
      </c>
      <c r="AN323" s="6">
        <v>100</v>
      </c>
      <c r="AO323" s="6">
        <v>8.5184288811202507</v>
      </c>
      <c r="AP323" s="7">
        <v>3.3079361303143102</v>
      </c>
      <c r="AQ323" s="7">
        <v>9.9074421338408598</v>
      </c>
      <c r="AR323" s="7">
        <v>10</v>
      </c>
      <c r="AS323" s="7">
        <v>10</v>
      </c>
      <c r="AT323" s="7">
        <v>88.721346805116298</v>
      </c>
      <c r="AU323" s="7">
        <v>100</v>
      </c>
      <c r="AV323" s="7">
        <v>100</v>
      </c>
      <c r="AW323" s="7">
        <v>100</v>
      </c>
      <c r="AX323" s="7">
        <v>8.0448170991964698</v>
      </c>
      <c r="AY323" s="7">
        <v>7.7134610540457302</v>
      </c>
      <c r="AZ323" s="7">
        <v>10</v>
      </c>
      <c r="BA323" s="7">
        <v>10</v>
      </c>
      <c r="BB323" s="7">
        <v>10</v>
      </c>
      <c r="BC323" s="7">
        <v>100</v>
      </c>
      <c r="BD323" s="7">
        <v>100</v>
      </c>
      <c r="BE323" s="7">
        <v>100</v>
      </c>
      <c r="BF323" s="7">
        <v>100</v>
      </c>
      <c r="BG323" s="7">
        <v>6.8662543860146199</v>
      </c>
      <c r="BH323" s="7">
        <v>9.9981737524140097</v>
      </c>
      <c r="BI323" s="7">
        <v>10</v>
      </c>
      <c r="BJ323" s="7">
        <v>10</v>
      </c>
      <c r="BK323" s="7">
        <v>10</v>
      </c>
      <c r="BL323" s="7">
        <v>100</v>
      </c>
      <c r="BM323" s="7">
        <v>100</v>
      </c>
      <c r="BN323" s="7">
        <v>100</v>
      </c>
      <c r="BO323" s="7">
        <v>100</v>
      </c>
      <c r="BP323" s="6">
        <v>9.1325190375573104</v>
      </c>
      <c r="BQ323" s="6">
        <v>2.4605852388815799</v>
      </c>
      <c r="BR323" s="6">
        <v>7.4094712978253003</v>
      </c>
      <c r="BS323" s="6">
        <v>9.6845559629432696</v>
      </c>
      <c r="BT323" s="6">
        <v>10</v>
      </c>
      <c r="BU323" s="6">
        <v>82.790590276806</v>
      </c>
      <c r="BV323" s="6">
        <v>100</v>
      </c>
      <c r="BW323" s="6">
        <v>100</v>
      </c>
      <c r="BX323" s="6">
        <v>100</v>
      </c>
      <c r="BY323" s="6" t="str">
        <f>TRIM(Table1[[#This Row],[LA_Name]])</f>
        <v>Bournemouth</v>
      </c>
      <c r="BZ323" s="7">
        <v>21.384746068238801</v>
      </c>
      <c r="CA323" s="7">
        <v>0.31467435416608402</v>
      </c>
      <c r="CB323" s="7">
        <v>2.32697528618209</v>
      </c>
      <c r="CC323" s="7">
        <v>5.3277729575414901</v>
      </c>
      <c r="CD323" s="7">
        <v>7.7240406952335601</v>
      </c>
      <c r="CE323" s="7">
        <v>22.493632623359201</v>
      </c>
      <c r="CF323" s="7">
        <v>81.183352458786999</v>
      </c>
      <c r="CG323" s="7">
        <v>100</v>
      </c>
      <c r="CH323" s="7">
        <v>100</v>
      </c>
      <c r="CI323" s="7">
        <v>15.5744828314674</v>
      </c>
      <c r="CJ323" s="7">
        <v>1.0773601276274201</v>
      </c>
      <c r="CK323" s="7">
        <v>3.7752805843992299</v>
      </c>
      <c r="CL323" s="7">
        <v>6.2488734641327799</v>
      </c>
      <c r="CM323" s="7">
        <v>7.8300960004478197</v>
      </c>
      <c r="CN323" s="7">
        <v>53.805032326681399</v>
      </c>
      <c r="CO323" s="7">
        <v>100</v>
      </c>
      <c r="CP323" s="7">
        <v>100</v>
      </c>
      <c r="CQ323" s="7">
        <v>100</v>
      </c>
      <c r="CR323" s="7">
        <v>10.543491845450699</v>
      </c>
      <c r="CS323" s="7">
        <v>2.9660289960536299</v>
      </c>
      <c r="CT323" s="7">
        <v>7.5738965546195001</v>
      </c>
      <c r="CU323" s="7">
        <v>9.2066598561392698</v>
      </c>
      <c r="CV323" s="7">
        <v>10</v>
      </c>
      <c r="CW323" s="7">
        <v>90.260012874695605</v>
      </c>
      <c r="CX323" s="7">
        <v>100</v>
      </c>
      <c r="CY323" s="7">
        <v>100</v>
      </c>
      <c r="CZ323" s="7">
        <v>100</v>
      </c>
      <c r="DA323" s="9">
        <v>32.583735154750997</v>
      </c>
      <c r="DB323" s="9">
        <v>0.24748103781242101</v>
      </c>
      <c r="DC323" s="9">
        <v>1.0051428811329699</v>
      </c>
      <c r="DD323" s="9">
        <v>2.0157715021411202</v>
      </c>
      <c r="DE323" s="9">
        <v>2.8627795348316498</v>
      </c>
      <c r="DF323" s="9">
        <v>17.361247166167502</v>
      </c>
      <c r="DG323" s="9">
        <v>53.129110806347803</v>
      </c>
      <c r="DH323" s="9">
        <v>74.948221332810903</v>
      </c>
      <c r="DI323" s="9">
        <v>86.002267065968795</v>
      </c>
    </row>
    <row r="324" spans="1:113">
      <c r="A324" s="5" t="s">
        <v>759</v>
      </c>
      <c r="B324" s="5" t="s">
        <v>764</v>
      </c>
      <c r="C324" s="5" t="s">
        <v>765</v>
      </c>
      <c r="D324" s="6">
        <v>349168</v>
      </c>
      <c r="E324" s="7">
        <v>6.2612840893950201</v>
      </c>
      <c r="F324" s="7">
        <v>4.9841709434999801</v>
      </c>
      <c r="G324" s="7">
        <v>9.9875733171424592</v>
      </c>
      <c r="H324" s="7">
        <v>10</v>
      </c>
      <c r="I324" s="7">
        <v>10</v>
      </c>
      <c r="J324" s="7">
        <v>96.899486780002704</v>
      </c>
      <c r="K324" s="7">
        <v>100</v>
      </c>
      <c r="L324" s="7">
        <v>100</v>
      </c>
      <c r="M324" s="7">
        <v>100</v>
      </c>
      <c r="N324" s="7">
        <v>7.1770810786992696</v>
      </c>
      <c r="O324" s="7">
        <v>9.5691386381340795</v>
      </c>
      <c r="P324" s="7">
        <v>10</v>
      </c>
      <c r="Q324" s="7">
        <v>10</v>
      </c>
      <c r="R324" s="7">
        <v>10</v>
      </c>
      <c r="S324" s="7">
        <v>100</v>
      </c>
      <c r="T324" s="7">
        <v>100</v>
      </c>
      <c r="U324" s="7">
        <v>100</v>
      </c>
      <c r="V324" s="7">
        <v>100</v>
      </c>
      <c r="W324" s="7">
        <v>6.4610363494635399</v>
      </c>
      <c r="X324" s="7">
        <v>9.99898902534024</v>
      </c>
      <c r="Y324" s="7">
        <v>10</v>
      </c>
      <c r="Z324" s="7">
        <v>10</v>
      </c>
      <c r="AA324" s="7">
        <v>10</v>
      </c>
      <c r="AB324" s="7">
        <v>100</v>
      </c>
      <c r="AC324" s="7">
        <v>100</v>
      </c>
      <c r="AD324" s="7">
        <v>100</v>
      </c>
      <c r="AE324" s="7">
        <v>100</v>
      </c>
      <c r="AF324" s="6">
        <v>6.3465510624711499</v>
      </c>
      <c r="AG324" s="6">
        <v>4.3176436557760196</v>
      </c>
      <c r="AH324" s="6">
        <v>9.5602088392979905</v>
      </c>
      <c r="AI324" s="6">
        <v>9.9545490995738408</v>
      </c>
      <c r="AJ324" s="6">
        <v>9.9931093341887003</v>
      </c>
      <c r="AK324" s="6">
        <v>95.791710580580101</v>
      </c>
      <c r="AL324" s="6">
        <v>100</v>
      </c>
      <c r="AM324" s="6">
        <v>100</v>
      </c>
      <c r="AN324" s="6">
        <v>100</v>
      </c>
      <c r="AO324" s="6">
        <v>8.6849752013050807</v>
      </c>
      <c r="AP324" s="7">
        <v>3.1895906841405899</v>
      </c>
      <c r="AQ324" s="7">
        <v>9.4971045456628307</v>
      </c>
      <c r="AR324" s="7">
        <v>10</v>
      </c>
      <c r="AS324" s="7">
        <v>10</v>
      </c>
      <c r="AT324" s="7">
        <v>88.567967282225197</v>
      </c>
      <c r="AU324" s="7">
        <v>99.948448884204694</v>
      </c>
      <c r="AV324" s="7">
        <v>100</v>
      </c>
      <c r="AW324" s="7">
        <v>100</v>
      </c>
      <c r="AX324" s="7">
        <v>8.1051341092895708</v>
      </c>
      <c r="AY324" s="7">
        <v>7.9492536544013204</v>
      </c>
      <c r="AZ324" s="7">
        <v>9.9747571369655894</v>
      </c>
      <c r="BA324" s="7">
        <v>10</v>
      </c>
      <c r="BB324" s="7">
        <v>10</v>
      </c>
      <c r="BC324" s="7">
        <v>98.856710809696196</v>
      </c>
      <c r="BD324" s="7">
        <v>100</v>
      </c>
      <c r="BE324" s="7">
        <v>100</v>
      </c>
      <c r="BF324" s="7">
        <v>100</v>
      </c>
      <c r="BG324" s="7">
        <v>6.8869617279383899</v>
      </c>
      <c r="BH324" s="7">
        <v>9.8807250378041491</v>
      </c>
      <c r="BI324" s="7">
        <v>10</v>
      </c>
      <c r="BJ324" s="7">
        <v>10</v>
      </c>
      <c r="BK324" s="7">
        <v>10</v>
      </c>
      <c r="BL324" s="7">
        <v>100</v>
      </c>
      <c r="BM324" s="7">
        <v>100</v>
      </c>
      <c r="BN324" s="7">
        <v>100</v>
      </c>
      <c r="BO324" s="7">
        <v>100</v>
      </c>
      <c r="BP324" s="6">
        <v>9.1959477704422401</v>
      </c>
      <c r="BQ324" s="6">
        <v>2.7731636346973398</v>
      </c>
      <c r="BR324" s="6">
        <v>7.84101063098566</v>
      </c>
      <c r="BS324" s="6">
        <v>9.4426866150391806</v>
      </c>
      <c r="BT324" s="6">
        <v>9.8877359895523096</v>
      </c>
      <c r="BU324" s="6">
        <v>84.420680016496306</v>
      </c>
      <c r="BV324" s="6">
        <v>99.326112358520803</v>
      </c>
      <c r="BW324" s="6">
        <v>100</v>
      </c>
      <c r="BX324" s="6">
        <v>100</v>
      </c>
      <c r="BY324" s="6" t="str">
        <f>TRIM(Table1[[#This Row],[LA_Name]])</f>
        <v>Bristol</v>
      </c>
      <c r="BZ324" s="7">
        <v>20.147311711570101</v>
      </c>
      <c r="CA324" s="7">
        <v>0.78035787930165401</v>
      </c>
      <c r="CB324" s="7">
        <v>4.9397023782248102</v>
      </c>
      <c r="CC324" s="7">
        <v>9.0581439307152998</v>
      </c>
      <c r="CD324" s="7">
        <v>9.9002944141502098</v>
      </c>
      <c r="CE324" s="7">
        <v>26.568013105439199</v>
      </c>
      <c r="CF324" s="7">
        <v>86.059146313522405</v>
      </c>
      <c r="CG324" s="7">
        <v>100</v>
      </c>
      <c r="CH324" s="7">
        <v>100</v>
      </c>
      <c r="CI324" s="7">
        <v>14.965106279417199</v>
      </c>
      <c r="CJ324" s="7">
        <v>2.5136839572927601</v>
      </c>
      <c r="CK324" s="7">
        <v>8.6029275305869994</v>
      </c>
      <c r="CL324" s="7">
        <v>9.9143306374009104</v>
      </c>
      <c r="CM324" s="7">
        <v>10</v>
      </c>
      <c r="CN324" s="7">
        <v>56.746036291985497</v>
      </c>
      <c r="CO324" s="7">
        <v>98.572893277734494</v>
      </c>
      <c r="CP324" s="7">
        <v>100</v>
      </c>
      <c r="CQ324" s="7">
        <v>100</v>
      </c>
      <c r="CR324" s="7">
        <v>11.111846581360201</v>
      </c>
      <c r="CS324" s="7">
        <v>5.58906314438895</v>
      </c>
      <c r="CT324" s="7">
        <v>9.9782883883975604</v>
      </c>
      <c r="CU324" s="7">
        <v>10</v>
      </c>
      <c r="CV324" s="7">
        <v>10</v>
      </c>
      <c r="CW324" s="7">
        <v>84.488555652293499</v>
      </c>
      <c r="CX324" s="7">
        <v>100</v>
      </c>
      <c r="CY324" s="7">
        <v>100</v>
      </c>
      <c r="CZ324" s="7">
        <v>100</v>
      </c>
      <c r="DA324" s="9">
        <v>30.953388520461999</v>
      </c>
      <c r="DB324" s="9">
        <v>0.66864947532419905</v>
      </c>
      <c r="DC324" s="9">
        <v>2.3437342482701702</v>
      </c>
      <c r="DD324" s="9">
        <v>4.3806648948357196</v>
      </c>
      <c r="DE324" s="9">
        <v>6.4569691380653396</v>
      </c>
      <c r="DF324" s="9">
        <v>22.699101865004799</v>
      </c>
      <c r="DG324" s="9">
        <v>53.757503551299102</v>
      </c>
      <c r="DH324" s="9">
        <v>77.890299225587697</v>
      </c>
      <c r="DI324" s="9">
        <v>90.926144434770606</v>
      </c>
    </row>
    <row r="325" spans="1:113">
      <c r="A325" s="5" t="s">
        <v>759</v>
      </c>
      <c r="B325" s="5" t="s">
        <v>766</v>
      </c>
      <c r="C325" s="5" t="s">
        <v>767</v>
      </c>
      <c r="D325" s="6">
        <v>409302</v>
      </c>
      <c r="E325" s="7">
        <v>15.1843768200829</v>
      </c>
      <c r="F325" s="7">
        <v>1.13982584986147</v>
      </c>
      <c r="G325" s="7">
        <v>4.6686041113896302</v>
      </c>
      <c r="H325" s="7">
        <v>7.7527962238151797</v>
      </c>
      <c r="I325" s="7">
        <v>9.0260345661638599</v>
      </c>
      <c r="J325" s="7">
        <v>62.221049494016597</v>
      </c>
      <c r="K325" s="7">
        <v>90.630390274174104</v>
      </c>
      <c r="L325" s="7">
        <v>96.473752876848906</v>
      </c>
      <c r="M325" s="7">
        <v>98.326663441664095</v>
      </c>
      <c r="N325" s="7">
        <v>12.158479871396001</v>
      </c>
      <c r="O325" s="7">
        <v>2.1951028824682002</v>
      </c>
      <c r="P325" s="7">
        <v>5.5668723827394002</v>
      </c>
      <c r="Q325" s="7">
        <v>7.9961373264728701</v>
      </c>
      <c r="R325" s="7">
        <v>9.3105628606750006</v>
      </c>
      <c r="S325" s="7">
        <v>76.864027050930602</v>
      </c>
      <c r="T325" s="7">
        <v>96.633292776482904</v>
      </c>
      <c r="U325" s="7">
        <v>99.084294726143497</v>
      </c>
      <c r="V325" s="7">
        <v>99.829954410190993</v>
      </c>
      <c r="W325" s="7">
        <v>8.4247952580778804</v>
      </c>
      <c r="X325" s="7">
        <v>5.2999667727008397</v>
      </c>
      <c r="Y325" s="7">
        <v>9.4845761809128692</v>
      </c>
      <c r="Z325" s="7">
        <v>9.9910774929025497</v>
      </c>
      <c r="AA325" s="7">
        <v>10</v>
      </c>
      <c r="AB325" s="7">
        <v>96.024695701462505</v>
      </c>
      <c r="AC325" s="7">
        <v>99.829954410190993</v>
      </c>
      <c r="AD325" s="7">
        <v>100</v>
      </c>
      <c r="AE325" s="7">
        <v>100</v>
      </c>
      <c r="AF325" s="6">
        <v>22.281724468902201</v>
      </c>
      <c r="AG325" s="6">
        <v>0.89825849861471496</v>
      </c>
      <c r="AH325" s="6">
        <v>2.1424547155889799</v>
      </c>
      <c r="AI325" s="6">
        <v>3.1431607956960899</v>
      </c>
      <c r="AJ325" s="6">
        <v>4.1621638789939901</v>
      </c>
      <c r="AK325" s="6">
        <v>55.873169444566599</v>
      </c>
      <c r="AL325" s="6">
        <v>75.337770155044396</v>
      </c>
      <c r="AM325" s="6">
        <v>84.780675393719093</v>
      </c>
      <c r="AN325" s="6">
        <v>90.643094829734494</v>
      </c>
      <c r="AO325" s="6">
        <v>16.406670191745199</v>
      </c>
      <c r="AP325" s="7">
        <v>1.0950471778784401</v>
      </c>
      <c r="AQ325" s="7">
        <v>4.5872973989865704</v>
      </c>
      <c r="AR325" s="7">
        <v>7.82315258659865</v>
      </c>
      <c r="AS325" s="7">
        <v>8.9677133265901503</v>
      </c>
      <c r="AT325" s="7">
        <v>58.375233934845198</v>
      </c>
      <c r="AU325" s="7">
        <v>88.484541976340196</v>
      </c>
      <c r="AV325" s="7">
        <v>95.969724066826004</v>
      </c>
      <c r="AW325" s="7">
        <v>97.520901437080695</v>
      </c>
      <c r="AX325" s="7">
        <v>13.503919634402999</v>
      </c>
      <c r="AY325" s="7">
        <v>2.1658579728415699</v>
      </c>
      <c r="AZ325" s="7">
        <v>5.2870594328881904</v>
      </c>
      <c r="BA325" s="7">
        <v>7.6455233543935801</v>
      </c>
      <c r="BB325" s="7">
        <v>8.8658692114868707</v>
      </c>
      <c r="BC325" s="7">
        <v>71.631216070285504</v>
      </c>
      <c r="BD325" s="7">
        <v>92.805068140395093</v>
      </c>
      <c r="BE325" s="7">
        <v>99.0254139974884</v>
      </c>
      <c r="BF325" s="7">
        <v>99.946738593996599</v>
      </c>
      <c r="BG325" s="7">
        <v>8.9206855345890492</v>
      </c>
      <c r="BH325" s="7">
        <v>4.9943415864080798</v>
      </c>
      <c r="BI325" s="7">
        <v>9.2619654924725499</v>
      </c>
      <c r="BJ325" s="7">
        <v>9.9211144827047004</v>
      </c>
      <c r="BK325" s="7">
        <v>10</v>
      </c>
      <c r="BL325" s="7">
        <v>91.295180575711797</v>
      </c>
      <c r="BM325" s="7">
        <v>100</v>
      </c>
      <c r="BN325" s="7">
        <v>100</v>
      </c>
      <c r="BO325" s="7">
        <v>100</v>
      </c>
      <c r="BP325" s="6">
        <v>26.851728608863599</v>
      </c>
      <c r="BQ325" s="6">
        <v>0.87283961475878402</v>
      </c>
      <c r="BR325" s="6">
        <v>2.0859512047339099</v>
      </c>
      <c r="BS325" s="6">
        <v>3.0421009425803001</v>
      </c>
      <c r="BT325" s="6">
        <v>3.91769891180595</v>
      </c>
      <c r="BU325" s="6">
        <v>52.750536278835703</v>
      </c>
      <c r="BV325" s="6">
        <v>70.426970794181301</v>
      </c>
      <c r="BW325" s="6">
        <v>78.444522626324797</v>
      </c>
      <c r="BX325" s="6">
        <v>85.546124866235701</v>
      </c>
      <c r="BY325" s="6" t="str">
        <f>TRIM(Table1[[#This Row],[LA_Name]])</f>
        <v>Cornwall</v>
      </c>
      <c r="BZ325" s="7">
        <v>63.544535031362699</v>
      </c>
      <c r="CA325" s="7">
        <v>3.9904520378595799E-2</v>
      </c>
      <c r="CB325" s="7">
        <v>0.18605332981514899</v>
      </c>
      <c r="CC325" s="7">
        <v>0.62936169381043805</v>
      </c>
      <c r="CD325" s="7">
        <v>1.26165765131859</v>
      </c>
      <c r="CE325" s="7">
        <v>2.6875021377857902</v>
      </c>
      <c r="CF325" s="7">
        <v>9.1634050163448997</v>
      </c>
      <c r="CG325" s="7">
        <v>31.453303428764102</v>
      </c>
      <c r="CH325" s="7">
        <v>52.051297086258998</v>
      </c>
      <c r="CI325" s="7">
        <v>87.291564974385096</v>
      </c>
      <c r="CJ325" s="7">
        <v>8.2601599796727099E-2</v>
      </c>
      <c r="CK325" s="7">
        <v>0.16759996286360701</v>
      </c>
      <c r="CL325" s="7">
        <v>0.31682474065604399</v>
      </c>
      <c r="CM325" s="7">
        <v>0.62368617793218695</v>
      </c>
      <c r="CN325" s="7">
        <v>4.2254863157277498</v>
      </c>
      <c r="CO325" s="7">
        <v>6.0718002843865904</v>
      </c>
      <c r="CP325" s="7">
        <v>12.2606290709549</v>
      </c>
      <c r="CQ325" s="7">
        <v>22.640006645459799</v>
      </c>
      <c r="CR325" s="7">
        <v>35.870767220074399</v>
      </c>
      <c r="CS325" s="7">
        <v>0.150075005741482</v>
      </c>
      <c r="CT325" s="7">
        <v>0.95398996340110698</v>
      </c>
      <c r="CU325" s="7">
        <v>2.1310597065247698</v>
      </c>
      <c r="CV325" s="7">
        <v>3.3613835261005298</v>
      </c>
      <c r="CW325" s="7">
        <v>5.9796922565733901</v>
      </c>
      <c r="CX325" s="7">
        <v>35.992983176236599</v>
      </c>
      <c r="CY325" s="7">
        <v>77.623368564043204</v>
      </c>
      <c r="CZ325" s="7">
        <v>93.150045687536306</v>
      </c>
      <c r="DA325" s="9">
        <v>113.270413816519</v>
      </c>
      <c r="DB325" s="9">
        <v>3.4038436166937899E-2</v>
      </c>
      <c r="DC325" s="9">
        <v>7.5702048853902498E-2</v>
      </c>
      <c r="DD325" s="9">
        <v>0.11083747452980899</v>
      </c>
      <c r="DE325" s="9">
        <v>0.14466824007700901</v>
      </c>
      <c r="DF325" s="9">
        <v>2.4798315180478001</v>
      </c>
      <c r="DG325" s="9">
        <v>4.2254863157277498</v>
      </c>
      <c r="DH325" s="9">
        <v>4.55653771542773</v>
      </c>
      <c r="DI325" s="9">
        <v>5.1641575169434804</v>
      </c>
    </row>
    <row r="326" spans="1:113">
      <c r="A326" s="5" t="s">
        <v>759</v>
      </c>
      <c r="B326" s="5" t="s">
        <v>768</v>
      </c>
      <c r="C326" s="5" t="s">
        <v>769</v>
      </c>
      <c r="D326" s="6">
        <v>1629</v>
      </c>
      <c r="E326" s="7">
        <v>120</v>
      </c>
      <c r="F326" s="7">
        <v>0</v>
      </c>
      <c r="G326" s="7">
        <v>0</v>
      </c>
      <c r="H326" s="7">
        <v>0</v>
      </c>
      <c r="I326" s="7">
        <v>0</v>
      </c>
      <c r="J326" s="7">
        <v>0</v>
      </c>
      <c r="K326" s="7">
        <v>0</v>
      </c>
      <c r="L326" s="7">
        <v>0</v>
      </c>
      <c r="M326" s="7">
        <v>0</v>
      </c>
      <c r="N326" s="7">
        <v>120</v>
      </c>
      <c r="O326" s="7">
        <v>0</v>
      </c>
      <c r="P326" s="7">
        <v>0</v>
      </c>
      <c r="Q326" s="7">
        <v>0</v>
      </c>
      <c r="R326" s="7">
        <v>0</v>
      </c>
      <c r="S326" s="7">
        <v>0</v>
      </c>
      <c r="T326" s="7">
        <v>0</v>
      </c>
      <c r="U326" s="7">
        <v>0</v>
      </c>
      <c r="V326" s="7">
        <v>0</v>
      </c>
      <c r="W326" s="7">
        <v>120</v>
      </c>
      <c r="X326" s="7">
        <v>0</v>
      </c>
      <c r="Y326" s="7">
        <v>0</v>
      </c>
      <c r="Z326" s="7">
        <v>0</v>
      </c>
      <c r="AA326" s="7">
        <v>0</v>
      </c>
      <c r="AB326" s="7">
        <v>0</v>
      </c>
      <c r="AC326" s="7">
        <v>0</v>
      </c>
      <c r="AD326" s="7">
        <v>0</v>
      </c>
      <c r="AE326" s="7">
        <v>0</v>
      </c>
      <c r="AF326" s="6">
        <v>120</v>
      </c>
      <c r="AG326" s="6">
        <v>0</v>
      </c>
      <c r="AH326" s="6">
        <v>0</v>
      </c>
      <c r="AI326" s="6">
        <v>0</v>
      </c>
      <c r="AJ326" s="6">
        <v>0</v>
      </c>
      <c r="AK326" s="6">
        <v>0</v>
      </c>
      <c r="AL326" s="6">
        <v>0</v>
      </c>
      <c r="AM326" s="6">
        <v>0</v>
      </c>
      <c r="AN326" s="6">
        <v>0</v>
      </c>
      <c r="AO326" s="6">
        <v>44.295678369979903</v>
      </c>
      <c r="AP326" s="7">
        <v>0.437691835481891</v>
      </c>
      <c r="AQ326" s="7">
        <v>0.69797421731123399</v>
      </c>
      <c r="AR326" s="7">
        <v>0.69797421731123399</v>
      </c>
      <c r="AS326" s="7">
        <v>0.69797421731123399</v>
      </c>
      <c r="AT326" s="7">
        <v>43.769183548189098</v>
      </c>
      <c r="AU326" s="7">
        <v>69.797421731123407</v>
      </c>
      <c r="AV326" s="7">
        <v>69.797421731123407</v>
      </c>
      <c r="AW326" s="7">
        <v>69.797421731123407</v>
      </c>
      <c r="AX326" s="7">
        <v>42.271921444700297</v>
      </c>
      <c r="AY326" s="7">
        <v>0.69797421731123399</v>
      </c>
      <c r="AZ326" s="7">
        <v>0.69797421731123399</v>
      </c>
      <c r="BA326" s="7">
        <v>0.69797421731123399</v>
      </c>
      <c r="BB326" s="7">
        <v>0.69797421731123399</v>
      </c>
      <c r="BC326" s="7">
        <v>69.797421731123407</v>
      </c>
      <c r="BD326" s="7">
        <v>69.797421731123407</v>
      </c>
      <c r="BE326" s="7">
        <v>69.797421731123407</v>
      </c>
      <c r="BF326" s="7">
        <v>69.797421731123407</v>
      </c>
      <c r="BG326" s="7">
        <v>40.941743455246403</v>
      </c>
      <c r="BH326" s="7">
        <v>0.69797421731123399</v>
      </c>
      <c r="BI326" s="7">
        <v>0.69797421731123399</v>
      </c>
      <c r="BJ326" s="7">
        <v>0.69797421731123399</v>
      </c>
      <c r="BK326" s="7">
        <v>0.69797421731123399</v>
      </c>
      <c r="BL326" s="7">
        <v>69.797421731123407</v>
      </c>
      <c r="BM326" s="7">
        <v>69.797421731123407</v>
      </c>
      <c r="BN326" s="7">
        <v>69.797421731123407</v>
      </c>
      <c r="BO326" s="7">
        <v>69.797421731123407</v>
      </c>
      <c r="BP326" s="6">
        <v>44.295678369979903</v>
      </c>
      <c r="BQ326" s="6">
        <v>0.437691835481891</v>
      </c>
      <c r="BR326" s="6">
        <v>0.69797421731123399</v>
      </c>
      <c r="BS326" s="6">
        <v>0.69797421731123399</v>
      </c>
      <c r="BT326" s="6">
        <v>0.69797421731123399</v>
      </c>
      <c r="BU326" s="6">
        <v>43.769183548189098</v>
      </c>
      <c r="BV326" s="6">
        <v>69.797421731123407</v>
      </c>
      <c r="BW326" s="6">
        <v>69.797421731123407</v>
      </c>
      <c r="BX326" s="6">
        <v>69.797421731123407</v>
      </c>
      <c r="BY326" s="6" t="str">
        <f>TRIM(Table1[[#This Row],[LA_Name]])</f>
        <v>Isles of Scilly</v>
      </c>
      <c r="BZ326" s="7">
        <v>120</v>
      </c>
      <c r="CA326" s="7">
        <v>0</v>
      </c>
      <c r="CB326" s="7">
        <v>0</v>
      </c>
      <c r="CC326" s="7">
        <v>0</v>
      </c>
      <c r="CD326" s="7">
        <v>0</v>
      </c>
      <c r="CE326" s="7">
        <v>0</v>
      </c>
      <c r="CF326" s="7">
        <v>0</v>
      </c>
      <c r="CG326" s="7">
        <v>0</v>
      </c>
      <c r="CH326" s="7">
        <v>0</v>
      </c>
      <c r="CI326" s="7">
        <v>120</v>
      </c>
      <c r="CJ326" s="7">
        <v>0</v>
      </c>
      <c r="CK326" s="7">
        <v>0</v>
      </c>
      <c r="CL326" s="7">
        <v>0</v>
      </c>
      <c r="CM326" s="7">
        <v>0</v>
      </c>
      <c r="CN326" s="7">
        <v>0</v>
      </c>
      <c r="CO326" s="7">
        <v>0</v>
      </c>
      <c r="CP326" s="7">
        <v>0</v>
      </c>
      <c r="CQ326" s="7">
        <v>0</v>
      </c>
      <c r="CR326" s="7">
        <v>120</v>
      </c>
      <c r="CS326" s="7">
        <v>0</v>
      </c>
      <c r="CT326" s="7">
        <v>0</v>
      </c>
      <c r="CU326" s="7">
        <v>0</v>
      </c>
      <c r="CV326" s="7">
        <v>0</v>
      </c>
      <c r="CW326" s="7">
        <v>0</v>
      </c>
      <c r="CX326" s="7">
        <v>0</v>
      </c>
      <c r="CY326" s="7">
        <v>0</v>
      </c>
      <c r="CZ326" s="7">
        <v>0</v>
      </c>
      <c r="DA326" s="9">
        <v>120</v>
      </c>
      <c r="DB326" s="9">
        <v>0</v>
      </c>
      <c r="DC326" s="9">
        <v>0</v>
      </c>
      <c r="DD326" s="9">
        <v>0</v>
      </c>
      <c r="DE326" s="9">
        <v>0</v>
      </c>
      <c r="DF326" s="9">
        <v>0</v>
      </c>
      <c r="DG326" s="9">
        <v>0</v>
      </c>
      <c r="DH326" s="9">
        <v>0</v>
      </c>
      <c r="DI326" s="9">
        <v>0</v>
      </c>
    </row>
    <row r="327" spans="1:113">
      <c r="A327" s="5" t="s">
        <v>759</v>
      </c>
      <c r="B327" s="5" t="s">
        <v>770</v>
      </c>
      <c r="C327" s="5" t="s">
        <v>771</v>
      </c>
      <c r="D327" s="6">
        <v>151389</v>
      </c>
      <c r="E327" s="7">
        <v>10.6964591053492</v>
      </c>
      <c r="F327" s="7">
        <v>1.8945696186645</v>
      </c>
      <c r="G327" s="7">
        <v>7.2388482650654904</v>
      </c>
      <c r="H327" s="7">
        <v>9.5126132017517797</v>
      </c>
      <c r="I327" s="7">
        <v>9.7339767090079192</v>
      </c>
      <c r="J327" s="7">
        <v>80.488014320723394</v>
      </c>
      <c r="K327" s="7">
        <v>96.8194518756316</v>
      </c>
      <c r="L327" s="7">
        <v>99.5746058168031</v>
      </c>
      <c r="M327" s="7">
        <v>99.887045954461698</v>
      </c>
      <c r="N327" s="7">
        <v>9.5377342329681696</v>
      </c>
      <c r="O327" s="7">
        <v>4.86882798618129</v>
      </c>
      <c r="P327" s="7">
        <v>8.3683556929499492</v>
      </c>
      <c r="Q327" s="7">
        <v>9.9410525203284195</v>
      </c>
      <c r="R327" s="7">
        <v>10</v>
      </c>
      <c r="S327" s="7">
        <v>89.229072125451694</v>
      </c>
      <c r="T327" s="7">
        <v>100</v>
      </c>
      <c r="U327" s="7">
        <v>100</v>
      </c>
      <c r="V327" s="7">
        <v>100</v>
      </c>
      <c r="W327" s="7">
        <v>7.4017114773335502</v>
      </c>
      <c r="X327" s="7">
        <v>8.1442376923026103</v>
      </c>
      <c r="Y327" s="7">
        <v>10</v>
      </c>
      <c r="Z327" s="7">
        <v>10</v>
      </c>
      <c r="AA327" s="7">
        <v>10</v>
      </c>
      <c r="AB327" s="7">
        <v>99.715302961245499</v>
      </c>
      <c r="AC327" s="7">
        <v>100</v>
      </c>
      <c r="AD327" s="7">
        <v>100</v>
      </c>
      <c r="AE327" s="7">
        <v>100</v>
      </c>
      <c r="AF327" s="6">
        <v>13.0460696432486</v>
      </c>
      <c r="AG327" s="6">
        <v>1.5251900732549899</v>
      </c>
      <c r="AH327" s="6">
        <v>4.7492023859065098</v>
      </c>
      <c r="AI327" s="6">
        <v>6.8348559010231904</v>
      </c>
      <c r="AJ327" s="6">
        <v>7.6787679421886699</v>
      </c>
      <c r="AK327" s="6">
        <v>75.603247263671705</v>
      </c>
      <c r="AL327" s="6">
        <v>87.861073129487593</v>
      </c>
      <c r="AM327" s="6">
        <v>97.118681013812093</v>
      </c>
      <c r="AN327" s="6">
        <v>99.624807614820099</v>
      </c>
      <c r="AO327" s="6">
        <v>9.6126499369279497</v>
      </c>
      <c r="AP327" s="7">
        <v>2.27920786847129</v>
      </c>
      <c r="AQ327" s="7">
        <v>7.8012273018515197</v>
      </c>
      <c r="AR327" s="7">
        <v>9.71192094537912</v>
      </c>
      <c r="AS327" s="7">
        <v>9.8273124203211601</v>
      </c>
      <c r="AT327" s="7">
        <v>83.910323735542207</v>
      </c>
      <c r="AU327" s="7">
        <v>98.604257905131803</v>
      </c>
      <c r="AV327" s="7">
        <v>99.788624008349302</v>
      </c>
      <c r="AW327" s="7">
        <v>99.885064304539995</v>
      </c>
      <c r="AX327" s="7">
        <v>8.6671437607875905</v>
      </c>
      <c r="AY327" s="7">
        <v>5.0740938905732902</v>
      </c>
      <c r="AZ327" s="7">
        <v>8.7752941098758797</v>
      </c>
      <c r="BA327" s="7">
        <v>9.9958253241648993</v>
      </c>
      <c r="BB327" s="7">
        <v>10</v>
      </c>
      <c r="BC327" s="7">
        <v>95.473251028806601</v>
      </c>
      <c r="BD327" s="7">
        <v>100</v>
      </c>
      <c r="BE327" s="7">
        <v>100</v>
      </c>
      <c r="BF327" s="7">
        <v>100</v>
      </c>
      <c r="BG327" s="7">
        <v>7.0058121111014504</v>
      </c>
      <c r="BH327" s="7">
        <v>8.5044421985745302</v>
      </c>
      <c r="BI327" s="7">
        <v>10</v>
      </c>
      <c r="BJ327" s="7">
        <v>10</v>
      </c>
      <c r="BK327" s="7">
        <v>10</v>
      </c>
      <c r="BL327" s="7">
        <v>100</v>
      </c>
      <c r="BM327" s="7">
        <v>100</v>
      </c>
      <c r="BN327" s="7">
        <v>100</v>
      </c>
      <c r="BO327" s="7">
        <v>100</v>
      </c>
      <c r="BP327" s="6">
        <v>11.0221836112575</v>
      </c>
      <c r="BQ327" s="6">
        <v>1.75774329706914</v>
      </c>
      <c r="BR327" s="6">
        <v>4.9589600301210801</v>
      </c>
      <c r="BS327" s="6">
        <v>6.6255276142916602</v>
      </c>
      <c r="BT327" s="6">
        <v>7.6112201018568104</v>
      </c>
      <c r="BU327" s="6">
        <v>77.275099247633605</v>
      </c>
      <c r="BV327" s="6">
        <v>94.368150922458</v>
      </c>
      <c r="BW327" s="6">
        <v>99.349358275700396</v>
      </c>
      <c r="BX327" s="6">
        <v>99.885064304539995</v>
      </c>
      <c r="BY327" s="6" t="str">
        <f>TRIM(Table1[[#This Row],[LA_Name]])</f>
        <v>North Somerset</v>
      </c>
      <c r="BZ327" s="7">
        <v>53.5056561867776</v>
      </c>
      <c r="CA327" s="7">
        <v>0</v>
      </c>
      <c r="CB327" s="7">
        <v>0.112623770551361</v>
      </c>
      <c r="CC327" s="7">
        <v>1.0173262258156099</v>
      </c>
      <c r="CD327" s="7">
        <v>4.9453130676601296</v>
      </c>
      <c r="CE327" s="7">
        <v>0</v>
      </c>
      <c r="CF327" s="7">
        <v>4.1482538361439696</v>
      </c>
      <c r="CG327" s="7">
        <v>23.446221323874301</v>
      </c>
      <c r="CH327" s="7">
        <v>77.702475080752194</v>
      </c>
      <c r="CI327" s="7">
        <v>86.301995104981302</v>
      </c>
      <c r="CJ327" s="7">
        <v>1.98164992172483E-3</v>
      </c>
      <c r="CK327" s="7">
        <v>0.171478773226588</v>
      </c>
      <c r="CL327" s="7">
        <v>0.676086109294599</v>
      </c>
      <c r="CM327" s="7">
        <v>1.9090620850920501</v>
      </c>
      <c r="CN327" s="7">
        <v>0.19816499217248301</v>
      </c>
      <c r="CO327" s="7">
        <v>3.4943093619747798</v>
      </c>
      <c r="CP327" s="7">
        <v>8.2852783227315108</v>
      </c>
      <c r="CQ327" s="7">
        <v>27.404236767532598</v>
      </c>
      <c r="CR327" s="7">
        <v>24.661123504157601</v>
      </c>
      <c r="CS327" s="7">
        <v>8.3817186189221099E-2</v>
      </c>
      <c r="CT327" s="7">
        <v>4.2755153941171402</v>
      </c>
      <c r="CU327" s="7">
        <v>9.7304691886464703</v>
      </c>
      <c r="CV327" s="7">
        <v>10</v>
      </c>
      <c r="CW327" s="7">
        <v>5.0043266023291002</v>
      </c>
      <c r="CX327" s="7">
        <v>76.930292161253504</v>
      </c>
      <c r="CY327" s="7">
        <v>100</v>
      </c>
      <c r="CZ327" s="7">
        <v>100</v>
      </c>
      <c r="DA327" s="9">
        <v>114.78635776323701</v>
      </c>
      <c r="DB327" s="9">
        <v>0</v>
      </c>
      <c r="DC327" s="9">
        <v>0</v>
      </c>
      <c r="DD327" s="9">
        <v>3.4956304619225997E-2</v>
      </c>
      <c r="DE327" s="9">
        <v>8.0521041819418895E-2</v>
      </c>
      <c r="DF327" s="9">
        <v>0</v>
      </c>
      <c r="DG327" s="9">
        <v>0</v>
      </c>
      <c r="DH327" s="9">
        <v>1.5655034381626101</v>
      </c>
      <c r="DI327" s="9">
        <v>3.0299427303172601</v>
      </c>
    </row>
    <row r="328" spans="1:113">
      <c r="A328" s="5" t="s">
        <v>759</v>
      </c>
      <c r="B328" s="5" t="s">
        <v>772</v>
      </c>
      <c r="C328" s="5" t="s">
        <v>773</v>
      </c>
      <c r="D328" s="6">
        <v>191884</v>
      </c>
      <c r="E328" s="7">
        <v>7.1326092855261596</v>
      </c>
      <c r="F328" s="7">
        <v>4.3624116653811704</v>
      </c>
      <c r="G328" s="7">
        <v>9.8362552375393495</v>
      </c>
      <c r="H328" s="7">
        <v>10</v>
      </c>
      <c r="I328" s="7">
        <v>10</v>
      </c>
      <c r="J328" s="7">
        <v>93.766025306956294</v>
      </c>
      <c r="K328" s="7">
        <v>100</v>
      </c>
      <c r="L328" s="7">
        <v>100</v>
      </c>
      <c r="M328" s="7">
        <v>100</v>
      </c>
      <c r="N328" s="7">
        <v>7.6082550034370202</v>
      </c>
      <c r="O328" s="7">
        <v>8.0648204123324501</v>
      </c>
      <c r="P328" s="7">
        <v>10</v>
      </c>
      <c r="Q328" s="7">
        <v>10</v>
      </c>
      <c r="R328" s="7">
        <v>10</v>
      </c>
      <c r="S328" s="7">
        <v>99.858247691313494</v>
      </c>
      <c r="T328" s="7">
        <v>100</v>
      </c>
      <c r="U328" s="7">
        <v>100</v>
      </c>
      <c r="V328" s="7">
        <v>100</v>
      </c>
      <c r="W328" s="7">
        <v>6.6945545711937999</v>
      </c>
      <c r="X328" s="7">
        <v>9.9576671322257209</v>
      </c>
      <c r="Y328" s="7">
        <v>10</v>
      </c>
      <c r="Z328" s="7">
        <v>10</v>
      </c>
      <c r="AA328" s="7">
        <v>10</v>
      </c>
      <c r="AB328" s="7">
        <v>100</v>
      </c>
      <c r="AC328" s="7">
        <v>100</v>
      </c>
      <c r="AD328" s="7">
        <v>100</v>
      </c>
      <c r="AE328" s="7">
        <v>100</v>
      </c>
      <c r="AF328" s="6">
        <v>7.3665673135132703</v>
      </c>
      <c r="AG328" s="6">
        <v>3.3483198182235099</v>
      </c>
      <c r="AH328" s="6">
        <v>8.1429561610139505</v>
      </c>
      <c r="AI328" s="6">
        <v>9.6199578912259494</v>
      </c>
      <c r="AJ328" s="6">
        <v>9.9794354922765791</v>
      </c>
      <c r="AK328" s="6">
        <v>91.913343478351507</v>
      </c>
      <c r="AL328" s="6">
        <v>99.858247691313494</v>
      </c>
      <c r="AM328" s="6">
        <v>100</v>
      </c>
      <c r="AN328" s="6">
        <v>100</v>
      </c>
      <c r="AO328" s="6">
        <v>10.195640751076001</v>
      </c>
      <c r="AP328" s="7">
        <v>2.3594776010506302</v>
      </c>
      <c r="AQ328" s="7">
        <v>8.8096662566967492</v>
      </c>
      <c r="AR328" s="7">
        <v>10</v>
      </c>
      <c r="AS328" s="7">
        <v>10</v>
      </c>
      <c r="AT328" s="7">
        <v>78.059661045214796</v>
      </c>
      <c r="AU328" s="7">
        <v>100</v>
      </c>
      <c r="AV328" s="7">
        <v>100</v>
      </c>
      <c r="AW328" s="7">
        <v>100</v>
      </c>
      <c r="AX328" s="7">
        <v>9.0693671729829006</v>
      </c>
      <c r="AY328" s="7">
        <v>5.7161670592649703</v>
      </c>
      <c r="AZ328" s="7">
        <v>9.8760136332367505</v>
      </c>
      <c r="BA328" s="7">
        <v>10</v>
      </c>
      <c r="BB328" s="7">
        <v>10</v>
      </c>
      <c r="BC328" s="7">
        <v>96.551041254091004</v>
      </c>
      <c r="BD328" s="7">
        <v>100</v>
      </c>
      <c r="BE328" s="7">
        <v>100</v>
      </c>
      <c r="BF328" s="7">
        <v>100</v>
      </c>
      <c r="BG328" s="7">
        <v>7.3671559325421798</v>
      </c>
      <c r="BH328" s="7">
        <v>9.3250192824831704</v>
      </c>
      <c r="BI328" s="7">
        <v>10</v>
      </c>
      <c r="BJ328" s="7">
        <v>10</v>
      </c>
      <c r="BK328" s="7">
        <v>10</v>
      </c>
      <c r="BL328" s="7">
        <v>100</v>
      </c>
      <c r="BM328" s="7">
        <v>100</v>
      </c>
      <c r="BN328" s="7">
        <v>100</v>
      </c>
      <c r="BO328" s="7">
        <v>100</v>
      </c>
      <c r="BP328" s="6">
        <v>11.561730423849999</v>
      </c>
      <c r="BQ328" s="6">
        <v>1.8539951220529101</v>
      </c>
      <c r="BR328" s="6">
        <v>5.6343728502637003</v>
      </c>
      <c r="BS328" s="6">
        <v>8.0387577911654997</v>
      </c>
      <c r="BT328" s="6">
        <v>9.3877029872214504</v>
      </c>
      <c r="BU328" s="6">
        <v>70.537929165537506</v>
      </c>
      <c r="BV328" s="6">
        <v>97.463571741260395</v>
      </c>
      <c r="BW328" s="6">
        <v>100</v>
      </c>
      <c r="BX328" s="6">
        <v>100</v>
      </c>
      <c r="BY328" s="6" t="str">
        <f>TRIM(Table1[[#This Row],[LA_Name]])</f>
        <v>Plymouth</v>
      </c>
      <c r="BZ328" s="7">
        <v>26.2347331260106</v>
      </c>
      <c r="CA328" s="7">
        <v>0.13891205103083101</v>
      </c>
      <c r="CB328" s="7">
        <v>0.87301703112297002</v>
      </c>
      <c r="CC328" s="7">
        <v>2.25803089366492</v>
      </c>
      <c r="CD328" s="7">
        <v>3.02624502303475</v>
      </c>
      <c r="CE328" s="7">
        <v>13.891205103083101</v>
      </c>
      <c r="CF328" s="7">
        <v>64.396718850972505</v>
      </c>
      <c r="CG328" s="7">
        <v>97.201434199829094</v>
      </c>
      <c r="CH328" s="7">
        <v>100</v>
      </c>
      <c r="CI328" s="7">
        <v>19.1119943767807</v>
      </c>
      <c r="CJ328" s="7">
        <v>0.42789914740155499</v>
      </c>
      <c r="CK328" s="7">
        <v>1.77056450772342</v>
      </c>
      <c r="CL328" s="7">
        <v>2.9299420483208598</v>
      </c>
      <c r="CM328" s="7">
        <v>3</v>
      </c>
      <c r="CN328" s="7">
        <v>36.145275270475899</v>
      </c>
      <c r="CO328" s="7">
        <v>91.233766233766204</v>
      </c>
      <c r="CP328" s="7">
        <v>100</v>
      </c>
      <c r="CQ328" s="7">
        <v>100</v>
      </c>
      <c r="CR328" s="7">
        <v>12.3721717743864</v>
      </c>
      <c r="CS328" s="7">
        <v>1.2479727335265101</v>
      </c>
      <c r="CT328" s="7">
        <v>3</v>
      </c>
      <c r="CU328" s="7">
        <v>3.43653457297117</v>
      </c>
      <c r="CV328" s="7">
        <v>9.4613881303287393</v>
      </c>
      <c r="CW328" s="7">
        <v>74.789977277938803</v>
      </c>
      <c r="CX328" s="7">
        <v>100</v>
      </c>
      <c r="CY328" s="7">
        <v>100</v>
      </c>
      <c r="CZ328" s="7">
        <v>100</v>
      </c>
      <c r="DA328" s="9">
        <v>42.805043611393202</v>
      </c>
      <c r="DB328" s="9">
        <v>0.101550937024452</v>
      </c>
      <c r="DC328" s="9">
        <v>0.40265994038064701</v>
      </c>
      <c r="DD328" s="9">
        <v>0.77078860144670702</v>
      </c>
      <c r="DE328" s="9">
        <v>1.2493954680953101</v>
      </c>
      <c r="DF328" s="9">
        <v>10.1550937024452</v>
      </c>
      <c r="DG328" s="9">
        <v>35.388568093223</v>
      </c>
      <c r="DH328" s="9">
        <v>56.121927831398096</v>
      </c>
      <c r="DI328" s="9">
        <v>74.537220403994098</v>
      </c>
    </row>
    <row r="329" spans="1:113">
      <c r="A329" s="5" t="s">
        <v>759</v>
      </c>
      <c r="B329" s="5" t="s">
        <v>774</v>
      </c>
      <c r="C329" s="5" t="s">
        <v>775</v>
      </c>
      <c r="D329" s="6">
        <v>107598</v>
      </c>
      <c r="E329" s="7">
        <v>8.1217175908459396</v>
      </c>
      <c r="F329" s="7">
        <v>2.8555270544062199</v>
      </c>
      <c r="G329" s="7">
        <v>9.8279893678321208</v>
      </c>
      <c r="H329" s="7">
        <v>10</v>
      </c>
      <c r="I329" s="7">
        <v>10</v>
      </c>
      <c r="J329" s="7">
        <v>94.023123106377398</v>
      </c>
      <c r="K329" s="7">
        <v>100</v>
      </c>
      <c r="L329" s="7">
        <v>100</v>
      </c>
      <c r="M329" s="7">
        <v>100</v>
      </c>
      <c r="N329" s="7">
        <v>8.13845063621695</v>
      </c>
      <c r="O329" s="7">
        <v>7.1122325693786097</v>
      </c>
      <c r="P329" s="7">
        <v>10</v>
      </c>
      <c r="Q329" s="7">
        <v>10</v>
      </c>
      <c r="R329" s="7">
        <v>10</v>
      </c>
      <c r="S329" s="7">
        <v>99.068755924831294</v>
      </c>
      <c r="T329" s="7">
        <v>100</v>
      </c>
      <c r="U329" s="7">
        <v>100</v>
      </c>
      <c r="V329" s="7">
        <v>100</v>
      </c>
      <c r="W329" s="7">
        <v>6.9372451178023704</v>
      </c>
      <c r="X329" s="7">
        <v>9.9628710570828396</v>
      </c>
      <c r="Y329" s="7">
        <v>10</v>
      </c>
      <c r="Z329" s="7">
        <v>10</v>
      </c>
      <c r="AA329" s="7">
        <v>10</v>
      </c>
      <c r="AB329" s="7">
        <v>100</v>
      </c>
      <c r="AC329" s="7">
        <v>100</v>
      </c>
      <c r="AD329" s="7">
        <v>100</v>
      </c>
      <c r="AE329" s="7">
        <v>100</v>
      </c>
      <c r="AF329" s="6">
        <v>8.7433442843629194</v>
      </c>
      <c r="AG329" s="6">
        <v>2.10837562036469</v>
      </c>
      <c r="AH329" s="6">
        <v>7.13998401457276</v>
      </c>
      <c r="AI329" s="6">
        <v>9.5179928994962708</v>
      </c>
      <c r="AJ329" s="6">
        <v>9.9185393780553603</v>
      </c>
      <c r="AK329" s="6">
        <v>88.934738563913797</v>
      </c>
      <c r="AL329" s="6">
        <v>99.545530586070399</v>
      </c>
      <c r="AM329" s="6">
        <v>100</v>
      </c>
      <c r="AN329" s="6">
        <v>100</v>
      </c>
      <c r="AO329" s="6">
        <v>9.4464473319082103</v>
      </c>
      <c r="AP329" s="7">
        <v>2.4329262625699402</v>
      </c>
      <c r="AQ329" s="7">
        <v>9.4169873045967396</v>
      </c>
      <c r="AR329" s="7">
        <v>9.9914124797858701</v>
      </c>
      <c r="AS329" s="7">
        <v>10</v>
      </c>
      <c r="AT329" s="7">
        <v>86.615922229037693</v>
      </c>
      <c r="AU329" s="7">
        <v>100</v>
      </c>
      <c r="AV329" s="7">
        <v>100</v>
      </c>
      <c r="AW329" s="7">
        <v>100</v>
      </c>
      <c r="AX329" s="7">
        <v>8.6432235618823494</v>
      </c>
      <c r="AY329" s="7">
        <v>6.4978717076525596</v>
      </c>
      <c r="AZ329" s="7">
        <v>9.9872209520623105</v>
      </c>
      <c r="BA329" s="7">
        <v>10</v>
      </c>
      <c r="BB329" s="7">
        <v>10</v>
      </c>
      <c r="BC329" s="7">
        <v>99.584564768861895</v>
      </c>
      <c r="BD329" s="7">
        <v>100</v>
      </c>
      <c r="BE329" s="7">
        <v>100</v>
      </c>
      <c r="BF329" s="7">
        <v>100</v>
      </c>
      <c r="BG329" s="7">
        <v>7.1887704402656496</v>
      </c>
      <c r="BH329" s="7">
        <v>9.8152103198944207</v>
      </c>
      <c r="BI329" s="7">
        <v>10</v>
      </c>
      <c r="BJ329" s="7">
        <v>10</v>
      </c>
      <c r="BK329" s="7">
        <v>10</v>
      </c>
      <c r="BL329" s="7">
        <v>100</v>
      </c>
      <c r="BM329" s="7">
        <v>100</v>
      </c>
      <c r="BN329" s="7">
        <v>100</v>
      </c>
      <c r="BO329" s="7">
        <v>100</v>
      </c>
      <c r="BP329" s="6">
        <v>10.3616000157892</v>
      </c>
      <c r="BQ329" s="6">
        <v>1.7176806260339399</v>
      </c>
      <c r="BR329" s="6">
        <v>6.5202791873454897</v>
      </c>
      <c r="BS329" s="6">
        <v>8.9155932266398992</v>
      </c>
      <c r="BT329" s="6">
        <v>9.7720310786445808</v>
      </c>
      <c r="BU329" s="6">
        <v>79.100912656369104</v>
      </c>
      <c r="BV329" s="6">
        <v>100</v>
      </c>
      <c r="BW329" s="6">
        <v>100</v>
      </c>
      <c r="BX329" s="6">
        <v>100</v>
      </c>
      <c r="BY329" s="6" t="str">
        <f>TRIM(Table1[[#This Row],[LA_Name]])</f>
        <v>Poole</v>
      </c>
      <c r="BZ329" s="7">
        <v>21.202975657012502</v>
      </c>
      <c r="CA329" s="7">
        <v>0.22787598282495999</v>
      </c>
      <c r="CB329" s="7">
        <v>1.8818658339374299</v>
      </c>
      <c r="CC329" s="7">
        <v>4.1360341270283802</v>
      </c>
      <c r="CD329" s="7">
        <v>6.6124835034108402</v>
      </c>
      <c r="CE329" s="7">
        <v>17.4083161397052</v>
      </c>
      <c r="CF329" s="7">
        <v>89.527686388222804</v>
      </c>
      <c r="CG329" s="7">
        <v>100</v>
      </c>
      <c r="CH329" s="7">
        <v>100</v>
      </c>
      <c r="CI329" s="7">
        <v>16.616335430411901</v>
      </c>
      <c r="CJ329" s="7">
        <v>0.54126470752244504</v>
      </c>
      <c r="CK329" s="7">
        <v>3.4296455324448401</v>
      </c>
      <c r="CL329" s="7">
        <v>5.8411680514507696</v>
      </c>
      <c r="CM329" s="7">
        <v>7.66042119742003</v>
      </c>
      <c r="CN329" s="7">
        <v>38.829718024498597</v>
      </c>
      <c r="CO329" s="7">
        <v>99.545530586070399</v>
      </c>
      <c r="CP329" s="7">
        <v>100</v>
      </c>
      <c r="CQ329" s="7">
        <v>100</v>
      </c>
      <c r="CR329" s="7">
        <v>11.266402436458501</v>
      </c>
      <c r="CS329" s="7">
        <v>2.08818007769661</v>
      </c>
      <c r="CT329" s="7">
        <v>7.4863008606107897</v>
      </c>
      <c r="CU329" s="7">
        <v>9.7933976467964108</v>
      </c>
      <c r="CV329" s="7">
        <v>10</v>
      </c>
      <c r="CW329" s="7">
        <v>92.626256993624395</v>
      </c>
      <c r="CX329" s="7">
        <v>100</v>
      </c>
      <c r="CY329" s="7">
        <v>100</v>
      </c>
      <c r="CZ329" s="7">
        <v>100</v>
      </c>
      <c r="DA329" s="9">
        <v>36.132125693385198</v>
      </c>
      <c r="DB329" s="9">
        <v>0.16249372664919401</v>
      </c>
      <c r="DC329" s="9">
        <v>0.50112455621851704</v>
      </c>
      <c r="DD329" s="9">
        <v>1.12262309708359</v>
      </c>
      <c r="DE329" s="9">
        <v>2.0626870387925398</v>
      </c>
      <c r="DF329" s="9">
        <v>11.673079425268099</v>
      </c>
      <c r="DG329" s="9">
        <v>35.876131526608297</v>
      </c>
      <c r="DH329" s="9">
        <v>69.909291994274994</v>
      </c>
      <c r="DI329" s="9">
        <v>92.303760292942201</v>
      </c>
    </row>
    <row r="330" spans="1:113">
      <c r="A330" s="5" t="s">
        <v>759</v>
      </c>
      <c r="B330" s="5" t="s">
        <v>776</v>
      </c>
      <c r="C330" s="5" t="s">
        <v>777</v>
      </c>
      <c r="D330" s="6">
        <v>205642</v>
      </c>
      <c r="E330" s="7">
        <v>8.9847940824649601</v>
      </c>
      <c r="F330" s="7">
        <v>3.0562871397866198</v>
      </c>
      <c r="G330" s="7">
        <v>8.9653037803561499</v>
      </c>
      <c r="H330" s="7">
        <v>9.7580503982649507</v>
      </c>
      <c r="I330" s="7">
        <v>9.8863169975005096</v>
      </c>
      <c r="J330" s="7">
        <v>85.802024878186401</v>
      </c>
      <c r="K330" s="7">
        <v>98.154073584190002</v>
      </c>
      <c r="L330" s="7">
        <v>99.649876970657701</v>
      </c>
      <c r="M330" s="7">
        <v>99.789439900409405</v>
      </c>
      <c r="N330" s="7">
        <v>8.9613188866727391</v>
      </c>
      <c r="O330" s="7">
        <v>6.86646696686475</v>
      </c>
      <c r="P330" s="7">
        <v>9.1982279884459395</v>
      </c>
      <c r="Q330" s="7">
        <v>9.8289551745266106</v>
      </c>
      <c r="R330" s="7">
        <v>10</v>
      </c>
      <c r="S330" s="7">
        <v>91.144318767566901</v>
      </c>
      <c r="T330" s="7">
        <v>99.344491883953694</v>
      </c>
      <c r="U330" s="7">
        <v>100</v>
      </c>
      <c r="V330" s="7">
        <v>100</v>
      </c>
      <c r="W330" s="7">
        <v>7.1642266255402802</v>
      </c>
      <c r="X330" s="7">
        <v>9.0755050038416307</v>
      </c>
      <c r="Y330" s="7">
        <v>10</v>
      </c>
      <c r="Z330" s="7">
        <v>10</v>
      </c>
      <c r="AA330" s="7">
        <v>10</v>
      </c>
      <c r="AB330" s="7">
        <v>98.757063245834999</v>
      </c>
      <c r="AC330" s="7">
        <v>100</v>
      </c>
      <c r="AD330" s="7">
        <v>100</v>
      </c>
      <c r="AE330" s="7">
        <v>100</v>
      </c>
      <c r="AF330" s="6">
        <v>11.7060913810211</v>
      </c>
      <c r="AG330" s="6">
        <v>2.5207253382091199</v>
      </c>
      <c r="AH330" s="6">
        <v>6.9916164985751896</v>
      </c>
      <c r="AI330" s="6">
        <v>8.4167387984944693</v>
      </c>
      <c r="AJ330" s="6">
        <v>8.9171618638215904</v>
      </c>
      <c r="AK330" s="6">
        <v>82.956302700810099</v>
      </c>
      <c r="AL330" s="6">
        <v>91.1822487624123</v>
      </c>
      <c r="AM330" s="6">
        <v>94.867779928224806</v>
      </c>
      <c r="AN330" s="6">
        <v>97.211659096877099</v>
      </c>
      <c r="AO330" s="6">
        <v>10.864623659861</v>
      </c>
      <c r="AP330" s="7">
        <v>1.5481808190933799</v>
      </c>
      <c r="AQ330" s="7">
        <v>7.9271209188784404</v>
      </c>
      <c r="AR330" s="7">
        <v>9.6477130158236193</v>
      </c>
      <c r="AS330" s="7">
        <v>9.8999863841044107</v>
      </c>
      <c r="AT330" s="7">
        <v>77.088337985430996</v>
      </c>
      <c r="AU330" s="7">
        <v>99.414516489822105</v>
      </c>
      <c r="AV330" s="7">
        <v>99.767557211075598</v>
      </c>
      <c r="AW330" s="7">
        <v>100</v>
      </c>
      <c r="AX330" s="7">
        <v>9.50505515077786</v>
      </c>
      <c r="AY330" s="7">
        <v>4.01557074916603</v>
      </c>
      <c r="AZ330" s="7">
        <v>8.7499440775716995</v>
      </c>
      <c r="BA330" s="7">
        <v>9.9624979333015595</v>
      </c>
      <c r="BB330" s="7">
        <v>10</v>
      </c>
      <c r="BC330" s="7">
        <v>93.109384269750294</v>
      </c>
      <c r="BD330" s="7">
        <v>100</v>
      </c>
      <c r="BE330" s="7">
        <v>100</v>
      </c>
      <c r="BF330" s="7">
        <v>100</v>
      </c>
      <c r="BG330" s="7">
        <v>7.4831198485310999</v>
      </c>
      <c r="BH330" s="7">
        <v>8.2983242722790092</v>
      </c>
      <c r="BI330" s="7">
        <v>10</v>
      </c>
      <c r="BJ330" s="7">
        <v>10</v>
      </c>
      <c r="BK330" s="7">
        <v>10</v>
      </c>
      <c r="BL330" s="7">
        <v>100</v>
      </c>
      <c r="BM330" s="7">
        <v>100</v>
      </c>
      <c r="BN330" s="7">
        <v>100</v>
      </c>
      <c r="BO330" s="7">
        <v>100</v>
      </c>
      <c r="BP330" s="6">
        <v>12.8914351654873</v>
      </c>
      <c r="BQ330" s="6">
        <v>1.2704651773470399</v>
      </c>
      <c r="BR330" s="6">
        <v>4.0553486155551903</v>
      </c>
      <c r="BS330" s="6">
        <v>6.54790850118167</v>
      </c>
      <c r="BT330" s="6">
        <v>7.8614825765164698</v>
      </c>
      <c r="BU330" s="6">
        <v>70.412172610653499</v>
      </c>
      <c r="BV330" s="6">
        <v>93.555791132161701</v>
      </c>
      <c r="BW330" s="6">
        <v>98.8713395123564</v>
      </c>
      <c r="BX330" s="6">
        <v>99.724278114393002</v>
      </c>
      <c r="BY330" s="6" t="str">
        <f>TRIM(Table1[[#This Row],[LA_Name]])</f>
        <v>South Gloucestershire</v>
      </c>
      <c r="BZ330" s="7">
        <v>31.423011802672601</v>
      </c>
      <c r="CA330" s="7">
        <v>0.169464409021503</v>
      </c>
      <c r="CB330" s="7">
        <v>1.37449061962051</v>
      </c>
      <c r="CC330" s="7">
        <v>4.7867556238511604</v>
      </c>
      <c r="CD330" s="7">
        <v>8.2657482420906199</v>
      </c>
      <c r="CE330" s="7">
        <v>14.1060678266113</v>
      </c>
      <c r="CF330" s="7">
        <v>41.716672664144497</v>
      </c>
      <c r="CG330" s="7">
        <v>90.487838087550202</v>
      </c>
      <c r="CH330" s="7">
        <v>96.325167037861902</v>
      </c>
      <c r="CI330" s="7">
        <v>25.3688367387882</v>
      </c>
      <c r="CJ330" s="7">
        <v>0.45698835840927399</v>
      </c>
      <c r="CK330" s="7">
        <v>2.6994291049493802</v>
      </c>
      <c r="CL330" s="7">
        <v>7.1265354353682602</v>
      </c>
      <c r="CM330" s="7">
        <v>8.6713025549255498</v>
      </c>
      <c r="CN330" s="7">
        <v>27.519670106301199</v>
      </c>
      <c r="CO330" s="7">
        <v>70.469553884906801</v>
      </c>
      <c r="CP330" s="7">
        <v>94.204491300415299</v>
      </c>
      <c r="CQ330" s="7">
        <v>98.0548720592097</v>
      </c>
      <c r="CR330" s="7">
        <v>14.898705939564101</v>
      </c>
      <c r="CS330" s="7">
        <v>1.57505276159539</v>
      </c>
      <c r="CT330" s="7">
        <v>9.0823664426527593</v>
      </c>
      <c r="CU330" s="7">
        <v>10</v>
      </c>
      <c r="CV330" s="7">
        <v>10</v>
      </c>
      <c r="CW330" s="7">
        <v>45.153713735521002</v>
      </c>
      <c r="CX330" s="7">
        <v>100</v>
      </c>
      <c r="CY330" s="7">
        <v>100</v>
      </c>
      <c r="CZ330" s="7">
        <v>100</v>
      </c>
      <c r="DA330" s="9">
        <v>61.340813759133297</v>
      </c>
      <c r="DB330" s="9">
        <v>0.15016387702901199</v>
      </c>
      <c r="DC330" s="9">
        <v>0.48936501298372898</v>
      </c>
      <c r="DD330" s="9">
        <v>0.962507658941267</v>
      </c>
      <c r="DE330" s="9">
        <v>1.4686445375944599</v>
      </c>
      <c r="DF330" s="9">
        <v>13.4763326557804</v>
      </c>
      <c r="DG330" s="9">
        <v>27.850828138220798</v>
      </c>
      <c r="DH330" s="9">
        <v>31.9239260462357</v>
      </c>
      <c r="DI330" s="9">
        <v>44.0323474776553</v>
      </c>
    </row>
    <row r="331" spans="1:113">
      <c r="A331" s="5" t="s">
        <v>759</v>
      </c>
      <c r="B331" s="5" t="s">
        <v>778</v>
      </c>
      <c r="C331" s="5" t="s">
        <v>779</v>
      </c>
      <c r="D331" s="6">
        <v>160501</v>
      </c>
      <c r="E331" s="7">
        <v>8.2871200410289401</v>
      </c>
      <c r="F331" s="7">
        <v>2.79237512538863</v>
      </c>
      <c r="G331" s="7">
        <v>9.1888087924685795</v>
      </c>
      <c r="H331" s="7">
        <v>9.9295829932523798</v>
      </c>
      <c r="I331" s="7">
        <v>9.9898692219986192</v>
      </c>
      <c r="J331" s="7">
        <v>91.547093164528604</v>
      </c>
      <c r="K331" s="7">
        <v>99.300315885882299</v>
      </c>
      <c r="L331" s="7">
        <v>100</v>
      </c>
      <c r="M331" s="7">
        <v>100</v>
      </c>
      <c r="N331" s="7">
        <v>8.3088623912508801</v>
      </c>
      <c r="O331" s="7">
        <v>7.04441716874038</v>
      </c>
      <c r="P331" s="7">
        <v>9.6480644980405099</v>
      </c>
      <c r="Q331" s="7">
        <v>9.9991651142360496</v>
      </c>
      <c r="R331" s="7">
        <v>10</v>
      </c>
      <c r="S331" s="7">
        <v>96.756406502140194</v>
      </c>
      <c r="T331" s="7">
        <v>100</v>
      </c>
      <c r="U331" s="7">
        <v>100</v>
      </c>
      <c r="V331" s="7">
        <v>100</v>
      </c>
      <c r="W331" s="7">
        <v>7.0700441775447098</v>
      </c>
      <c r="X331" s="7">
        <v>9.5933109451031502</v>
      </c>
      <c r="Y331" s="7">
        <v>10</v>
      </c>
      <c r="Z331" s="7">
        <v>10</v>
      </c>
      <c r="AA331" s="7">
        <v>10</v>
      </c>
      <c r="AB331" s="7">
        <v>100</v>
      </c>
      <c r="AC331" s="7">
        <v>100</v>
      </c>
      <c r="AD331" s="7">
        <v>100</v>
      </c>
      <c r="AE331" s="7">
        <v>100</v>
      </c>
      <c r="AF331" s="6">
        <v>9.0587970118468206</v>
      </c>
      <c r="AG331" s="6">
        <v>2.3111694008137</v>
      </c>
      <c r="AH331" s="6">
        <v>7.3605398097208097</v>
      </c>
      <c r="AI331" s="6">
        <v>9.0255263207082805</v>
      </c>
      <c r="AJ331" s="6">
        <v>9.3498295960772797</v>
      </c>
      <c r="AK331" s="6">
        <v>87.898517766244396</v>
      </c>
      <c r="AL331" s="6">
        <v>96.565130435324406</v>
      </c>
      <c r="AM331" s="6">
        <v>99.424925701397498</v>
      </c>
      <c r="AN331" s="6">
        <v>100</v>
      </c>
      <c r="AO331" s="6">
        <v>10.3037002754133</v>
      </c>
      <c r="AP331" s="7">
        <v>2.3618419822929502</v>
      </c>
      <c r="AQ331" s="7">
        <v>8.3721908274714796</v>
      </c>
      <c r="AR331" s="7">
        <v>9.8816144447698093</v>
      </c>
      <c r="AS331" s="7">
        <v>9.9895639279506003</v>
      </c>
      <c r="AT331" s="7">
        <v>78.033158671908595</v>
      </c>
      <c r="AU331" s="7">
        <v>99.566357842007207</v>
      </c>
      <c r="AV331" s="7">
        <v>99.897196902199994</v>
      </c>
      <c r="AW331" s="7">
        <v>100</v>
      </c>
      <c r="AX331" s="7">
        <v>9.2986448504823898</v>
      </c>
      <c r="AY331" s="7">
        <v>5.3237113787453003</v>
      </c>
      <c r="AZ331" s="7">
        <v>9.5958529853396595</v>
      </c>
      <c r="BA331" s="7">
        <v>9.9953271319181791</v>
      </c>
      <c r="BB331" s="7">
        <v>10</v>
      </c>
      <c r="BC331" s="7">
        <v>95.733359916760605</v>
      </c>
      <c r="BD331" s="7">
        <v>99.885982018803603</v>
      </c>
      <c r="BE331" s="7">
        <v>100</v>
      </c>
      <c r="BF331" s="7">
        <v>100</v>
      </c>
      <c r="BG331" s="7">
        <v>7.6259277615364303</v>
      </c>
      <c r="BH331" s="7">
        <v>9.0744045208441104</v>
      </c>
      <c r="BI331" s="7">
        <v>10</v>
      </c>
      <c r="BJ331" s="7">
        <v>10</v>
      </c>
      <c r="BK331" s="7">
        <v>10</v>
      </c>
      <c r="BL331" s="7">
        <v>99.617447866368394</v>
      </c>
      <c r="BM331" s="7">
        <v>100</v>
      </c>
      <c r="BN331" s="7">
        <v>100</v>
      </c>
      <c r="BO331" s="7">
        <v>100</v>
      </c>
      <c r="BP331" s="6">
        <v>12.041180851774399</v>
      </c>
      <c r="BQ331" s="6">
        <v>2.0013270945352399</v>
      </c>
      <c r="BR331" s="6">
        <v>5.49991588837453</v>
      </c>
      <c r="BS331" s="6">
        <v>7.6832418489604404</v>
      </c>
      <c r="BT331" s="6">
        <v>8.9383119108292206</v>
      </c>
      <c r="BU331" s="6">
        <v>73.863091195693499</v>
      </c>
      <c r="BV331" s="6">
        <v>95.504700905290306</v>
      </c>
      <c r="BW331" s="6">
        <v>97.267929794829897</v>
      </c>
      <c r="BX331" s="6">
        <v>99.617447866368394</v>
      </c>
      <c r="BY331" s="6" t="str">
        <f>TRIM(Table1[[#This Row],[LA_Name]])</f>
        <v>Swindon</v>
      </c>
      <c r="BZ331" s="7">
        <v>24.341673527279902</v>
      </c>
      <c r="CA331" s="7">
        <v>0.16462825776786399</v>
      </c>
      <c r="CB331" s="7">
        <v>1.1614320159999001</v>
      </c>
      <c r="CC331" s="7">
        <v>3.0687783876735999</v>
      </c>
      <c r="CD331" s="7">
        <v>5.91203170073707</v>
      </c>
      <c r="CE331" s="7">
        <v>16.462825776786399</v>
      </c>
      <c r="CF331" s="7">
        <v>70.601429274584007</v>
      </c>
      <c r="CG331" s="7">
        <v>97.970729154335501</v>
      </c>
      <c r="CH331" s="7">
        <v>100</v>
      </c>
      <c r="CI331" s="7">
        <v>17.182787909174898</v>
      </c>
      <c r="CJ331" s="7">
        <v>0.43764836356159798</v>
      </c>
      <c r="CK331" s="7">
        <v>2.8067862505529599</v>
      </c>
      <c r="CL331" s="7">
        <v>4.4836916903944504</v>
      </c>
      <c r="CM331" s="7">
        <v>4.9611341985408197</v>
      </c>
      <c r="CN331" s="7">
        <v>37.690107849795297</v>
      </c>
      <c r="CO331" s="7">
        <v>97.940822798611805</v>
      </c>
      <c r="CP331" s="7">
        <v>100</v>
      </c>
      <c r="CQ331" s="7">
        <v>100</v>
      </c>
      <c r="CR331" s="7">
        <v>11.183137364946401</v>
      </c>
      <c r="CS331" s="7">
        <v>2.0381804474738501</v>
      </c>
      <c r="CT331" s="7">
        <v>5.4633678294839303</v>
      </c>
      <c r="CU331" s="7">
        <v>9.3805646070740991</v>
      </c>
      <c r="CV331" s="7">
        <v>10</v>
      </c>
      <c r="CW331" s="7">
        <v>94.342714375611394</v>
      </c>
      <c r="CX331" s="7">
        <v>100</v>
      </c>
      <c r="CY331" s="7">
        <v>100</v>
      </c>
      <c r="CZ331" s="7">
        <v>100</v>
      </c>
      <c r="DA331" s="9">
        <v>37.519463343698803</v>
      </c>
      <c r="DB331" s="9">
        <v>0.117519517012355</v>
      </c>
      <c r="DC331" s="9">
        <v>0.41757995277288001</v>
      </c>
      <c r="DD331" s="9">
        <v>0.96914037918766904</v>
      </c>
      <c r="DE331" s="9">
        <v>1.7065127320079001</v>
      </c>
      <c r="DF331" s="9">
        <v>11.7519517012355</v>
      </c>
      <c r="DG331" s="9">
        <v>35.310683422533202</v>
      </c>
      <c r="DH331" s="9">
        <v>66.451299368851295</v>
      </c>
      <c r="DI331" s="9">
        <v>87.664251313075894</v>
      </c>
    </row>
    <row r="332" spans="1:113">
      <c r="A332" s="5" t="s">
        <v>759</v>
      </c>
      <c r="B332" s="5" t="s">
        <v>780</v>
      </c>
      <c r="C332" s="5" t="s">
        <v>781</v>
      </c>
      <c r="D332" s="6">
        <v>96086</v>
      </c>
      <c r="E332" s="7">
        <v>7.2946046227337398</v>
      </c>
      <c r="F332" s="7">
        <v>3.6815977353620699</v>
      </c>
      <c r="G332" s="7">
        <v>9.8973627791769907</v>
      </c>
      <c r="H332" s="7">
        <v>9.9922985658680794</v>
      </c>
      <c r="I332" s="7">
        <v>10</v>
      </c>
      <c r="J332" s="7">
        <v>95.518597922694298</v>
      </c>
      <c r="K332" s="7">
        <v>100</v>
      </c>
      <c r="L332" s="7">
        <v>100</v>
      </c>
      <c r="M332" s="7">
        <v>100</v>
      </c>
      <c r="N332" s="7">
        <v>7.59846261015959</v>
      </c>
      <c r="O332" s="7">
        <v>8.4842328747163993</v>
      </c>
      <c r="P332" s="7">
        <v>10</v>
      </c>
      <c r="Q332" s="7">
        <v>10</v>
      </c>
      <c r="R332" s="7">
        <v>10</v>
      </c>
      <c r="S332" s="7">
        <v>99.692983369065203</v>
      </c>
      <c r="T332" s="7">
        <v>100</v>
      </c>
      <c r="U332" s="7">
        <v>100</v>
      </c>
      <c r="V332" s="7">
        <v>100</v>
      </c>
      <c r="W332" s="7">
        <v>6.61816518889293</v>
      </c>
      <c r="X332" s="7">
        <v>10</v>
      </c>
      <c r="Y332" s="7">
        <v>10</v>
      </c>
      <c r="Z332" s="7">
        <v>10</v>
      </c>
      <c r="AA332" s="7">
        <v>10</v>
      </c>
      <c r="AB332" s="7">
        <v>100</v>
      </c>
      <c r="AC332" s="7">
        <v>100</v>
      </c>
      <c r="AD332" s="7">
        <v>100</v>
      </c>
      <c r="AE332" s="7">
        <v>100</v>
      </c>
      <c r="AF332" s="6">
        <v>7.6544894165820097</v>
      </c>
      <c r="AG332" s="6">
        <v>3.1130966009616401</v>
      </c>
      <c r="AH332" s="6">
        <v>8.2283787440417999</v>
      </c>
      <c r="AI332" s="6">
        <v>9.7509626792664896</v>
      </c>
      <c r="AJ332" s="6">
        <v>9.9795079408030301</v>
      </c>
      <c r="AK332" s="6">
        <v>91.7417729950253</v>
      </c>
      <c r="AL332" s="6">
        <v>99.8470120517037</v>
      </c>
      <c r="AM332" s="6">
        <v>99.8470120517037</v>
      </c>
      <c r="AN332" s="6">
        <v>100</v>
      </c>
      <c r="AO332" s="6">
        <v>10.6809879826575</v>
      </c>
      <c r="AP332" s="7">
        <v>1.5814999063339099</v>
      </c>
      <c r="AQ332" s="7">
        <v>7.2653352205316102</v>
      </c>
      <c r="AR332" s="7">
        <v>9.3933871739899697</v>
      </c>
      <c r="AS332" s="7">
        <v>9.9659992090419003</v>
      </c>
      <c r="AT332" s="7">
        <v>76.981037820286005</v>
      </c>
      <c r="AU332" s="7">
        <v>100</v>
      </c>
      <c r="AV332" s="7">
        <v>100</v>
      </c>
      <c r="AW332" s="7">
        <v>100</v>
      </c>
      <c r="AX332" s="7">
        <v>9.0633018269312693</v>
      </c>
      <c r="AY332" s="7">
        <v>4.7801448702204299</v>
      </c>
      <c r="AZ332" s="7">
        <v>8.4752825593738894</v>
      </c>
      <c r="BA332" s="7">
        <v>9.5013737693316394</v>
      </c>
      <c r="BB332" s="7">
        <v>10</v>
      </c>
      <c r="BC332" s="7">
        <v>96.226297275357496</v>
      </c>
      <c r="BD332" s="7">
        <v>100</v>
      </c>
      <c r="BE332" s="7">
        <v>100</v>
      </c>
      <c r="BF332" s="7">
        <v>100</v>
      </c>
      <c r="BG332" s="7">
        <v>7.5000503738860997</v>
      </c>
      <c r="BH332" s="7">
        <v>7.9046791416023101</v>
      </c>
      <c r="BI332" s="7">
        <v>10</v>
      </c>
      <c r="BJ332" s="7">
        <v>10</v>
      </c>
      <c r="BK332" s="7">
        <v>10</v>
      </c>
      <c r="BL332" s="7">
        <v>100</v>
      </c>
      <c r="BM332" s="7">
        <v>100</v>
      </c>
      <c r="BN332" s="7">
        <v>100</v>
      </c>
      <c r="BO332" s="7">
        <v>100</v>
      </c>
      <c r="BP332" s="6">
        <v>12.472088331039201</v>
      </c>
      <c r="BQ332" s="6">
        <v>1.3726973752679901</v>
      </c>
      <c r="BR332" s="6">
        <v>4.5275482380367604</v>
      </c>
      <c r="BS332" s="6">
        <v>6.5984118393938802</v>
      </c>
      <c r="BT332" s="6">
        <v>7.5167454155652198</v>
      </c>
      <c r="BU332" s="6">
        <v>71.025955914493295</v>
      </c>
      <c r="BV332" s="6">
        <v>95.638282372041701</v>
      </c>
      <c r="BW332" s="6">
        <v>99.281893303915297</v>
      </c>
      <c r="BX332" s="6">
        <v>100</v>
      </c>
      <c r="BY332" s="6" t="str">
        <f>TRIM(Table1[[#This Row],[LA_Name]])</f>
        <v>Torbay</v>
      </c>
      <c r="BZ332" s="7">
        <v>24.708052141701199</v>
      </c>
      <c r="CA332" s="7">
        <v>0.115719251503861</v>
      </c>
      <c r="CB332" s="7">
        <v>0.92544179172824304</v>
      </c>
      <c r="CC332" s="7">
        <v>2.17251212455509</v>
      </c>
      <c r="CD332" s="7">
        <v>2.8112524197073498</v>
      </c>
      <c r="CE332" s="7">
        <v>11.5719251503861</v>
      </c>
      <c r="CF332" s="7">
        <v>74.091959286472502</v>
      </c>
      <c r="CG332" s="7">
        <v>99.2038382282539</v>
      </c>
      <c r="CH332" s="7">
        <v>99.845971317361503</v>
      </c>
      <c r="CI332" s="7">
        <v>17.364147526838298</v>
      </c>
      <c r="CJ332" s="7">
        <v>0.45509231313614901</v>
      </c>
      <c r="CK332" s="7">
        <v>1.10933954998647</v>
      </c>
      <c r="CL332" s="7">
        <v>2.2894906646129498</v>
      </c>
      <c r="CM332" s="7">
        <v>2.7808941989467799</v>
      </c>
      <c r="CN332" s="7">
        <v>45.509231313614897</v>
      </c>
      <c r="CO332" s="7">
        <v>87.797389838269893</v>
      </c>
      <c r="CP332" s="7">
        <v>100</v>
      </c>
      <c r="CQ332" s="7">
        <v>100</v>
      </c>
      <c r="CR332" s="7">
        <v>12.366817863781099</v>
      </c>
      <c r="CS332" s="7">
        <v>0.96781008679724401</v>
      </c>
      <c r="CT332" s="7">
        <v>2.85129987719335</v>
      </c>
      <c r="CU332" s="7">
        <v>7.4963053930853603</v>
      </c>
      <c r="CV332" s="7">
        <v>9.9189892388068994</v>
      </c>
      <c r="CW332" s="7">
        <v>84.845867243927302</v>
      </c>
      <c r="CX332" s="7">
        <v>100</v>
      </c>
      <c r="CY332" s="7">
        <v>100</v>
      </c>
      <c r="CZ332" s="7">
        <v>100</v>
      </c>
      <c r="DA332" s="9">
        <v>39.593588765757303</v>
      </c>
      <c r="DB332" s="9">
        <v>9.3947089066045E-2</v>
      </c>
      <c r="DC332" s="9">
        <v>0.420373415481964</v>
      </c>
      <c r="DD332" s="9">
        <v>0.74730970172553801</v>
      </c>
      <c r="DE332" s="9">
        <v>0.89424057615053199</v>
      </c>
      <c r="DF332" s="9">
        <v>9.3947089066044995</v>
      </c>
      <c r="DG332" s="9">
        <v>42.037341548196402</v>
      </c>
      <c r="DH332" s="9">
        <v>74.730970172553796</v>
      </c>
      <c r="DI332" s="9">
        <v>86.066648627271405</v>
      </c>
    </row>
    <row r="333" spans="1:113">
      <c r="A333" s="5" t="s">
        <v>759</v>
      </c>
      <c r="B333" s="5" t="s">
        <v>782</v>
      </c>
      <c r="C333" s="5" t="s">
        <v>783</v>
      </c>
      <c r="D333" s="6">
        <v>354949</v>
      </c>
      <c r="E333" s="7">
        <v>12.4887028659651</v>
      </c>
      <c r="F333" s="7">
        <v>1.4037734998549101</v>
      </c>
      <c r="G333" s="7">
        <v>5.7961679001772097</v>
      </c>
      <c r="H333" s="7">
        <v>8.7775680449867401</v>
      </c>
      <c r="I333" s="7">
        <v>9.5739528777373692</v>
      </c>
      <c r="J333" s="7">
        <v>70.280237442562196</v>
      </c>
      <c r="K333" s="7">
        <v>95.6430360417976</v>
      </c>
      <c r="L333" s="7">
        <v>98.4538623858639</v>
      </c>
      <c r="M333" s="7">
        <v>99.028874570713</v>
      </c>
      <c r="N333" s="7">
        <v>11.0070207181207</v>
      </c>
      <c r="O333" s="7">
        <v>2.9748442734026601</v>
      </c>
      <c r="P333" s="7">
        <v>6.6599088883191699</v>
      </c>
      <c r="Q333" s="7">
        <v>8.7852790119143904</v>
      </c>
      <c r="R333" s="7">
        <v>9.7949846315949607</v>
      </c>
      <c r="S333" s="7">
        <v>82.582568199938606</v>
      </c>
      <c r="T333" s="7">
        <v>97.625292647676105</v>
      </c>
      <c r="U333" s="7">
        <v>100</v>
      </c>
      <c r="V333" s="7">
        <v>100</v>
      </c>
      <c r="W333" s="7">
        <v>7.9893499146619504</v>
      </c>
      <c r="X333" s="7">
        <v>6.3083851482889104</v>
      </c>
      <c r="Y333" s="7">
        <v>9.9907338800785492</v>
      </c>
      <c r="Z333" s="7">
        <v>10</v>
      </c>
      <c r="AA333" s="7">
        <v>10</v>
      </c>
      <c r="AB333" s="7">
        <v>97.421319682545899</v>
      </c>
      <c r="AC333" s="7">
        <v>100</v>
      </c>
      <c r="AD333" s="7">
        <v>100</v>
      </c>
      <c r="AE333" s="7">
        <v>100</v>
      </c>
      <c r="AF333" s="6">
        <v>18.578959755709</v>
      </c>
      <c r="AG333" s="6">
        <v>1.1135346204665999</v>
      </c>
      <c r="AH333" s="6">
        <v>2.9304632496499501</v>
      </c>
      <c r="AI333" s="6">
        <v>4.2995810665757599</v>
      </c>
      <c r="AJ333" s="6">
        <v>5.3842805586154601</v>
      </c>
      <c r="AK333" s="6">
        <v>63.682669904690499</v>
      </c>
      <c r="AL333" s="6">
        <v>81.889792618094404</v>
      </c>
      <c r="AM333" s="6">
        <v>88.621463928620699</v>
      </c>
      <c r="AN333" s="6">
        <v>93.791784171810605</v>
      </c>
      <c r="AO333" s="6">
        <v>14.5658878871836</v>
      </c>
      <c r="AP333" s="7">
        <v>1.1254011139628499</v>
      </c>
      <c r="AQ333" s="7">
        <v>5.1971663534761303</v>
      </c>
      <c r="AR333" s="7">
        <v>8.5103916337276608</v>
      </c>
      <c r="AS333" s="7">
        <v>9.5062924532820201</v>
      </c>
      <c r="AT333" s="7">
        <v>61.529684546230598</v>
      </c>
      <c r="AU333" s="7">
        <v>93.089429749062504</v>
      </c>
      <c r="AV333" s="7">
        <v>97.924772291230596</v>
      </c>
      <c r="AW333" s="7">
        <v>98.999011125541998</v>
      </c>
      <c r="AX333" s="7">
        <v>12.3234564400503</v>
      </c>
      <c r="AY333" s="7">
        <v>2.4515183871485799</v>
      </c>
      <c r="AZ333" s="7">
        <v>5.8925197704458903</v>
      </c>
      <c r="BA333" s="7">
        <v>8.3611110328526106</v>
      </c>
      <c r="BB333" s="7">
        <v>9.7672369833412702</v>
      </c>
      <c r="BC333" s="7">
        <v>75.485210551375005</v>
      </c>
      <c r="BD333" s="7">
        <v>95.929556077070202</v>
      </c>
      <c r="BE333" s="7">
        <v>99.896604864360796</v>
      </c>
      <c r="BF333" s="7">
        <v>100</v>
      </c>
      <c r="BG333" s="7">
        <v>8.4502887736026508</v>
      </c>
      <c r="BH333" s="7">
        <v>5.6340685563278097</v>
      </c>
      <c r="BI333" s="7">
        <v>9.9505985366911904</v>
      </c>
      <c r="BJ333" s="7">
        <v>10</v>
      </c>
      <c r="BK333" s="7">
        <v>10</v>
      </c>
      <c r="BL333" s="7">
        <v>96.049855049598705</v>
      </c>
      <c r="BM333" s="7">
        <v>100</v>
      </c>
      <c r="BN333" s="7">
        <v>100</v>
      </c>
      <c r="BO333" s="7">
        <v>100</v>
      </c>
      <c r="BP333" s="6">
        <v>22.632875220177201</v>
      </c>
      <c r="BQ333" s="6">
        <v>0.87543562596316604</v>
      </c>
      <c r="BR333" s="6">
        <v>2.4436186607089998</v>
      </c>
      <c r="BS333" s="6">
        <v>3.66047516685496</v>
      </c>
      <c r="BT333" s="6">
        <v>4.6668169229945704</v>
      </c>
      <c r="BU333" s="6">
        <v>54.370346162406399</v>
      </c>
      <c r="BV333" s="6">
        <v>76.189818819041605</v>
      </c>
      <c r="BW333" s="6">
        <v>85.427483948398205</v>
      </c>
      <c r="BX333" s="6">
        <v>91.271422091624402</v>
      </c>
      <c r="BY333" s="6" t="str">
        <f>TRIM(Table1[[#This Row],[LA_Name]])</f>
        <v>Wiltshire</v>
      </c>
      <c r="BZ333" s="7">
        <v>37.473642680475002</v>
      </c>
      <c r="CA333" s="7">
        <v>9.1894891942222695E-2</v>
      </c>
      <c r="CB333" s="7">
        <v>0.45315524202068502</v>
      </c>
      <c r="CC333" s="7">
        <v>1.1040825583393701</v>
      </c>
      <c r="CD333" s="7">
        <v>2.6458026364350902</v>
      </c>
      <c r="CE333" s="7">
        <v>9.1894891942222703</v>
      </c>
      <c r="CF333" s="7">
        <v>42.683315067798503</v>
      </c>
      <c r="CG333" s="7">
        <v>71.837080820061502</v>
      </c>
      <c r="CH333" s="7">
        <v>87.656818303474594</v>
      </c>
      <c r="CI333" s="7">
        <v>39.803200722862499</v>
      </c>
      <c r="CJ333" s="7">
        <v>0.239766839743174</v>
      </c>
      <c r="CK333" s="7">
        <v>0.50998312433617199</v>
      </c>
      <c r="CL333" s="7">
        <v>0.91677959368810702</v>
      </c>
      <c r="CM333" s="7">
        <v>1.4850922245167599</v>
      </c>
      <c r="CN333" s="7">
        <v>23.294050694606799</v>
      </c>
      <c r="CO333" s="7">
        <v>41.819529002758102</v>
      </c>
      <c r="CP333" s="7">
        <v>63.030463531380597</v>
      </c>
      <c r="CQ333" s="7">
        <v>75.8635747670792</v>
      </c>
      <c r="CR333" s="7">
        <v>18.6232888282414</v>
      </c>
      <c r="CS333" s="7">
        <v>0.43008995658531202</v>
      </c>
      <c r="CT333" s="7">
        <v>2.3676021062180799</v>
      </c>
      <c r="CU333" s="7">
        <v>7.2062859734778799</v>
      </c>
      <c r="CV333" s="7">
        <v>9.9385517356014503</v>
      </c>
      <c r="CW333" s="7">
        <v>37.8290965744375</v>
      </c>
      <c r="CX333" s="7">
        <v>89.465528850623599</v>
      </c>
      <c r="CY333" s="7">
        <v>99.768135704002503</v>
      </c>
      <c r="CZ333" s="7">
        <v>100</v>
      </c>
      <c r="DA333" s="9">
        <v>81.456887463105303</v>
      </c>
      <c r="DB333" s="9">
        <v>6.4936089410027903E-2</v>
      </c>
      <c r="DC333" s="9">
        <v>0.23621703399643301</v>
      </c>
      <c r="DD333" s="9">
        <v>0.31376620303198499</v>
      </c>
      <c r="DE333" s="9">
        <v>0.395887859946077</v>
      </c>
      <c r="DF333" s="9">
        <v>6.4936089410027904</v>
      </c>
      <c r="DG333" s="9">
        <v>22.960199916044299</v>
      </c>
      <c r="DH333" s="9">
        <v>29.0903763639283</v>
      </c>
      <c r="DI333" s="9">
        <v>34.065739021662303</v>
      </c>
    </row>
    <row r="334" spans="1:113">
      <c r="A334" s="5" t="s">
        <v>759</v>
      </c>
      <c r="B334" s="5" t="s">
        <v>784</v>
      </c>
      <c r="C334" s="5" t="s">
        <v>785</v>
      </c>
      <c r="D334" s="6">
        <v>576533</v>
      </c>
      <c r="E334" s="7">
        <v>15.662254417810001</v>
      </c>
      <c r="F334" s="7">
        <v>1.7158792298099199</v>
      </c>
      <c r="G334" s="7">
        <v>5.5497725195261998</v>
      </c>
      <c r="H334" s="7">
        <v>7.7865950431284903</v>
      </c>
      <c r="I334" s="7">
        <v>8.7212145705449604</v>
      </c>
      <c r="J334" s="7">
        <v>67.336822003250504</v>
      </c>
      <c r="K334" s="7">
        <v>88.987620830030593</v>
      </c>
      <c r="L334" s="7">
        <v>94.546539400173103</v>
      </c>
      <c r="M334" s="7">
        <v>96.496471147358406</v>
      </c>
      <c r="N334" s="7">
        <v>11.872236472813601</v>
      </c>
      <c r="O334" s="7">
        <v>3.3835374557917799</v>
      </c>
      <c r="P334" s="7">
        <v>6.2164941122190696</v>
      </c>
      <c r="Q334" s="7">
        <v>8.2268994142572893</v>
      </c>
      <c r="R334" s="7">
        <v>9.2726660919669808</v>
      </c>
      <c r="S334" s="7">
        <v>77.8616315111191</v>
      </c>
      <c r="T334" s="7">
        <v>95.231148954179602</v>
      </c>
      <c r="U334" s="7">
        <v>99.455538538123605</v>
      </c>
      <c r="V334" s="7">
        <v>99.836782976863404</v>
      </c>
      <c r="W334" s="7">
        <v>8.3575715420675305</v>
      </c>
      <c r="X334" s="7">
        <v>5.9763049122947001</v>
      </c>
      <c r="Y334" s="7">
        <v>9.5632010656805395</v>
      </c>
      <c r="Z334" s="7">
        <v>9.9918721044588992</v>
      </c>
      <c r="AA334" s="7">
        <v>10</v>
      </c>
      <c r="AB334" s="7">
        <v>93.999649629769706</v>
      </c>
      <c r="AC334" s="7">
        <v>100</v>
      </c>
      <c r="AD334" s="7">
        <v>100</v>
      </c>
      <c r="AE334" s="7">
        <v>100</v>
      </c>
      <c r="AF334" s="6">
        <v>21.500793366178499</v>
      </c>
      <c r="AG334" s="6">
        <v>1.3165126714342501</v>
      </c>
      <c r="AH334" s="6">
        <v>3.2887952641045701</v>
      </c>
      <c r="AI334" s="6">
        <v>4.4916509549323296</v>
      </c>
      <c r="AJ334" s="6">
        <v>5.3188542546567197</v>
      </c>
      <c r="AK334" s="6">
        <v>62.5641550440304</v>
      </c>
      <c r="AL334" s="6">
        <v>77.4269642847851</v>
      </c>
      <c r="AM334" s="6">
        <v>85.094175008195506</v>
      </c>
      <c r="AN334" s="6">
        <v>89.593136906300202</v>
      </c>
      <c r="AO334" s="6">
        <v>18.480086603933401</v>
      </c>
      <c r="AP334" s="7">
        <v>1.1331389530174301</v>
      </c>
      <c r="AQ334" s="7">
        <v>4.7238700993698499</v>
      </c>
      <c r="AR334" s="7">
        <v>7.5408918483417304</v>
      </c>
      <c r="AS334" s="7">
        <v>8.6451668855035209</v>
      </c>
      <c r="AT334" s="7">
        <v>58.945801888183297</v>
      </c>
      <c r="AU334" s="7">
        <v>86.574229055405297</v>
      </c>
      <c r="AV334" s="7">
        <v>92.925816909006102</v>
      </c>
      <c r="AW334" s="7">
        <v>95.159340402023801</v>
      </c>
      <c r="AX334" s="7">
        <v>13.7554345670555</v>
      </c>
      <c r="AY334" s="7">
        <v>2.5341480886610102</v>
      </c>
      <c r="AZ334" s="7">
        <v>5.4190237159017798</v>
      </c>
      <c r="BA334" s="7">
        <v>7.6003316375645404</v>
      </c>
      <c r="BB334" s="7">
        <v>9.0349468287157908</v>
      </c>
      <c r="BC334" s="7">
        <v>72.526464226679096</v>
      </c>
      <c r="BD334" s="7">
        <v>91.116033253950803</v>
      </c>
      <c r="BE334" s="7">
        <v>98.522027360099102</v>
      </c>
      <c r="BF334" s="7">
        <v>99.549375317631402</v>
      </c>
      <c r="BG334" s="7">
        <v>9.1664186230848106</v>
      </c>
      <c r="BH334" s="7">
        <v>5.0427382300752903</v>
      </c>
      <c r="BI334" s="7">
        <v>9.4552696896795094</v>
      </c>
      <c r="BJ334" s="7">
        <v>9.9827329918669001</v>
      </c>
      <c r="BK334" s="7">
        <v>10</v>
      </c>
      <c r="BL334" s="7">
        <v>90.398468084220696</v>
      </c>
      <c r="BM334" s="7">
        <v>100</v>
      </c>
      <c r="BN334" s="7">
        <v>100</v>
      </c>
      <c r="BO334" s="7">
        <v>100</v>
      </c>
      <c r="BP334" s="6">
        <v>27.393878311760002</v>
      </c>
      <c r="BQ334" s="6">
        <v>0.90930441102243897</v>
      </c>
      <c r="BR334" s="6">
        <v>2.40167692048851</v>
      </c>
      <c r="BS334" s="6">
        <v>3.5946771477088002</v>
      </c>
      <c r="BT334" s="6">
        <v>4.38875311560657</v>
      </c>
      <c r="BU334" s="6">
        <v>51.925215035392597</v>
      </c>
      <c r="BV334" s="6">
        <v>72.048954699904399</v>
      </c>
      <c r="BW334" s="6">
        <v>79.290864529870802</v>
      </c>
      <c r="BX334" s="6">
        <v>85.201194033992806</v>
      </c>
      <c r="BY334" s="6" t="str">
        <f>TRIM(Table1[[#This Row],[LA_Name]])</f>
        <v>Devon</v>
      </c>
      <c r="BZ334" s="7">
        <v>47.8835887449019</v>
      </c>
      <c r="CA334" s="7">
        <v>0.104150152723261</v>
      </c>
      <c r="CB334" s="7">
        <v>0.753535357039406</v>
      </c>
      <c r="CC334" s="7">
        <v>1.6464400129741099</v>
      </c>
      <c r="CD334" s="7">
        <v>2.9087459000612301</v>
      </c>
      <c r="CE334" s="7">
        <v>9.5165411173341301</v>
      </c>
      <c r="CF334" s="7">
        <v>33.822868769003698</v>
      </c>
      <c r="CG334" s="7">
        <v>53.707593494214599</v>
      </c>
      <c r="CH334" s="7">
        <v>74.387242360801594</v>
      </c>
      <c r="CI334" s="7">
        <v>52.911480009067297</v>
      </c>
      <c r="CJ334" s="7">
        <v>0.35767596997916901</v>
      </c>
      <c r="CK334" s="7">
        <v>1.21995792088224</v>
      </c>
      <c r="CL334" s="7">
        <v>1.6719077659041199</v>
      </c>
      <c r="CM334" s="7">
        <v>2.1997457214070999</v>
      </c>
      <c r="CN334" s="7">
        <v>21.8046495170268</v>
      </c>
      <c r="CO334" s="7">
        <v>33.651846468458899</v>
      </c>
      <c r="CP334" s="7">
        <v>43.9695559490957</v>
      </c>
      <c r="CQ334" s="7">
        <v>58.8519651086755</v>
      </c>
      <c r="CR334" s="7">
        <v>23.4747766808905</v>
      </c>
      <c r="CS334" s="7">
        <v>0.90174716798517995</v>
      </c>
      <c r="CT334" s="7">
        <v>3.0244964295192101</v>
      </c>
      <c r="CU334" s="7">
        <v>6.3939028641899096</v>
      </c>
      <c r="CV334" s="7">
        <v>7.7311584939630498</v>
      </c>
      <c r="CW334" s="7">
        <v>32.046561081499199</v>
      </c>
      <c r="CX334" s="7">
        <v>71.168172507037795</v>
      </c>
      <c r="CY334" s="7">
        <v>92.519248681341793</v>
      </c>
      <c r="CZ334" s="7">
        <v>98.939869877353104</v>
      </c>
      <c r="DA334" s="9">
        <v>87.708604956474304</v>
      </c>
      <c r="DB334" s="9">
        <v>8.3983050406481505E-2</v>
      </c>
      <c r="DC334" s="9">
        <v>0.33080500162176302</v>
      </c>
      <c r="DD334" s="9">
        <v>0.63563404002893198</v>
      </c>
      <c r="DE334" s="9">
        <v>0.93631587437319297</v>
      </c>
      <c r="DF334" s="9">
        <v>8.2173960553862493</v>
      </c>
      <c r="DG334" s="9">
        <v>21.738564834970401</v>
      </c>
      <c r="DH334" s="9">
        <v>27.805520239084299</v>
      </c>
      <c r="DI334" s="9">
        <v>31.3612577250565</v>
      </c>
    </row>
    <row r="335" spans="1:113">
      <c r="A335" s="5" t="s">
        <v>759</v>
      </c>
      <c r="B335" s="5" t="s">
        <v>786</v>
      </c>
      <c r="C335" s="5" t="s">
        <v>787</v>
      </c>
      <c r="D335" s="6">
        <v>101100</v>
      </c>
      <c r="E335" s="7">
        <v>14.9992896300596</v>
      </c>
      <c r="F335" s="7">
        <v>1.5404945598417401</v>
      </c>
      <c r="G335" s="7">
        <v>5.61091988130564</v>
      </c>
      <c r="H335" s="7">
        <v>8.5901285855588494</v>
      </c>
      <c r="I335" s="7">
        <v>9.2384174085064306</v>
      </c>
      <c r="J335" s="7">
        <v>69.605341246290806</v>
      </c>
      <c r="K335" s="7">
        <v>89.413452027695399</v>
      </c>
      <c r="L335" s="7">
        <v>95.942631058358103</v>
      </c>
      <c r="M335" s="7">
        <v>97.030662710187897</v>
      </c>
      <c r="N335" s="7">
        <v>11.207660116621099</v>
      </c>
      <c r="O335" s="7">
        <v>2.9036795252225498</v>
      </c>
      <c r="P335" s="7">
        <v>6.1343818001978203</v>
      </c>
      <c r="Q335" s="7">
        <v>9.22190900098912</v>
      </c>
      <c r="R335" s="7">
        <v>9.9951533135509401</v>
      </c>
      <c r="S335" s="7">
        <v>78.602373887240304</v>
      </c>
      <c r="T335" s="7">
        <v>98.837784371908995</v>
      </c>
      <c r="U335" s="7">
        <v>100</v>
      </c>
      <c r="V335" s="7">
        <v>100</v>
      </c>
      <c r="W335" s="7">
        <v>8.0667466122318796</v>
      </c>
      <c r="X335" s="7">
        <v>5.73141444114738</v>
      </c>
      <c r="Y335" s="7">
        <v>10</v>
      </c>
      <c r="Z335" s="7">
        <v>10</v>
      </c>
      <c r="AA335" s="7">
        <v>10</v>
      </c>
      <c r="AB335" s="7">
        <v>98.052423343224504</v>
      </c>
      <c r="AC335" s="7">
        <v>100</v>
      </c>
      <c r="AD335" s="7">
        <v>100</v>
      </c>
      <c r="AE335" s="7">
        <v>100</v>
      </c>
      <c r="AF335" s="6">
        <v>19.574290792146101</v>
      </c>
      <c r="AG335" s="6">
        <v>1.07104846686449</v>
      </c>
      <c r="AH335" s="6">
        <v>2.7520771513353099</v>
      </c>
      <c r="AI335" s="6">
        <v>3.8013155291790302</v>
      </c>
      <c r="AJ335" s="6">
        <v>4.7519881305637997</v>
      </c>
      <c r="AK335" s="6">
        <v>62.573689416419398</v>
      </c>
      <c r="AL335" s="6">
        <v>78.538081107814094</v>
      </c>
      <c r="AM335" s="6">
        <v>88.548961424332305</v>
      </c>
      <c r="AN335" s="6">
        <v>92.361028684470796</v>
      </c>
      <c r="AO335" s="6">
        <v>17.429443453616599</v>
      </c>
      <c r="AP335" s="7">
        <v>1.20502472799209</v>
      </c>
      <c r="AQ335" s="7">
        <v>4.8185459940652802</v>
      </c>
      <c r="AR335" s="7">
        <v>8.1158852621167199</v>
      </c>
      <c r="AS335" s="7">
        <v>9.1240059347181006</v>
      </c>
      <c r="AT335" s="7">
        <v>60.554896142433201</v>
      </c>
      <c r="AU335" s="7">
        <v>88.664688427299694</v>
      </c>
      <c r="AV335" s="7">
        <v>94.699307616221603</v>
      </c>
      <c r="AW335" s="7">
        <v>95.877349159248297</v>
      </c>
      <c r="AX335" s="7">
        <v>12.4356304550312</v>
      </c>
      <c r="AY335" s="7">
        <v>2.3411473788328401</v>
      </c>
      <c r="AZ335" s="7">
        <v>5.2501088031651797</v>
      </c>
      <c r="BA335" s="7">
        <v>8.1309495548961408</v>
      </c>
      <c r="BB335" s="7">
        <v>9.8240751730959506</v>
      </c>
      <c r="BC335" s="7">
        <v>74.1899109792285</v>
      </c>
      <c r="BD335" s="7">
        <v>96.796241345202802</v>
      </c>
      <c r="BE335" s="7">
        <v>100</v>
      </c>
      <c r="BF335" s="7">
        <v>100</v>
      </c>
      <c r="BG335" s="7">
        <v>8.5297543928201094</v>
      </c>
      <c r="BH335" s="7">
        <v>4.6869634025717097</v>
      </c>
      <c r="BI335" s="7">
        <v>9.9855093966369903</v>
      </c>
      <c r="BJ335" s="7">
        <v>10</v>
      </c>
      <c r="BK335" s="7">
        <v>10</v>
      </c>
      <c r="BL335" s="7">
        <v>96.226508407517301</v>
      </c>
      <c r="BM335" s="7">
        <v>100</v>
      </c>
      <c r="BN335" s="7">
        <v>100</v>
      </c>
      <c r="BO335" s="7">
        <v>100</v>
      </c>
      <c r="BP335" s="6">
        <v>23.893212152566399</v>
      </c>
      <c r="BQ335" s="6">
        <v>0.87604352126607299</v>
      </c>
      <c r="BR335" s="6">
        <v>2.2017903066271001</v>
      </c>
      <c r="BS335" s="6">
        <v>3.2215825914935698</v>
      </c>
      <c r="BT335" s="6">
        <v>3.8873986152324398</v>
      </c>
      <c r="BU335" s="6">
        <v>52.566765578635</v>
      </c>
      <c r="BV335" s="6">
        <v>73.542037586548005</v>
      </c>
      <c r="BW335" s="6">
        <v>82.563798219584598</v>
      </c>
      <c r="BX335" s="6">
        <v>89.719090009891204</v>
      </c>
      <c r="BY335" s="6" t="str">
        <f>TRIM(Table1[[#This Row],[LA_Name]])</f>
        <v>East Devon</v>
      </c>
      <c r="BZ335" s="7">
        <v>55.196848017978397</v>
      </c>
      <c r="CA335" s="7">
        <v>0</v>
      </c>
      <c r="CB335" s="7">
        <v>0.117764589515331</v>
      </c>
      <c r="CC335" s="7">
        <v>0.78823936696340302</v>
      </c>
      <c r="CD335" s="7">
        <v>2.5170029673590499</v>
      </c>
      <c r="CE335" s="7">
        <v>0</v>
      </c>
      <c r="CF335" s="7">
        <v>8.6528189910979201</v>
      </c>
      <c r="CG335" s="7">
        <v>36.623145400593501</v>
      </c>
      <c r="CH335" s="7">
        <v>71.787339268051397</v>
      </c>
      <c r="CI335" s="7">
        <v>64.673532735596297</v>
      </c>
      <c r="CJ335" s="7">
        <v>3.9653808110781397E-2</v>
      </c>
      <c r="CK335" s="7">
        <v>0.246419386745796</v>
      </c>
      <c r="CL335" s="7">
        <v>0.78587537091988102</v>
      </c>
      <c r="CM335" s="7">
        <v>1.8383283877349199</v>
      </c>
      <c r="CN335" s="7">
        <v>3.9653808110781399</v>
      </c>
      <c r="CO335" s="7">
        <v>11.215628090998999</v>
      </c>
      <c r="CP335" s="7">
        <v>21.11078140455</v>
      </c>
      <c r="CQ335" s="7">
        <v>53.280909990108803</v>
      </c>
      <c r="CR335" s="7">
        <v>27.3720543084866</v>
      </c>
      <c r="CS335" s="7">
        <v>0.13505440158259099</v>
      </c>
      <c r="CT335" s="7">
        <v>2.91976261127596</v>
      </c>
      <c r="CU335" s="7">
        <v>7.4235806132541997</v>
      </c>
      <c r="CV335" s="7">
        <v>9.7742729970326394</v>
      </c>
      <c r="CW335" s="7">
        <v>8.7823936696340308</v>
      </c>
      <c r="CX335" s="7">
        <v>65.560830860534097</v>
      </c>
      <c r="CY335" s="7">
        <v>93.717111770524198</v>
      </c>
      <c r="CZ335" s="7">
        <v>100</v>
      </c>
      <c r="DA335" s="9">
        <v>110.257627462789</v>
      </c>
      <c r="DB335" s="9">
        <v>0</v>
      </c>
      <c r="DC335" s="9">
        <v>4.1295746785361E-2</v>
      </c>
      <c r="DD335" s="9">
        <v>5.5420375865479703E-2</v>
      </c>
      <c r="DE335" s="9">
        <v>0.121275964391691</v>
      </c>
      <c r="DF335" s="9">
        <v>0</v>
      </c>
      <c r="DG335" s="9">
        <v>4.1295746785361001</v>
      </c>
      <c r="DH335" s="9">
        <v>5.0247279920870396</v>
      </c>
      <c r="DI335" s="9">
        <v>8.0791295746785394</v>
      </c>
    </row>
    <row r="336" spans="1:113">
      <c r="A336" s="5" t="s">
        <v>759</v>
      </c>
      <c r="B336" s="5" t="s">
        <v>788</v>
      </c>
      <c r="C336" s="5" t="s">
        <v>789</v>
      </c>
      <c r="D336" s="6">
        <v>100739</v>
      </c>
      <c r="E336" s="7">
        <v>8.0878983328024603</v>
      </c>
      <c r="F336" s="7">
        <v>4.0749163680401796</v>
      </c>
      <c r="G336" s="7">
        <v>9.9494733916358093</v>
      </c>
      <c r="H336" s="7">
        <v>10</v>
      </c>
      <c r="I336" s="7">
        <v>10</v>
      </c>
      <c r="J336" s="7">
        <v>90.16865364953</v>
      </c>
      <c r="K336" s="7">
        <v>100</v>
      </c>
      <c r="L336" s="7">
        <v>100</v>
      </c>
      <c r="M336" s="7">
        <v>100</v>
      </c>
      <c r="N336" s="7">
        <v>7.9372733643430804</v>
      </c>
      <c r="O336" s="7">
        <v>8.4034981486812494</v>
      </c>
      <c r="P336" s="7">
        <v>9.9987988763041091</v>
      </c>
      <c r="Q336" s="7">
        <v>10</v>
      </c>
      <c r="R336" s="7">
        <v>10</v>
      </c>
      <c r="S336" s="7">
        <v>99.8084158071849</v>
      </c>
      <c r="T336" s="7">
        <v>100</v>
      </c>
      <c r="U336" s="7">
        <v>100</v>
      </c>
      <c r="V336" s="7">
        <v>100</v>
      </c>
      <c r="W336" s="7">
        <v>6.8245023533859097</v>
      </c>
      <c r="X336" s="7">
        <v>9.9334220113362193</v>
      </c>
      <c r="Y336" s="7">
        <v>10</v>
      </c>
      <c r="Z336" s="7">
        <v>10</v>
      </c>
      <c r="AA336" s="7">
        <v>10</v>
      </c>
      <c r="AB336" s="7">
        <v>100</v>
      </c>
      <c r="AC336" s="7">
        <v>100</v>
      </c>
      <c r="AD336" s="7">
        <v>100</v>
      </c>
      <c r="AE336" s="7">
        <v>100</v>
      </c>
      <c r="AF336" s="6">
        <v>8.8408233164375396</v>
      </c>
      <c r="AG336" s="6">
        <v>2.94558214792682</v>
      </c>
      <c r="AH336" s="6">
        <v>8.2088366968105699</v>
      </c>
      <c r="AI336" s="6">
        <v>9.7388498992445793</v>
      </c>
      <c r="AJ336" s="6">
        <v>9.9202989904605001</v>
      </c>
      <c r="AK336" s="6">
        <v>82.293848459881502</v>
      </c>
      <c r="AL336" s="6">
        <v>99.629736249119006</v>
      </c>
      <c r="AM336" s="6">
        <v>100</v>
      </c>
      <c r="AN336" s="6">
        <v>100</v>
      </c>
      <c r="AO336" s="6">
        <v>10.594669603636801</v>
      </c>
      <c r="AP336" s="7">
        <v>1.96987264118167</v>
      </c>
      <c r="AQ336" s="7">
        <v>9.4765383813617401</v>
      </c>
      <c r="AR336" s="7">
        <v>10</v>
      </c>
      <c r="AS336" s="7">
        <v>10</v>
      </c>
      <c r="AT336" s="7">
        <v>79.340672430736902</v>
      </c>
      <c r="AU336" s="7">
        <v>100</v>
      </c>
      <c r="AV336" s="7">
        <v>100</v>
      </c>
      <c r="AW336" s="7">
        <v>100</v>
      </c>
      <c r="AX336" s="7">
        <v>9.1013929931304691</v>
      </c>
      <c r="AY336" s="7">
        <v>5.9621497136163804</v>
      </c>
      <c r="AZ336" s="7">
        <v>9.9224431451572901</v>
      </c>
      <c r="BA336" s="7">
        <v>10</v>
      </c>
      <c r="BB336" s="7">
        <v>10</v>
      </c>
      <c r="BC336" s="7">
        <v>97.361498525893595</v>
      </c>
      <c r="BD336" s="7">
        <v>100</v>
      </c>
      <c r="BE336" s="7">
        <v>100</v>
      </c>
      <c r="BF336" s="7">
        <v>100</v>
      </c>
      <c r="BG336" s="7">
        <v>7.4092209265845304</v>
      </c>
      <c r="BH336" s="7">
        <v>9.6072226248027093</v>
      </c>
      <c r="BI336" s="7">
        <v>10</v>
      </c>
      <c r="BJ336" s="7">
        <v>10</v>
      </c>
      <c r="BK336" s="7">
        <v>10</v>
      </c>
      <c r="BL336" s="7">
        <v>100</v>
      </c>
      <c r="BM336" s="7">
        <v>100</v>
      </c>
      <c r="BN336" s="7">
        <v>100</v>
      </c>
      <c r="BO336" s="7">
        <v>100</v>
      </c>
      <c r="BP336" s="6">
        <v>12.5616474298253</v>
      </c>
      <c r="BQ336" s="6">
        <v>1.54045602993875</v>
      </c>
      <c r="BR336" s="6">
        <v>5.5959757392866702</v>
      </c>
      <c r="BS336" s="6">
        <v>8.6936538976960307</v>
      </c>
      <c r="BT336" s="6">
        <v>9.6707233544108995</v>
      </c>
      <c r="BU336" s="6">
        <v>64.774317791520701</v>
      </c>
      <c r="BV336" s="6">
        <v>97.361498525893595</v>
      </c>
      <c r="BW336" s="6">
        <v>98.8286562304569</v>
      </c>
      <c r="BX336" s="6">
        <v>100</v>
      </c>
      <c r="BY336" s="6" t="str">
        <f>TRIM(Table1[[#This Row],[LA_Name]])</f>
        <v>Exeter</v>
      </c>
      <c r="BZ336" s="7">
        <v>16.118916810072999</v>
      </c>
      <c r="CA336" s="7">
        <v>0.44403855507797402</v>
      </c>
      <c r="CB336" s="7">
        <v>3.2740745887888498</v>
      </c>
      <c r="CC336" s="7">
        <v>6.1426259939050398</v>
      </c>
      <c r="CD336" s="7">
        <v>7.9454034683687604</v>
      </c>
      <c r="CE336" s="7">
        <v>39.261854892345603</v>
      </c>
      <c r="CF336" s="7">
        <v>98.849502178897893</v>
      </c>
      <c r="CG336" s="7">
        <v>100</v>
      </c>
      <c r="CH336" s="7">
        <v>100</v>
      </c>
      <c r="CI336" s="7">
        <v>11.638335934543401</v>
      </c>
      <c r="CJ336" s="7">
        <v>1.6311954655098799</v>
      </c>
      <c r="CK336" s="7">
        <v>5.7119486991135497</v>
      </c>
      <c r="CL336" s="7">
        <v>6.6068156324759997</v>
      </c>
      <c r="CM336" s="7">
        <v>7</v>
      </c>
      <c r="CN336" s="7">
        <v>83.209084862863406</v>
      </c>
      <c r="CO336" s="7">
        <v>100</v>
      </c>
      <c r="CP336" s="7">
        <v>100</v>
      </c>
      <c r="CQ336" s="7">
        <v>100</v>
      </c>
      <c r="CR336" s="7">
        <v>8.9348424129817197</v>
      </c>
      <c r="CS336" s="7">
        <v>4.1834244929967497</v>
      </c>
      <c r="CT336" s="7">
        <v>7.19177279901528</v>
      </c>
      <c r="CU336" s="7">
        <v>9.8733161933312807</v>
      </c>
      <c r="CV336" s="7">
        <v>10</v>
      </c>
      <c r="CW336" s="7">
        <v>100</v>
      </c>
      <c r="CX336" s="7">
        <v>100</v>
      </c>
      <c r="CY336" s="7">
        <v>100</v>
      </c>
      <c r="CZ336" s="7">
        <v>100</v>
      </c>
      <c r="DA336" s="9">
        <v>19.831791180794902</v>
      </c>
      <c r="DB336" s="9">
        <v>0.34665819593206199</v>
      </c>
      <c r="DC336" s="9">
        <v>1.49545856123249</v>
      </c>
      <c r="DD336" s="9">
        <v>3.0158925540257502</v>
      </c>
      <c r="DE336" s="9">
        <v>4.4660260673621899</v>
      </c>
      <c r="DF336" s="9">
        <v>33.630470820635502</v>
      </c>
      <c r="DG336" s="9">
        <v>84.635543334756207</v>
      </c>
      <c r="DH336" s="9">
        <v>97.868749937958498</v>
      </c>
      <c r="DI336" s="9">
        <v>100</v>
      </c>
    </row>
    <row r="337" spans="1:113">
      <c r="A337" s="5" t="s">
        <v>759</v>
      </c>
      <c r="B337" s="5" t="s">
        <v>790</v>
      </c>
      <c r="C337" s="5" t="s">
        <v>791</v>
      </c>
      <c r="D337" s="6">
        <v>58418</v>
      </c>
      <c r="E337" s="7">
        <v>20.167211601400599</v>
      </c>
      <c r="F337" s="7">
        <v>0.61582046629463505</v>
      </c>
      <c r="G337" s="7">
        <v>2.49145811222568</v>
      </c>
      <c r="H337" s="7">
        <v>5.3856516827005398</v>
      </c>
      <c r="I337" s="7">
        <v>7.8010715875243903</v>
      </c>
      <c r="J337" s="7">
        <v>46.030333116505197</v>
      </c>
      <c r="K337" s="7">
        <v>83.255161080488904</v>
      </c>
      <c r="L337" s="7">
        <v>93.205861207162201</v>
      </c>
      <c r="M337" s="7">
        <v>95.759868533671096</v>
      </c>
      <c r="N337" s="7">
        <v>14.529483021980999</v>
      </c>
      <c r="O337" s="7">
        <v>1.1029819576158</v>
      </c>
      <c r="P337" s="7">
        <v>2.8045123078503198</v>
      </c>
      <c r="Q337" s="7">
        <v>6.0137971173268499</v>
      </c>
      <c r="R337" s="7">
        <v>9.3817316580505992</v>
      </c>
      <c r="S337" s="7">
        <v>59.307062891574503</v>
      </c>
      <c r="T337" s="7">
        <v>95.443185319593297</v>
      </c>
      <c r="U337" s="7">
        <v>99.657639768564493</v>
      </c>
      <c r="V337" s="7">
        <v>100</v>
      </c>
      <c r="W337" s="7">
        <v>9.6176272651301904</v>
      </c>
      <c r="X337" s="7">
        <v>2.5781094868020098</v>
      </c>
      <c r="Y337" s="7">
        <v>9.6004313738916096</v>
      </c>
      <c r="Z337" s="7">
        <v>10</v>
      </c>
      <c r="AA337" s="7">
        <v>10</v>
      </c>
      <c r="AB337" s="7">
        <v>92.808723338697007</v>
      </c>
      <c r="AC337" s="7">
        <v>100</v>
      </c>
      <c r="AD337" s="7">
        <v>100</v>
      </c>
      <c r="AE337" s="7">
        <v>100</v>
      </c>
      <c r="AF337" s="6">
        <v>30.164249213881199</v>
      </c>
      <c r="AG337" s="6">
        <v>0.53245574994008704</v>
      </c>
      <c r="AH337" s="6">
        <v>1.08071142456092</v>
      </c>
      <c r="AI337" s="6">
        <v>1.6393919682289699</v>
      </c>
      <c r="AJ337" s="6">
        <v>2.0582354753671801</v>
      </c>
      <c r="AK337" s="6">
        <v>42.447533294532498</v>
      </c>
      <c r="AL337" s="6">
        <v>59.1033585538704</v>
      </c>
      <c r="AM337" s="6">
        <v>73.393474613988801</v>
      </c>
      <c r="AN337" s="6">
        <v>83.760142421856301</v>
      </c>
      <c r="AO337" s="6">
        <v>20.0908089164808</v>
      </c>
      <c r="AP337" s="7">
        <v>1.1285733849156101</v>
      </c>
      <c r="AQ337" s="7">
        <v>3.62229107466877</v>
      </c>
      <c r="AR337" s="7">
        <v>7.3598890752850101</v>
      </c>
      <c r="AS337" s="7">
        <v>8.5499503577664395</v>
      </c>
      <c r="AT337" s="7">
        <v>57.663733780683998</v>
      </c>
      <c r="AU337" s="7">
        <v>78.282378718887998</v>
      </c>
      <c r="AV337" s="7">
        <v>90.682666301482399</v>
      </c>
      <c r="AW337" s="7">
        <v>93.772467390187998</v>
      </c>
      <c r="AX337" s="7">
        <v>15.6627485155019</v>
      </c>
      <c r="AY337" s="7">
        <v>1.92281488582286</v>
      </c>
      <c r="AZ337" s="7">
        <v>3.6556711972337301</v>
      </c>
      <c r="BA337" s="7">
        <v>7.2265568831524503</v>
      </c>
      <c r="BB337" s="7">
        <v>9.2496148447396394</v>
      </c>
      <c r="BC337" s="7">
        <v>61.460508747303898</v>
      </c>
      <c r="BD337" s="7">
        <v>83.563285288780804</v>
      </c>
      <c r="BE337" s="7">
        <v>98.502173987469604</v>
      </c>
      <c r="BF337" s="7">
        <v>99.546372693347905</v>
      </c>
      <c r="BG337" s="7">
        <v>9.7396797287806596</v>
      </c>
      <c r="BH337" s="7">
        <v>3.4009209490225598</v>
      </c>
      <c r="BI337" s="7">
        <v>9.6236605155945103</v>
      </c>
      <c r="BJ337" s="7">
        <v>10</v>
      </c>
      <c r="BK337" s="7">
        <v>10</v>
      </c>
      <c r="BL337" s="7">
        <v>82.099695299394</v>
      </c>
      <c r="BM337" s="7">
        <v>100</v>
      </c>
      <c r="BN337" s="7">
        <v>100</v>
      </c>
      <c r="BO337" s="7">
        <v>100</v>
      </c>
      <c r="BP337" s="6">
        <v>33.946323627532799</v>
      </c>
      <c r="BQ337" s="6">
        <v>0.96203225033380102</v>
      </c>
      <c r="BR337" s="6">
        <v>1.8692868636379201</v>
      </c>
      <c r="BS337" s="6">
        <v>2.32652607073162</v>
      </c>
      <c r="BT337" s="6">
        <v>2.6924235680783299</v>
      </c>
      <c r="BU337" s="6">
        <v>55.082337635660203</v>
      </c>
      <c r="BV337" s="6">
        <v>61.071929884624602</v>
      </c>
      <c r="BW337" s="6">
        <v>68.711698449108198</v>
      </c>
      <c r="BX337" s="6">
        <v>75.067616145708499</v>
      </c>
      <c r="BY337" s="6" t="str">
        <f>TRIM(Table1[[#This Row],[LA_Name]])</f>
        <v>Mid Devon</v>
      </c>
      <c r="BZ337" s="7">
        <v>62.842873104220402</v>
      </c>
      <c r="CA337" s="7">
        <v>0</v>
      </c>
      <c r="CB337" s="7">
        <v>2.6806806121400899E-2</v>
      </c>
      <c r="CC337" s="7">
        <v>0.277209079393338</v>
      </c>
      <c r="CD337" s="7">
        <v>1.5469547057413799</v>
      </c>
      <c r="CE337" s="7">
        <v>0</v>
      </c>
      <c r="CF337" s="7">
        <v>2.6806806121400899</v>
      </c>
      <c r="CG337" s="7">
        <v>19.449484747851699</v>
      </c>
      <c r="CH337" s="7">
        <v>60.387209421753603</v>
      </c>
      <c r="CI337" s="7">
        <v>78.617808887888202</v>
      </c>
      <c r="CJ337" s="7">
        <v>0</v>
      </c>
      <c r="CK337" s="7">
        <v>1.4841316032729601E-2</v>
      </c>
      <c r="CL337" s="7">
        <v>6.9927077270704199E-2</v>
      </c>
      <c r="CM337" s="7">
        <v>0.57338491560820304</v>
      </c>
      <c r="CN337" s="7">
        <v>0</v>
      </c>
      <c r="CO337" s="7">
        <v>1.11095895100825</v>
      </c>
      <c r="CP337" s="7">
        <v>3.3037762333527301</v>
      </c>
      <c r="CQ337" s="7">
        <v>21.193810127015599</v>
      </c>
      <c r="CR337" s="7">
        <v>29.527122626983299</v>
      </c>
      <c r="CS337" s="7">
        <v>7.4634530452942598E-3</v>
      </c>
      <c r="CT337" s="7">
        <v>2.2687870177000198</v>
      </c>
      <c r="CU337" s="7">
        <v>8.0918210140710105</v>
      </c>
      <c r="CV337" s="7">
        <v>9.6955390461844004</v>
      </c>
      <c r="CW337" s="7">
        <v>0.37317265226471302</v>
      </c>
      <c r="CX337" s="7">
        <v>51.424218562771699</v>
      </c>
      <c r="CY337" s="7">
        <v>95.160738128659005</v>
      </c>
      <c r="CZ337" s="7">
        <v>100</v>
      </c>
      <c r="DA337" s="9">
        <v>119.322702089499</v>
      </c>
      <c r="DB337" s="9">
        <v>0</v>
      </c>
      <c r="DC337" s="9">
        <v>0</v>
      </c>
      <c r="DD337" s="9">
        <v>0</v>
      </c>
      <c r="DE337" s="9">
        <v>3.7317265226471299E-3</v>
      </c>
      <c r="DF337" s="9">
        <v>0</v>
      </c>
      <c r="DG337" s="9">
        <v>0</v>
      </c>
      <c r="DH337" s="9">
        <v>0</v>
      </c>
      <c r="DI337" s="9">
        <v>0.37317265226471302</v>
      </c>
    </row>
    <row r="338" spans="1:113">
      <c r="A338" s="5" t="s">
        <v>759</v>
      </c>
      <c r="B338" s="5" t="s">
        <v>792</v>
      </c>
      <c r="C338" s="5" t="s">
        <v>793</v>
      </c>
      <c r="D338" s="6">
        <v>68791</v>
      </c>
      <c r="E338" s="7">
        <v>18.015053303514399</v>
      </c>
      <c r="F338" s="7">
        <v>1.4225988864822401</v>
      </c>
      <c r="G338" s="7">
        <v>4.6338183774040198</v>
      </c>
      <c r="H338" s="7">
        <v>7.2523876669913196</v>
      </c>
      <c r="I338" s="7">
        <v>8.2813304065938897</v>
      </c>
      <c r="J338" s="7">
        <v>69.411696297480802</v>
      </c>
      <c r="K338" s="7">
        <v>86.7191929176782</v>
      </c>
      <c r="L338" s="7">
        <v>90.821473739297303</v>
      </c>
      <c r="M338" s="7">
        <v>93.637249058743194</v>
      </c>
      <c r="N338" s="7">
        <v>13.4463954657129</v>
      </c>
      <c r="O338" s="7">
        <v>2.6175371778284999</v>
      </c>
      <c r="P338" s="7">
        <v>5.4174237909028804</v>
      </c>
      <c r="Q338" s="7">
        <v>7.1008998270122499</v>
      </c>
      <c r="R338" s="7">
        <v>8.2877702024974198</v>
      </c>
      <c r="S338" s="7">
        <v>73.838147432076894</v>
      </c>
      <c r="T338" s="7">
        <v>89.077059499062401</v>
      </c>
      <c r="U338" s="7">
        <v>97.581078920207602</v>
      </c>
      <c r="V338" s="7">
        <v>98.632088499949106</v>
      </c>
      <c r="W338" s="7">
        <v>8.9452880457074198</v>
      </c>
      <c r="X338" s="7">
        <v>5.1852567923129502</v>
      </c>
      <c r="Y338" s="7">
        <v>9.1794711517494996</v>
      </c>
      <c r="Z338" s="7">
        <v>9.9482781177770292</v>
      </c>
      <c r="AA338" s="7">
        <v>10</v>
      </c>
      <c r="AB338" s="7">
        <v>87.713509034612102</v>
      </c>
      <c r="AC338" s="7">
        <v>100</v>
      </c>
      <c r="AD338" s="7">
        <v>100</v>
      </c>
      <c r="AE338" s="7">
        <v>100</v>
      </c>
      <c r="AF338" s="6">
        <v>25.814469366879699</v>
      </c>
      <c r="AG338" s="6">
        <v>1.1288831387826901</v>
      </c>
      <c r="AH338" s="6">
        <v>2.53283132967975</v>
      </c>
      <c r="AI338" s="6">
        <v>3.7542265703362401</v>
      </c>
      <c r="AJ338" s="6">
        <v>4.8203544068264703</v>
      </c>
      <c r="AK338" s="6">
        <v>67.484118562021195</v>
      </c>
      <c r="AL338" s="6">
        <v>73.008096989431806</v>
      </c>
      <c r="AM338" s="6">
        <v>80.580308470584797</v>
      </c>
      <c r="AN338" s="6">
        <v>84.2741056242822</v>
      </c>
      <c r="AO338" s="6">
        <v>18.650767568476802</v>
      </c>
      <c r="AP338" s="7">
        <v>1.4404500588739799</v>
      </c>
      <c r="AQ338" s="7">
        <v>4.5771830617377303</v>
      </c>
      <c r="AR338" s="7">
        <v>7.7365934497245297</v>
      </c>
      <c r="AS338" s="7">
        <v>8.5411027605355407</v>
      </c>
      <c r="AT338" s="7">
        <v>66.879388292073102</v>
      </c>
      <c r="AU338" s="7">
        <v>87.210536262011004</v>
      </c>
      <c r="AV338" s="7">
        <v>91.459638615516596</v>
      </c>
      <c r="AW338" s="7">
        <v>92.965649576252702</v>
      </c>
      <c r="AX338" s="7">
        <v>13.387302568493901</v>
      </c>
      <c r="AY338" s="7">
        <v>2.6953671265136401</v>
      </c>
      <c r="AZ338" s="7">
        <v>5.7167216641711898</v>
      </c>
      <c r="BA338" s="7">
        <v>7.7554476603043998</v>
      </c>
      <c r="BB338" s="7">
        <v>8.7584858484394807</v>
      </c>
      <c r="BC338" s="7">
        <v>73.675335436321603</v>
      </c>
      <c r="BD338" s="7">
        <v>90.899972380107897</v>
      </c>
      <c r="BE338" s="7">
        <v>97.300518963236499</v>
      </c>
      <c r="BF338" s="7">
        <v>98.3922315419168</v>
      </c>
      <c r="BG338" s="7">
        <v>8.9700677609575692</v>
      </c>
      <c r="BH338" s="7">
        <v>5.3312933377912799</v>
      </c>
      <c r="BI338" s="7">
        <v>9.4692619674085297</v>
      </c>
      <c r="BJ338" s="7">
        <v>9.9187975171170706</v>
      </c>
      <c r="BK338" s="7">
        <v>10</v>
      </c>
      <c r="BL338" s="7">
        <v>89.220973673881801</v>
      </c>
      <c r="BM338" s="7">
        <v>100</v>
      </c>
      <c r="BN338" s="7">
        <v>100</v>
      </c>
      <c r="BO338" s="7">
        <v>100</v>
      </c>
      <c r="BP338" s="6">
        <v>25.2401045588113</v>
      </c>
      <c r="BQ338" s="6">
        <v>1.22481138521027</v>
      </c>
      <c r="BR338" s="6">
        <v>2.5652919713334601</v>
      </c>
      <c r="BS338" s="6">
        <v>3.7325522234013202</v>
      </c>
      <c r="BT338" s="6">
        <v>4.7002950967423098</v>
      </c>
      <c r="BU338" s="6">
        <v>60.712883952842702</v>
      </c>
      <c r="BV338" s="6">
        <v>73.365701908679895</v>
      </c>
      <c r="BW338" s="6">
        <v>82.154642322396796</v>
      </c>
      <c r="BX338" s="6">
        <v>87.097149336395702</v>
      </c>
      <c r="BY338" s="6" t="str">
        <f>TRIM(Table1[[#This Row],[LA_Name]])</f>
        <v>North Devon</v>
      </c>
      <c r="BZ338" s="7">
        <v>41.324910244106697</v>
      </c>
      <c r="CA338" s="7">
        <v>0.140105537061534</v>
      </c>
      <c r="CB338" s="7">
        <v>0.48858135511912898</v>
      </c>
      <c r="CC338" s="7">
        <v>0.63819394978994304</v>
      </c>
      <c r="CD338" s="7">
        <v>0.82141559215595095</v>
      </c>
      <c r="CE338" s="7">
        <v>14.0105537061534</v>
      </c>
      <c r="CF338" s="7">
        <v>48.858135511912899</v>
      </c>
      <c r="CG338" s="7">
        <v>63.819394978994303</v>
      </c>
      <c r="CH338" s="7">
        <v>82.141559215595095</v>
      </c>
      <c r="CI338" s="7">
        <v>43.188238788393797</v>
      </c>
      <c r="CJ338" s="7">
        <v>0.26705528339463003</v>
      </c>
      <c r="CK338" s="7">
        <v>0.43809509964966298</v>
      </c>
      <c r="CL338" s="7">
        <v>0.58548356616417796</v>
      </c>
      <c r="CM338" s="7">
        <v>0.64556409995493602</v>
      </c>
      <c r="CN338" s="7">
        <v>26.705528339463001</v>
      </c>
      <c r="CO338" s="7">
        <v>43.809509964966303</v>
      </c>
      <c r="CP338" s="7">
        <v>58.548356616417799</v>
      </c>
      <c r="CQ338" s="7">
        <v>64.556409995493595</v>
      </c>
      <c r="CR338" s="7">
        <v>20.291458183527102</v>
      </c>
      <c r="CS338" s="7">
        <v>0.39840967568431901</v>
      </c>
      <c r="CT338" s="7">
        <v>0.73729121542062204</v>
      </c>
      <c r="CU338" s="7">
        <v>0.99546452297538901</v>
      </c>
      <c r="CV338" s="7">
        <v>1.9450218778619299</v>
      </c>
      <c r="CW338" s="7">
        <v>39.8409675684319</v>
      </c>
      <c r="CX338" s="7">
        <v>73.729121542062202</v>
      </c>
      <c r="CY338" s="7">
        <v>97.043217862801797</v>
      </c>
      <c r="CZ338" s="7">
        <v>100</v>
      </c>
      <c r="DA338" s="9">
        <v>79.293286121544398</v>
      </c>
      <c r="DB338" s="9">
        <v>0.11705019551976301</v>
      </c>
      <c r="DC338" s="9">
        <v>0.25971420680030799</v>
      </c>
      <c r="DD338" s="9">
        <v>0.32297829657949401</v>
      </c>
      <c r="DE338" s="9">
        <v>0.374569347734442</v>
      </c>
      <c r="DF338" s="9">
        <v>11.705019551976299</v>
      </c>
      <c r="DG338" s="9">
        <v>25.9714206800308</v>
      </c>
      <c r="DH338" s="9">
        <v>32.2978296579494</v>
      </c>
      <c r="DI338" s="9">
        <v>37.456934773444203</v>
      </c>
    </row>
    <row r="339" spans="1:113">
      <c r="A339" s="5" t="s">
        <v>759</v>
      </c>
      <c r="B339" s="5" t="s">
        <v>794</v>
      </c>
      <c r="C339" s="5" t="s">
        <v>795</v>
      </c>
      <c r="D339" s="6">
        <v>62386</v>
      </c>
      <c r="E339" s="7">
        <v>17.3110151060772</v>
      </c>
      <c r="F339" s="7">
        <v>0.97350367069534804</v>
      </c>
      <c r="G339" s="7">
        <v>3.8491648767351601</v>
      </c>
      <c r="H339" s="7">
        <v>6.7182380662328098</v>
      </c>
      <c r="I339" s="7">
        <v>8.0334369890680595</v>
      </c>
      <c r="J339" s="7">
        <v>61.124290706248203</v>
      </c>
      <c r="K339" s="7">
        <v>86.6203956015773</v>
      </c>
      <c r="L339" s="7">
        <v>92.172923412304002</v>
      </c>
      <c r="M339" s="7">
        <v>95.361138717019799</v>
      </c>
      <c r="N339" s="7">
        <v>12.2173952452665</v>
      </c>
      <c r="O339" s="7">
        <v>1.50057705254384</v>
      </c>
      <c r="P339" s="7">
        <v>4.33372872118745</v>
      </c>
      <c r="Q339" s="7">
        <v>7.5870387586958596</v>
      </c>
      <c r="R339" s="7">
        <v>8.6919501170134303</v>
      </c>
      <c r="S339" s="7">
        <v>72.615650947327893</v>
      </c>
      <c r="T339" s="7">
        <v>95.620812361747795</v>
      </c>
      <c r="U339" s="7">
        <v>100</v>
      </c>
      <c r="V339" s="7">
        <v>100</v>
      </c>
      <c r="W339" s="7">
        <v>8.4746994688049799</v>
      </c>
      <c r="X339" s="7">
        <v>4.04810374122399</v>
      </c>
      <c r="Y339" s="7">
        <v>8.7900330202289005</v>
      </c>
      <c r="Z339" s="7">
        <v>9.9819190202930095</v>
      </c>
      <c r="AA339" s="7">
        <v>10</v>
      </c>
      <c r="AB339" s="7">
        <v>94.333664604238095</v>
      </c>
      <c r="AC339" s="7">
        <v>100</v>
      </c>
      <c r="AD339" s="7">
        <v>100</v>
      </c>
      <c r="AE339" s="7">
        <v>100</v>
      </c>
      <c r="AF339" s="6">
        <v>22.734870451427199</v>
      </c>
      <c r="AG339" s="6">
        <v>0.74816465232584195</v>
      </c>
      <c r="AH339" s="6">
        <v>1.4515756740294301</v>
      </c>
      <c r="AI339" s="6">
        <v>2.1881992754784698</v>
      </c>
      <c r="AJ339" s="6">
        <v>2.9683262270381201</v>
      </c>
      <c r="AK339" s="6">
        <v>55.820216074119202</v>
      </c>
      <c r="AL339" s="6">
        <v>72.057833488282597</v>
      </c>
      <c r="AM339" s="6">
        <v>83.050684448433898</v>
      </c>
      <c r="AN339" s="6">
        <v>90.531529509825901</v>
      </c>
      <c r="AO339" s="6">
        <v>24.028538364142602</v>
      </c>
      <c r="AP339" s="7">
        <v>0.48432340589234801</v>
      </c>
      <c r="AQ339" s="7">
        <v>2.2736671689160999</v>
      </c>
      <c r="AR339" s="7">
        <v>5.6614144199018996</v>
      </c>
      <c r="AS339" s="7">
        <v>7.0798736896098502</v>
      </c>
      <c r="AT339" s="7">
        <v>37.6895457314141</v>
      </c>
      <c r="AU339" s="7">
        <v>78.246722020966203</v>
      </c>
      <c r="AV339" s="7">
        <v>89.451158913858904</v>
      </c>
      <c r="AW339" s="7">
        <v>93.548231975122604</v>
      </c>
      <c r="AX339" s="7">
        <v>17.144944893783698</v>
      </c>
      <c r="AY339" s="7">
        <v>0.81240983554002499</v>
      </c>
      <c r="AZ339" s="7">
        <v>3.0989484820312199</v>
      </c>
      <c r="BA339" s="7">
        <v>6.0246529670118303</v>
      </c>
      <c r="BB339" s="7">
        <v>8.1239861507389506</v>
      </c>
      <c r="BC339" s="7">
        <v>53.039143397557098</v>
      </c>
      <c r="BD339" s="7">
        <v>88.9766934889238</v>
      </c>
      <c r="BE339" s="7">
        <v>97.6437021126535</v>
      </c>
      <c r="BF339" s="7">
        <v>100</v>
      </c>
      <c r="BG339" s="7">
        <v>10.7177033492021</v>
      </c>
      <c r="BH339" s="7">
        <v>2.6243227647228502</v>
      </c>
      <c r="BI339" s="7">
        <v>8.3447568364697204</v>
      </c>
      <c r="BJ339" s="7">
        <v>9.9299682621100906</v>
      </c>
      <c r="BK339" s="7">
        <v>10</v>
      </c>
      <c r="BL339" s="7">
        <v>86.052960600134597</v>
      </c>
      <c r="BM339" s="7">
        <v>100</v>
      </c>
      <c r="BN339" s="7">
        <v>100</v>
      </c>
      <c r="BO339" s="7">
        <v>100</v>
      </c>
      <c r="BP339" s="6">
        <v>38.110714562144302</v>
      </c>
      <c r="BQ339" s="6">
        <v>0.39436732600262903</v>
      </c>
      <c r="BR339" s="6">
        <v>0.80816208764787001</v>
      </c>
      <c r="BS339" s="6">
        <v>1.21867085564069</v>
      </c>
      <c r="BT339" s="6">
        <v>1.8042509537396201</v>
      </c>
      <c r="BU339" s="6">
        <v>30.8242233834514</v>
      </c>
      <c r="BV339" s="6">
        <v>53.108069118071398</v>
      </c>
      <c r="BW339" s="6">
        <v>63.801173340172497</v>
      </c>
      <c r="BX339" s="6">
        <v>75.614721251562898</v>
      </c>
      <c r="BY339" s="6" t="str">
        <f>TRIM(Table1[[#This Row],[LA_Name]])</f>
        <v>South Hams</v>
      </c>
      <c r="BZ339" s="7">
        <v>62.991690890326502</v>
      </c>
      <c r="CA339" s="7">
        <v>0</v>
      </c>
      <c r="CB339" s="7">
        <v>0.18541018818324601</v>
      </c>
      <c r="CC339" s="7">
        <v>0.54593979418459304</v>
      </c>
      <c r="CD339" s="7">
        <v>1.40331164043215</v>
      </c>
      <c r="CE339" s="7">
        <v>0</v>
      </c>
      <c r="CF339" s="7">
        <v>14.8671176225435</v>
      </c>
      <c r="CG339" s="7">
        <v>39.624274677010902</v>
      </c>
      <c r="CH339" s="7">
        <v>58.338409258487502</v>
      </c>
      <c r="CI339" s="7">
        <v>67.644626748071502</v>
      </c>
      <c r="CJ339" s="7">
        <v>0</v>
      </c>
      <c r="CK339" s="7">
        <v>0.13264193889654699</v>
      </c>
      <c r="CL339" s="7">
        <v>0.47337543679671701</v>
      </c>
      <c r="CM339" s="7">
        <v>0.94287179815984401</v>
      </c>
      <c r="CN339" s="7">
        <v>0</v>
      </c>
      <c r="CO339" s="7">
        <v>10.63700189145</v>
      </c>
      <c r="CP339" s="7">
        <v>28.086429647677399</v>
      </c>
      <c r="CQ339" s="7">
        <v>39.308498701631798</v>
      </c>
      <c r="CR339" s="7">
        <v>29.545702658463</v>
      </c>
      <c r="CS339" s="7">
        <v>0.13387619017087199</v>
      </c>
      <c r="CT339" s="7">
        <v>1.62143750200365</v>
      </c>
      <c r="CU339" s="7">
        <v>4.5087519635815703</v>
      </c>
      <c r="CV339" s="7">
        <v>7.9933959542205004</v>
      </c>
      <c r="CW339" s="7">
        <v>11.0249094348091</v>
      </c>
      <c r="CX339" s="7">
        <v>62.523643125060097</v>
      </c>
      <c r="CY339" s="7">
        <v>82.327765844901094</v>
      </c>
      <c r="CZ339" s="7">
        <v>99.277081396467196</v>
      </c>
      <c r="DA339" s="9">
        <v>109.949146484398</v>
      </c>
      <c r="DB339" s="9">
        <v>0</v>
      </c>
      <c r="DC339" s="9">
        <v>0</v>
      </c>
      <c r="DD339" s="9">
        <v>2.5390311928958399E-2</v>
      </c>
      <c r="DE339" s="9">
        <v>0.106898983746353</v>
      </c>
      <c r="DF339" s="9">
        <v>0</v>
      </c>
      <c r="DG339" s="9">
        <v>0</v>
      </c>
      <c r="DH339" s="9">
        <v>2.5390311928958398</v>
      </c>
      <c r="DI339" s="9">
        <v>9.1847529894527593</v>
      </c>
    </row>
    <row r="340" spans="1:113">
      <c r="A340" s="5" t="s">
        <v>759</v>
      </c>
      <c r="B340" s="5" t="s">
        <v>796</v>
      </c>
      <c r="C340" s="5" t="s">
        <v>797</v>
      </c>
      <c r="D340" s="6">
        <v>96181</v>
      </c>
      <c r="E340" s="7">
        <v>12.081967155486501</v>
      </c>
      <c r="F340" s="7">
        <v>1.65764548091619</v>
      </c>
      <c r="G340" s="7">
        <v>6.7160873769247598</v>
      </c>
      <c r="H340" s="7">
        <v>9.1410985537684208</v>
      </c>
      <c r="I340" s="7">
        <v>9.6406878697455802</v>
      </c>
      <c r="J340" s="7">
        <v>74.057246233663605</v>
      </c>
      <c r="K340" s="7">
        <v>95.187199134964303</v>
      </c>
      <c r="L340" s="7">
        <v>98.123329971616002</v>
      </c>
      <c r="M340" s="7">
        <v>99.061145132614499</v>
      </c>
      <c r="N340" s="7">
        <v>10.1223643368032</v>
      </c>
      <c r="O340" s="7">
        <v>3.3164762271134598</v>
      </c>
      <c r="P340" s="7">
        <v>8.0276249987003698</v>
      </c>
      <c r="Q340" s="7">
        <v>9.5901269481498392</v>
      </c>
      <c r="R340" s="7">
        <v>9.9792682546448894</v>
      </c>
      <c r="S340" s="7">
        <v>83.148438880859999</v>
      </c>
      <c r="T340" s="7">
        <v>99.526933593953103</v>
      </c>
      <c r="U340" s="7">
        <v>100</v>
      </c>
      <c r="V340" s="7">
        <v>100</v>
      </c>
      <c r="W340" s="7">
        <v>7.5584059098472798</v>
      </c>
      <c r="X340" s="7">
        <v>7.7669290192449596</v>
      </c>
      <c r="Y340" s="7">
        <v>9.9917447312878807</v>
      </c>
      <c r="Z340" s="7">
        <v>10</v>
      </c>
      <c r="AA340" s="7">
        <v>10</v>
      </c>
      <c r="AB340" s="7">
        <v>99.134964286085605</v>
      </c>
      <c r="AC340" s="7">
        <v>100</v>
      </c>
      <c r="AD340" s="7">
        <v>100</v>
      </c>
      <c r="AE340" s="7">
        <v>100</v>
      </c>
      <c r="AF340" s="6">
        <v>15.8572444857605</v>
      </c>
      <c r="AG340" s="6">
        <v>1.4477079672700399</v>
      </c>
      <c r="AH340" s="6">
        <v>3.2969713352949102</v>
      </c>
      <c r="AI340" s="6">
        <v>5.3028664705087296</v>
      </c>
      <c r="AJ340" s="6">
        <v>6.8322745656626598</v>
      </c>
      <c r="AK340" s="6">
        <v>71.375843461806397</v>
      </c>
      <c r="AL340" s="6">
        <v>82.887472577744006</v>
      </c>
      <c r="AM340" s="6">
        <v>91.2092824986224</v>
      </c>
      <c r="AN340" s="6">
        <v>95.619716991921507</v>
      </c>
      <c r="AO340" s="6">
        <v>16.551212829371</v>
      </c>
      <c r="AP340" s="7">
        <v>0.77001694721410696</v>
      </c>
      <c r="AQ340" s="7">
        <v>4.3511816263087297</v>
      </c>
      <c r="AR340" s="7">
        <v>8.4481446439525492</v>
      </c>
      <c r="AS340" s="7">
        <v>9.4904398997723103</v>
      </c>
      <c r="AT340" s="7">
        <v>54.7166280242459</v>
      </c>
      <c r="AU340" s="7">
        <v>90.558426300412805</v>
      </c>
      <c r="AV340" s="7">
        <v>94.908557823270698</v>
      </c>
      <c r="AW340" s="7">
        <v>97.858204842952304</v>
      </c>
      <c r="AX340" s="7">
        <v>12.4699521628549</v>
      </c>
      <c r="AY340" s="7">
        <v>1.60212515985486</v>
      </c>
      <c r="AZ340" s="7">
        <v>5.7797278048679104</v>
      </c>
      <c r="BA340" s="7">
        <v>8.6194882565163606</v>
      </c>
      <c r="BB340" s="7">
        <v>9.8037970077250201</v>
      </c>
      <c r="BC340" s="7">
        <v>77.916636341897004</v>
      </c>
      <c r="BD340" s="7">
        <v>95.580208149218706</v>
      </c>
      <c r="BE340" s="7">
        <v>98.887514165999505</v>
      </c>
      <c r="BF340" s="7">
        <v>100</v>
      </c>
      <c r="BG340" s="7">
        <v>8.9489705861913098</v>
      </c>
      <c r="BH340" s="7">
        <v>5.2358677909358402</v>
      </c>
      <c r="BI340" s="7">
        <v>9.9050332186190602</v>
      </c>
      <c r="BJ340" s="7">
        <v>10</v>
      </c>
      <c r="BK340" s="7">
        <v>10</v>
      </c>
      <c r="BL340" s="7">
        <v>94.882565163597803</v>
      </c>
      <c r="BM340" s="7">
        <v>100</v>
      </c>
      <c r="BN340" s="7">
        <v>100</v>
      </c>
      <c r="BO340" s="7">
        <v>100</v>
      </c>
      <c r="BP340" s="6">
        <v>23.358389961491699</v>
      </c>
      <c r="BQ340" s="6">
        <v>0.61662906395233996</v>
      </c>
      <c r="BR340" s="6">
        <v>1.5104126594649701</v>
      </c>
      <c r="BS340" s="6">
        <v>2.61005811958703</v>
      </c>
      <c r="BT340" s="6">
        <v>4.0222289225522703</v>
      </c>
      <c r="BU340" s="6">
        <v>48.955614934342499</v>
      </c>
      <c r="BV340" s="6">
        <v>76.127301650014005</v>
      </c>
      <c r="BW340" s="6">
        <v>88.197253095725799</v>
      </c>
      <c r="BX340" s="6">
        <v>92.848899470789405</v>
      </c>
      <c r="BY340" s="6" t="str">
        <f>TRIM(Table1[[#This Row],[LA_Name]])</f>
        <v>Teignbridge</v>
      </c>
      <c r="BZ340" s="7">
        <v>34.328910467727098</v>
      </c>
      <c r="CA340" s="7">
        <v>5.9013734521371201E-2</v>
      </c>
      <c r="CB340" s="7">
        <v>0.47786984955448603</v>
      </c>
      <c r="CC340" s="7">
        <v>1.5285243447250501</v>
      </c>
      <c r="CD340" s="7">
        <v>3.64530416610349</v>
      </c>
      <c r="CE340" s="7">
        <v>5.9013734521371202</v>
      </c>
      <c r="CF340" s="7">
        <v>43.897443361994597</v>
      </c>
      <c r="CG340" s="7">
        <v>85.597987128434895</v>
      </c>
      <c r="CH340" s="7">
        <v>95.625955230242994</v>
      </c>
      <c r="CI340" s="7">
        <v>33.296635931207803</v>
      </c>
      <c r="CJ340" s="7">
        <v>0.20281552489576901</v>
      </c>
      <c r="CK340" s="7">
        <v>0.66268805689273302</v>
      </c>
      <c r="CL340" s="7">
        <v>1.49678210873249</v>
      </c>
      <c r="CM340" s="7">
        <v>2.3465549328869502</v>
      </c>
      <c r="CN340" s="7">
        <v>20.281552489576899</v>
      </c>
      <c r="CO340" s="7">
        <v>46.281490107193697</v>
      </c>
      <c r="CP340" s="7">
        <v>73.455256235639098</v>
      </c>
      <c r="CQ340" s="7">
        <v>92.339443341200493</v>
      </c>
      <c r="CR340" s="7">
        <v>17.394596948384802</v>
      </c>
      <c r="CS340" s="7">
        <v>0.50533889229681495</v>
      </c>
      <c r="CT340" s="7">
        <v>4.2495607240515296</v>
      </c>
      <c r="CU340" s="7">
        <v>9.8821700751707695</v>
      </c>
      <c r="CV340" s="7">
        <v>10</v>
      </c>
      <c r="CW340" s="7">
        <v>42.251588151505999</v>
      </c>
      <c r="CX340" s="7">
        <v>96.9339058649837</v>
      </c>
      <c r="CY340" s="7">
        <v>100</v>
      </c>
      <c r="CZ340" s="7">
        <v>100</v>
      </c>
      <c r="DA340" s="9">
        <v>77.694624652803697</v>
      </c>
      <c r="DB340" s="9">
        <v>5.6612012767594401E-2</v>
      </c>
      <c r="DC340" s="9">
        <v>0.18743826743327699</v>
      </c>
      <c r="DD340" s="9">
        <v>0.345608800074859</v>
      </c>
      <c r="DE340" s="9">
        <v>0.46785747704848202</v>
      </c>
      <c r="DF340" s="9">
        <v>5.6612012767594404</v>
      </c>
      <c r="DG340" s="9">
        <v>18.743826743327698</v>
      </c>
      <c r="DH340" s="9">
        <v>34.137719508010903</v>
      </c>
      <c r="DI340" s="9">
        <v>41.781640864619803</v>
      </c>
    </row>
    <row r="341" spans="1:113">
      <c r="A341" s="5" t="s">
        <v>759</v>
      </c>
      <c r="B341" s="5" t="s">
        <v>798</v>
      </c>
      <c r="C341" s="5" t="s">
        <v>799</v>
      </c>
      <c r="D341" s="6">
        <v>49049</v>
      </c>
      <c r="E341" s="7">
        <v>23.1863068045195</v>
      </c>
      <c r="F341" s="7">
        <v>0.96373014740361695</v>
      </c>
      <c r="G341" s="7">
        <v>3.9036065974841501</v>
      </c>
      <c r="H341" s="7">
        <v>6.0896654366042098</v>
      </c>
      <c r="I341" s="7">
        <v>7.2732573548900099</v>
      </c>
      <c r="J341" s="7">
        <v>51.721747640114998</v>
      </c>
      <c r="K341" s="7">
        <v>72.401068319435694</v>
      </c>
      <c r="L341" s="7">
        <v>86.535913066525296</v>
      </c>
      <c r="M341" s="7">
        <v>92.436135293278198</v>
      </c>
      <c r="N341" s="7">
        <v>15.6326638002148</v>
      </c>
      <c r="O341" s="7">
        <v>2.2366001345593198</v>
      </c>
      <c r="P341" s="7">
        <v>5.3235132214724104</v>
      </c>
      <c r="Q341" s="7">
        <v>6.63202104018431</v>
      </c>
      <c r="R341" s="7">
        <v>8.0717241941731697</v>
      </c>
      <c r="S341" s="7">
        <v>64.054313033904904</v>
      </c>
      <c r="T341" s="7">
        <v>86.128157556728993</v>
      </c>
      <c r="U341" s="7">
        <v>99.696222145201702</v>
      </c>
      <c r="V341" s="7">
        <v>100</v>
      </c>
      <c r="W341" s="7">
        <v>9.9521629440375907</v>
      </c>
      <c r="X341" s="7">
        <v>5.1192277110644504</v>
      </c>
      <c r="Y341" s="7">
        <v>8.5943240433036294</v>
      </c>
      <c r="Z341" s="7">
        <v>10</v>
      </c>
      <c r="AA341" s="7">
        <v>10</v>
      </c>
      <c r="AB341" s="7">
        <v>81.385960977797694</v>
      </c>
      <c r="AC341" s="7">
        <v>100</v>
      </c>
      <c r="AD341" s="7">
        <v>100</v>
      </c>
      <c r="AE341" s="7">
        <v>100</v>
      </c>
      <c r="AF341" s="6">
        <v>34.030947082252197</v>
      </c>
      <c r="AG341" s="6">
        <v>0.81467512079756998</v>
      </c>
      <c r="AH341" s="6">
        <v>2.1744581948663599</v>
      </c>
      <c r="AI341" s="6">
        <v>3.33331974148301</v>
      </c>
      <c r="AJ341" s="6">
        <v>4.3960325388896804</v>
      </c>
      <c r="AK341" s="6">
        <v>49.289486024179901</v>
      </c>
      <c r="AL341" s="6">
        <v>64.380517441741901</v>
      </c>
      <c r="AM341" s="6">
        <v>69.118636465575307</v>
      </c>
      <c r="AN341" s="6">
        <v>74.419458092927499</v>
      </c>
      <c r="AO341" s="6">
        <v>25.705405630214301</v>
      </c>
      <c r="AP341" s="7">
        <v>0.75155456788109898</v>
      </c>
      <c r="AQ341" s="7">
        <v>2.31142327060694</v>
      </c>
      <c r="AR341" s="7">
        <v>4.8647067218495801</v>
      </c>
      <c r="AS341" s="7">
        <v>6.9948215050255902</v>
      </c>
      <c r="AT341" s="7">
        <v>50.614691431018002</v>
      </c>
      <c r="AU341" s="7">
        <v>77.903728924137098</v>
      </c>
      <c r="AV341" s="7">
        <v>85.524679402230404</v>
      </c>
      <c r="AW341" s="7">
        <v>87.973251238557395</v>
      </c>
      <c r="AX341" s="7">
        <v>16.624312538573601</v>
      </c>
      <c r="AY341" s="7">
        <v>1.4258598544312799</v>
      </c>
      <c r="AZ341" s="7">
        <v>3.2429815082876301</v>
      </c>
      <c r="BA341" s="7">
        <v>4.7833594976452103</v>
      </c>
      <c r="BB341" s="7">
        <v>7.32006768741463</v>
      </c>
      <c r="BC341" s="7">
        <v>62.282615343839801</v>
      </c>
      <c r="BD341" s="7">
        <v>80.772288935554201</v>
      </c>
      <c r="BE341" s="7">
        <v>99.3047768557973</v>
      </c>
      <c r="BF341" s="7">
        <v>100</v>
      </c>
      <c r="BG341" s="7">
        <v>10.2666755541255</v>
      </c>
      <c r="BH341" s="7">
        <v>3.1481987400354701</v>
      </c>
      <c r="BI341" s="7">
        <v>8.3086913086913103</v>
      </c>
      <c r="BJ341" s="7">
        <v>10</v>
      </c>
      <c r="BK341" s="7">
        <v>10</v>
      </c>
      <c r="BL341" s="7">
        <v>81.288099655446601</v>
      </c>
      <c r="BM341" s="7">
        <v>100</v>
      </c>
      <c r="BN341" s="7">
        <v>100</v>
      </c>
      <c r="BO341" s="7">
        <v>100</v>
      </c>
      <c r="BP341" s="6">
        <v>37.388668497690702</v>
      </c>
      <c r="BQ341" s="6">
        <v>0.64280617341841795</v>
      </c>
      <c r="BR341" s="6">
        <v>1.3776835409488499</v>
      </c>
      <c r="BS341" s="6">
        <v>1.8876837448266</v>
      </c>
      <c r="BT341" s="6">
        <v>2.4248812412077698</v>
      </c>
      <c r="BU341" s="6">
        <v>47.340414687353501</v>
      </c>
      <c r="BV341" s="6">
        <v>62.323390894819497</v>
      </c>
      <c r="BW341" s="6">
        <v>66.201145792982501</v>
      </c>
      <c r="BX341" s="6">
        <v>73.671226732451203</v>
      </c>
      <c r="BY341" s="6" t="str">
        <f>TRIM(Table1[[#This Row],[LA_Name]])</f>
        <v>Torridge</v>
      </c>
      <c r="BZ341" s="7">
        <v>72.679318555023698</v>
      </c>
      <c r="CA341" s="7">
        <v>0</v>
      </c>
      <c r="CB341" s="7">
        <v>0</v>
      </c>
      <c r="CC341" s="7">
        <v>0.160492568655834</v>
      </c>
      <c r="CD341" s="7">
        <v>0.50035678607107203</v>
      </c>
      <c r="CE341" s="7">
        <v>0</v>
      </c>
      <c r="CF341" s="7">
        <v>0</v>
      </c>
      <c r="CG341" s="7">
        <v>16.049256865583398</v>
      </c>
      <c r="CH341" s="7">
        <v>50.035678607107201</v>
      </c>
      <c r="CI341" s="7">
        <v>83.348455949496497</v>
      </c>
      <c r="CJ341" s="7">
        <v>0</v>
      </c>
      <c r="CK341" s="7">
        <v>0</v>
      </c>
      <c r="CL341" s="7">
        <v>4.1183306489428898E-3</v>
      </c>
      <c r="CM341" s="7">
        <v>0.18976941425921001</v>
      </c>
      <c r="CN341" s="7">
        <v>0</v>
      </c>
      <c r="CO341" s="7">
        <v>0</v>
      </c>
      <c r="CP341" s="7">
        <v>0.411833064894289</v>
      </c>
      <c r="CQ341" s="7">
        <v>18.976941425921002</v>
      </c>
      <c r="CR341" s="7">
        <v>37.354513493893499</v>
      </c>
      <c r="CS341" s="7">
        <v>0</v>
      </c>
      <c r="CT341" s="7">
        <v>0.48628922098309901</v>
      </c>
      <c r="CU341" s="7">
        <v>0.69634447185467596</v>
      </c>
      <c r="CV341" s="7">
        <v>1.18450936818284</v>
      </c>
      <c r="CW341" s="7">
        <v>0</v>
      </c>
      <c r="CX341" s="7">
        <v>48.6289220983099</v>
      </c>
      <c r="CY341" s="7">
        <v>69.634447185467593</v>
      </c>
      <c r="CZ341" s="7">
        <v>88.458480295214997</v>
      </c>
      <c r="DA341" s="9">
        <v>120</v>
      </c>
      <c r="DB341" s="9">
        <v>0</v>
      </c>
      <c r="DC341" s="9">
        <v>0</v>
      </c>
      <c r="DD341" s="9">
        <v>0</v>
      </c>
      <c r="DE341" s="9">
        <v>0</v>
      </c>
      <c r="DF341" s="9">
        <v>0</v>
      </c>
      <c r="DG341" s="9">
        <v>0</v>
      </c>
      <c r="DH341" s="9">
        <v>0</v>
      </c>
      <c r="DI341" s="9">
        <v>0</v>
      </c>
    </row>
    <row r="342" spans="1:113">
      <c r="A342" s="5" t="s">
        <v>759</v>
      </c>
      <c r="B342" s="5" t="s">
        <v>800</v>
      </c>
      <c r="C342" s="5" t="s">
        <v>801</v>
      </c>
      <c r="D342" s="6">
        <v>39869</v>
      </c>
      <c r="E342" s="7">
        <v>22.622188204843699</v>
      </c>
      <c r="F342" s="7">
        <v>0.54528581103112705</v>
      </c>
      <c r="G342" s="7">
        <v>2.2119942812711599</v>
      </c>
      <c r="H342" s="7">
        <v>5.0877373397878003</v>
      </c>
      <c r="I342" s="7">
        <v>6.9251548822393296</v>
      </c>
      <c r="J342" s="7">
        <v>44.252426697434103</v>
      </c>
      <c r="K342" s="7">
        <v>81.549574857658797</v>
      </c>
      <c r="L342" s="7">
        <v>90.559080990243004</v>
      </c>
      <c r="M342" s="7">
        <v>92.886703955454095</v>
      </c>
      <c r="N342" s="7">
        <v>15.945579038695699</v>
      </c>
      <c r="O342" s="7">
        <v>1.0986480724372301</v>
      </c>
      <c r="P342" s="7">
        <v>2.9213925606360802</v>
      </c>
      <c r="Q342" s="7">
        <v>6.0837994431764004</v>
      </c>
      <c r="R342" s="7">
        <v>7.8238731846798304</v>
      </c>
      <c r="S342" s="7">
        <v>67.099751686774198</v>
      </c>
      <c r="T342" s="7">
        <v>84.569464997867996</v>
      </c>
      <c r="U342" s="7">
        <v>97.175750583159896</v>
      </c>
      <c r="V342" s="7">
        <v>100</v>
      </c>
      <c r="W342" s="7">
        <v>9.8912696366553003</v>
      </c>
      <c r="X342" s="7">
        <v>2.6946248965361601</v>
      </c>
      <c r="Y342" s="7">
        <v>9.3273972259148703</v>
      </c>
      <c r="Z342" s="7">
        <v>10</v>
      </c>
      <c r="AA342" s="7">
        <v>10</v>
      </c>
      <c r="AB342" s="7">
        <v>83.759311745968006</v>
      </c>
      <c r="AC342" s="7">
        <v>100</v>
      </c>
      <c r="AD342" s="7">
        <v>100</v>
      </c>
      <c r="AE342" s="7">
        <v>100</v>
      </c>
      <c r="AF342" s="6">
        <v>34.505880421476498</v>
      </c>
      <c r="AG342" s="6">
        <v>0.48551506182748499</v>
      </c>
      <c r="AH342" s="6">
        <v>0.98387218139406596</v>
      </c>
      <c r="AI342" s="6">
        <v>1.5079134164388399</v>
      </c>
      <c r="AJ342" s="6">
        <v>1.9296947503072599</v>
      </c>
      <c r="AK342" s="6">
        <v>39.3012114675562</v>
      </c>
      <c r="AL342" s="6">
        <v>64.260452983521006</v>
      </c>
      <c r="AM342" s="6">
        <v>71.702325114750806</v>
      </c>
      <c r="AN342" s="6">
        <v>76.663573202237302</v>
      </c>
      <c r="AO342" s="6">
        <v>25.496394499348899</v>
      </c>
      <c r="AP342" s="7">
        <v>0.67378163485414699</v>
      </c>
      <c r="AQ342" s="7">
        <v>2.04319145200532</v>
      </c>
      <c r="AR342" s="7">
        <v>3.8414808497830402</v>
      </c>
      <c r="AS342" s="7">
        <v>6.76718753919085</v>
      </c>
      <c r="AT342" s="7">
        <v>45.235646743083599</v>
      </c>
      <c r="AU342" s="7">
        <v>72.487396222629101</v>
      </c>
      <c r="AV342" s="7">
        <v>86.129574356015993</v>
      </c>
      <c r="AW342" s="7">
        <v>91.775564975294103</v>
      </c>
      <c r="AX342" s="7">
        <v>20.970157488727899</v>
      </c>
      <c r="AY342" s="7">
        <v>1.2854849632546601</v>
      </c>
      <c r="AZ342" s="7">
        <v>1.97574556673104</v>
      </c>
      <c r="BA342" s="7">
        <v>3.94399157239961</v>
      </c>
      <c r="BB342" s="7">
        <v>6.4382853846346801</v>
      </c>
      <c r="BC342" s="7">
        <v>49.880859815897097</v>
      </c>
      <c r="BD342" s="7">
        <v>71.007549725350501</v>
      </c>
      <c r="BE342" s="7">
        <v>92.706112518498102</v>
      </c>
      <c r="BF342" s="7">
        <v>96.922420928541001</v>
      </c>
      <c r="BG342" s="7">
        <v>11.463263686012001</v>
      </c>
      <c r="BH342" s="7">
        <v>1.9685219092527999</v>
      </c>
      <c r="BI342" s="7">
        <v>8.5266748601670503</v>
      </c>
      <c r="BJ342" s="7">
        <v>10</v>
      </c>
      <c r="BK342" s="7">
        <v>10</v>
      </c>
      <c r="BL342" s="7">
        <v>72.740725877247996</v>
      </c>
      <c r="BM342" s="7">
        <v>100</v>
      </c>
      <c r="BN342" s="7">
        <v>100</v>
      </c>
      <c r="BO342" s="7">
        <v>100</v>
      </c>
      <c r="BP342" s="6">
        <v>48.5331908142795</v>
      </c>
      <c r="BQ342" s="6">
        <v>0.61692041435701905</v>
      </c>
      <c r="BR342" s="6">
        <v>1.23850610750207</v>
      </c>
      <c r="BS342" s="6">
        <v>1.4704657754144801</v>
      </c>
      <c r="BT342" s="6">
        <v>1.60631066743585</v>
      </c>
      <c r="BU342" s="6">
        <v>43.866161679500401</v>
      </c>
      <c r="BV342" s="6">
        <v>49.880859815897097</v>
      </c>
      <c r="BW342" s="6">
        <v>51.039654869698303</v>
      </c>
      <c r="BX342" s="6">
        <v>58.664626652286202</v>
      </c>
      <c r="BY342" s="6" t="str">
        <f>TRIM(Table1[[#This Row],[LA_Name]])</f>
        <v>West Devon</v>
      </c>
      <c r="BZ342" s="7">
        <v>77.551251642291803</v>
      </c>
      <c r="CA342" s="7">
        <v>0</v>
      </c>
      <c r="CB342" s="7">
        <v>0</v>
      </c>
      <c r="CC342" s="7">
        <v>4.2438987684667299E-2</v>
      </c>
      <c r="CD342" s="7">
        <v>0.31435451102360201</v>
      </c>
      <c r="CE342" s="7">
        <v>0</v>
      </c>
      <c r="CF342" s="7">
        <v>0</v>
      </c>
      <c r="CG342" s="7">
        <v>4.24389876846673</v>
      </c>
      <c r="CH342" s="7">
        <v>27.231683764328199</v>
      </c>
      <c r="CI342" s="7">
        <v>93.302783767144106</v>
      </c>
      <c r="CJ342" s="7">
        <v>0</v>
      </c>
      <c r="CK342" s="7">
        <v>0</v>
      </c>
      <c r="CL342" s="7">
        <v>2.09937545461386E-2</v>
      </c>
      <c r="CM342" s="7">
        <v>0.13717424565451899</v>
      </c>
      <c r="CN342" s="7">
        <v>0</v>
      </c>
      <c r="CO342" s="7">
        <v>0</v>
      </c>
      <c r="CP342" s="7">
        <v>2.0993754546138601</v>
      </c>
      <c r="CQ342" s="7">
        <v>13.1957159698011</v>
      </c>
      <c r="CR342" s="7">
        <v>35.0479577291349</v>
      </c>
      <c r="CS342" s="7">
        <v>0</v>
      </c>
      <c r="CT342" s="7">
        <v>0.17685419749680201</v>
      </c>
      <c r="CU342" s="7">
        <v>3.3620607489528198</v>
      </c>
      <c r="CV342" s="7">
        <v>6.0929544257443098</v>
      </c>
      <c r="CW342" s="7">
        <v>0</v>
      </c>
      <c r="CX342" s="7">
        <v>16.145376106749602</v>
      </c>
      <c r="CY342" s="7">
        <v>84.958238230203904</v>
      </c>
      <c r="CZ342" s="7">
        <v>100</v>
      </c>
      <c r="DA342" s="9">
        <v>119.863853885536</v>
      </c>
      <c r="DB342" s="9">
        <v>0</v>
      </c>
      <c r="DC342" s="9">
        <v>0</v>
      </c>
      <c r="DD342" s="9">
        <v>0</v>
      </c>
      <c r="DE342" s="9">
        <v>0</v>
      </c>
      <c r="DF342" s="9">
        <v>0</v>
      </c>
      <c r="DG342" s="9">
        <v>0</v>
      </c>
      <c r="DH342" s="9">
        <v>0</v>
      </c>
      <c r="DI342" s="9">
        <v>0</v>
      </c>
    </row>
    <row r="343" spans="1:113">
      <c r="A343" s="5" t="s">
        <v>759</v>
      </c>
      <c r="B343" s="5" t="s">
        <v>802</v>
      </c>
      <c r="C343" s="5" t="s">
        <v>803</v>
      </c>
      <c r="D343" s="6">
        <v>300974</v>
      </c>
      <c r="E343" s="7">
        <v>15.977360308866899</v>
      </c>
      <c r="F343" s="7">
        <v>1.4751373872826199</v>
      </c>
      <c r="G343" s="7">
        <v>5.6989673526616897</v>
      </c>
      <c r="H343" s="7">
        <v>7.6083216490460996</v>
      </c>
      <c r="I343" s="7">
        <v>8.6593127645577397</v>
      </c>
      <c r="J343" s="7">
        <v>67.260627163808195</v>
      </c>
      <c r="K343" s="7">
        <v>88.028534026194905</v>
      </c>
      <c r="L343" s="7">
        <v>93.884521586582196</v>
      </c>
      <c r="M343" s="7">
        <v>96.737591951464196</v>
      </c>
      <c r="N343" s="7">
        <v>11.7101460376939</v>
      </c>
      <c r="O343" s="7">
        <v>3.0051931396067402</v>
      </c>
      <c r="P343" s="7">
        <v>6.2633483290915501</v>
      </c>
      <c r="Q343" s="7">
        <v>8.0777010638792692</v>
      </c>
      <c r="R343" s="7">
        <v>9.2447586834743198</v>
      </c>
      <c r="S343" s="7">
        <v>80.235834324559605</v>
      </c>
      <c r="T343" s="7">
        <v>95.532172214211201</v>
      </c>
      <c r="U343" s="7">
        <v>99.367054961558097</v>
      </c>
      <c r="V343" s="7">
        <v>100</v>
      </c>
      <c r="W343" s="7">
        <v>8.2593893860411605</v>
      </c>
      <c r="X343" s="7">
        <v>6.2544405829074901</v>
      </c>
      <c r="Y343" s="7">
        <v>9.6190003123193399</v>
      </c>
      <c r="Z343" s="7">
        <v>9.9723829965379096</v>
      </c>
      <c r="AA343" s="7">
        <v>10</v>
      </c>
      <c r="AB343" s="7">
        <v>94.694226079329098</v>
      </c>
      <c r="AC343" s="7">
        <v>100</v>
      </c>
      <c r="AD343" s="7">
        <v>100</v>
      </c>
      <c r="AE343" s="7">
        <v>100</v>
      </c>
      <c r="AF343" s="6">
        <v>21.027948237559599</v>
      </c>
      <c r="AG343" s="6">
        <v>1.1661572095928601</v>
      </c>
      <c r="AH343" s="6">
        <v>2.9098128077508401</v>
      </c>
      <c r="AI343" s="6">
        <v>4.3834251463581602</v>
      </c>
      <c r="AJ343" s="6">
        <v>5.5173137879019496</v>
      </c>
      <c r="AK343" s="6">
        <v>63.423086379554398</v>
      </c>
      <c r="AL343" s="6">
        <v>79.171622797982593</v>
      </c>
      <c r="AM343" s="6">
        <v>85.2492241854778</v>
      </c>
      <c r="AN343" s="6">
        <v>90.531075773987098</v>
      </c>
      <c r="AO343" s="6">
        <v>15.376198709352501</v>
      </c>
      <c r="AP343" s="7">
        <v>1.2159056928505501</v>
      </c>
      <c r="AQ343" s="7">
        <v>5.1504747918424796</v>
      </c>
      <c r="AR343" s="7">
        <v>8.0682218397602394</v>
      </c>
      <c r="AS343" s="7">
        <v>8.9008917713822395</v>
      </c>
      <c r="AT343" s="7">
        <v>64.3185125625469</v>
      </c>
      <c r="AU343" s="7">
        <v>90.861336859662302</v>
      </c>
      <c r="AV343" s="7">
        <v>95.402260660389302</v>
      </c>
      <c r="AW343" s="7">
        <v>96.978476546146794</v>
      </c>
      <c r="AX343" s="7">
        <v>12.0577944984373</v>
      </c>
      <c r="AY343" s="7">
        <v>2.4434735226298598</v>
      </c>
      <c r="AZ343" s="7">
        <v>6.1107903008233304</v>
      </c>
      <c r="BA343" s="7">
        <v>8.4618239449254808</v>
      </c>
      <c r="BB343" s="7">
        <v>9.7508754909061892</v>
      </c>
      <c r="BC343" s="7">
        <v>79.353366071487898</v>
      </c>
      <c r="BD343" s="7">
        <v>95.267697541980397</v>
      </c>
      <c r="BE343" s="7">
        <v>99.312232950354499</v>
      </c>
      <c r="BF343" s="7">
        <v>100</v>
      </c>
      <c r="BG343" s="7">
        <v>8.3922385712913705</v>
      </c>
      <c r="BH343" s="7">
        <v>5.7860247064530501</v>
      </c>
      <c r="BI343" s="7">
        <v>9.9624784865137794</v>
      </c>
      <c r="BJ343" s="7">
        <v>10</v>
      </c>
      <c r="BK343" s="7">
        <v>10</v>
      </c>
      <c r="BL343" s="7">
        <v>94.986277884468393</v>
      </c>
      <c r="BM343" s="7">
        <v>100</v>
      </c>
      <c r="BN343" s="7">
        <v>100</v>
      </c>
      <c r="BO343" s="7">
        <v>100</v>
      </c>
      <c r="BP343" s="6">
        <v>21.882198242714701</v>
      </c>
      <c r="BQ343" s="6">
        <v>0.95019171091190602</v>
      </c>
      <c r="BR343" s="6">
        <v>2.3315369433904598</v>
      </c>
      <c r="BS343" s="6">
        <v>3.7590755347638001</v>
      </c>
      <c r="BT343" s="6">
        <v>4.8732614777356202</v>
      </c>
      <c r="BU343" s="6">
        <v>57.527892774791198</v>
      </c>
      <c r="BV343" s="6">
        <v>79.217473934625602</v>
      </c>
      <c r="BW343" s="6">
        <v>87.4201758291414</v>
      </c>
      <c r="BX343" s="6">
        <v>90.900542904038204</v>
      </c>
      <c r="BY343" s="6" t="str">
        <f>TRIM(Table1[[#This Row],[LA_Name]])</f>
        <v>Dorset</v>
      </c>
      <c r="BZ343" s="7">
        <v>50.437470456334999</v>
      </c>
      <c r="CA343" s="7">
        <v>5.1462917062603399E-2</v>
      </c>
      <c r="CB343" s="7">
        <v>0.36124050582442302</v>
      </c>
      <c r="CC343" s="7">
        <v>1.0858977851907501</v>
      </c>
      <c r="CD343" s="7">
        <v>2.33184926272701</v>
      </c>
      <c r="CE343" s="7">
        <v>3.4448158312678201</v>
      </c>
      <c r="CF343" s="7">
        <v>25.027078750988501</v>
      </c>
      <c r="CG343" s="7">
        <v>52.819512648933099</v>
      </c>
      <c r="CH343" s="7">
        <v>73.785443260879703</v>
      </c>
      <c r="CI343" s="7">
        <v>54.914417564376599</v>
      </c>
      <c r="CJ343" s="7">
        <v>0.12749938532896499</v>
      </c>
      <c r="CK343" s="7">
        <v>0.47062204708712402</v>
      </c>
      <c r="CL343" s="7">
        <v>1.12633649418222</v>
      </c>
      <c r="CM343" s="7">
        <v>2.2001169536238998</v>
      </c>
      <c r="CN343" s="7">
        <v>7.8491829859057596</v>
      </c>
      <c r="CO343" s="7">
        <v>28.541003541834201</v>
      </c>
      <c r="CP343" s="7">
        <v>44.031710380298598</v>
      </c>
      <c r="CQ343" s="7">
        <v>61.790387209526401</v>
      </c>
      <c r="CR343" s="7">
        <v>23.567962153696399</v>
      </c>
      <c r="CS343" s="7">
        <v>0.365792394027391</v>
      </c>
      <c r="CT343" s="7">
        <v>2.4336487537129501</v>
      </c>
      <c r="CU343" s="7">
        <v>5.6736296158472204</v>
      </c>
      <c r="CV343" s="7">
        <v>8.8905586529069005</v>
      </c>
      <c r="CW343" s="7">
        <v>24.181823014612601</v>
      </c>
      <c r="CX343" s="7">
        <v>71.690910178287794</v>
      </c>
      <c r="CY343" s="7">
        <v>95.985035252214502</v>
      </c>
      <c r="CZ343" s="7">
        <v>100</v>
      </c>
      <c r="DA343" s="9">
        <v>96.351290669461306</v>
      </c>
      <c r="DB343" s="9">
        <v>4.11663465947225E-2</v>
      </c>
      <c r="DC343" s="9">
        <v>0.123917680596995</v>
      </c>
      <c r="DD343" s="9">
        <v>0.19645883033085901</v>
      </c>
      <c r="DE343" s="9">
        <v>0.29803571072584301</v>
      </c>
      <c r="DF343" s="9">
        <v>2.73412321330082</v>
      </c>
      <c r="DG343" s="9">
        <v>7.5910211513286896</v>
      </c>
      <c r="DH343" s="9">
        <v>13.249649471382901</v>
      </c>
      <c r="DI343" s="9">
        <v>20.576195950480798</v>
      </c>
    </row>
    <row r="344" spans="1:113">
      <c r="A344" s="5" t="s">
        <v>759</v>
      </c>
      <c r="B344" s="5" t="s">
        <v>804</v>
      </c>
      <c r="C344" s="5" t="s">
        <v>805</v>
      </c>
      <c r="D344" s="6">
        <v>34322</v>
      </c>
      <c r="E344" s="7">
        <v>9.5524348803426804</v>
      </c>
      <c r="F344" s="7">
        <v>1.85469960957986</v>
      </c>
      <c r="G344" s="7">
        <v>8.8152496940737706</v>
      </c>
      <c r="H344" s="7">
        <v>9.9752345434415304</v>
      </c>
      <c r="I344" s="7">
        <v>10</v>
      </c>
      <c r="J344" s="7">
        <v>88.086358603810993</v>
      </c>
      <c r="K344" s="7">
        <v>100</v>
      </c>
      <c r="L344" s="7">
        <v>100</v>
      </c>
      <c r="M344" s="7">
        <v>100</v>
      </c>
      <c r="N344" s="7">
        <v>8.5474453799048398</v>
      </c>
      <c r="O344" s="7">
        <v>4.38771050638075</v>
      </c>
      <c r="P344" s="7">
        <v>10</v>
      </c>
      <c r="Q344" s="7">
        <v>10</v>
      </c>
      <c r="R344" s="7">
        <v>10</v>
      </c>
      <c r="S344" s="7">
        <v>98.720937008332797</v>
      </c>
      <c r="T344" s="7">
        <v>100</v>
      </c>
      <c r="U344" s="7">
        <v>100</v>
      </c>
      <c r="V344" s="7">
        <v>100</v>
      </c>
      <c r="W344" s="7">
        <v>7.15458044524543</v>
      </c>
      <c r="X344" s="7">
        <v>9.9289959792552906</v>
      </c>
      <c r="Y344" s="7">
        <v>10</v>
      </c>
      <c r="Z344" s="7">
        <v>10</v>
      </c>
      <c r="AA344" s="7">
        <v>10</v>
      </c>
      <c r="AB344" s="7">
        <v>100</v>
      </c>
      <c r="AC344" s="7">
        <v>100</v>
      </c>
      <c r="AD344" s="7">
        <v>100</v>
      </c>
      <c r="AE344" s="7">
        <v>100</v>
      </c>
      <c r="AF344" s="6">
        <v>10.633730514886899</v>
      </c>
      <c r="AG344" s="6">
        <v>1.2961365887768801</v>
      </c>
      <c r="AH344" s="6">
        <v>4.2975351086766498</v>
      </c>
      <c r="AI344" s="6">
        <v>7.0647689528582296</v>
      </c>
      <c r="AJ344" s="6">
        <v>9.3750655556202993</v>
      </c>
      <c r="AK344" s="6">
        <v>76.953557484995002</v>
      </c>
      <c r="AL344" s="6">
        <v>98.720937008332797</v>
      </c>
      <c r="AM344" s="6">
        <v>100</v>
      </c>
      <c r="AN344" s="6">
        <v>100</v>
      </c>
      <c r="AO344" s="6">
        <v>8.7664976058718107</v>
      </c>
      <c r="AP344" s="7">
        <v>2.49044344735155</v>
      </c>
      <c r="AQ344" s="7">
        <v>9.7321543033622806</v>
      </c>
      <c r="AR344" s="7">
        <v>9.9664355224054493</v>
      </c>
      <c r="AS344" s="7">
        <v>10</v>
      </c>
      <c r="AT344" s="7">
        <v>85.9244799254123</v>
      </c>
      <c r="AU344" s="7">
        <v>99.600839111939905</v>
      </c>
      <c r="AV344" s="7">
        <v>100</v>
      </c>
      <c r="AW344" s="7">
        <v>100</v>
      </c>
      <c r="AX344" s="7">
        <v>8.6045629630714799</v>
      </c>
      <c r="AY344" s="7">
        <v>5.4426024124468304</v>
      </c>
      <c r="AZ344" s="7">
        <v>10</v>
      </c>
      <c r="BA344" s="7">
        <v>10</v>
      </c>
      <c r="BB344" s="7">
        <v>10</v>
      </c>
      <c r="BC344" s="7">
        <v>93.604685041664197</v>
      </c>
      <c r="BD344" s="7">
        <v>100</v>
      </c>
      <c r="BE344" s="7">
        <v>100</v>
      </c>
      <c r="BF344" s="7">
        <v>100</v>
      </c>
      <c r="BG344" s="7">
        <v>7.0578462830804698</v>
      </c>
      <c r="BH344" s="7">
        <v>9.9872093700833293</v>
      </c>
      <c r="BI344" s="7">
        <v>10</v>
      </c>
      <c r="BJ344" s="7">
        <v>10</v>
      </c>
      <c r="BK344" s="7">
        <v>10</v>
      </c>
      <c r="BL344" s="7">
        <v>100</v>
      </c>
      <c r="BM344" s="7">
        <v>100</v>
      </c>
      <c r="BN344" s="7">
        <v>100</v>
      </c>
      <c r="BO344" s="7">
        <v>100</v>
      </c>
      <c r="BP344" s="6">
        <v>10.071747873276101</v>
      </c>
      <c r="BQ344" s="6">
        <v>1.82559291416584</v>
      </c>
      <c r="BR344" s="6">
        <v>5.1303828448225604</v>
      </c>
      <c r="BS344" s="6">
        <v>9.0467630091486502</v>
      </c>
      <c r="BT344" s="6">
        <v>9.9443214264902995</v>
      </c>
      <c r="BU344" s="6">
        <v>83.328477361459093</v>
      </c>
      <c r="BV344" s="6">
        <v>94.621525552123998</v>
      </c>
      <c r="BW344" s="6">
        <v>99.600839111939905</v>
      </c>
      <c r="BX344" s="6">
        <v>100</v>
      </c>
      <c r="BY344" s="6" t="str">
        <f>TRIM(Table1[[#This Row],[LA_Name]])</f>
        <v>Christchurch</v>
      </c>
      <c r="BZ344" s="7">
        <v>39.471618637228097</v>
      </c>
      <c r="CA344" s="7">
        <v>0</v>
      </c>
      <c r="CB344" s="7">
        <v>0.41428238447642901</v>
      </c>
      <c r="CC344" s="7">
        <v>2.0074296369675402</v>
      </c>
      <c r="CD344" s="7">
        <v>4.91125225802692</v>
      </c>
      <c r="CE344" s="7">
        <v>0</v>
      </c>
      <c r="CF344" s="7">
        <v>27.900472000466198</v>
      </c>
      <c r="CG344" s="7">
        <v>63.886137171493502</v>
      </c>
      <c r="CH344" s="7">
        <v>99.600839111939905</v>
      </c>
      <c r="CI344" s="7">
        <v>27.997721928023601</v>
      </c>
      <c r="CJ344" s="7">
        <v>6.3108210477244894E-2</v>
      </c>
      <c r="CK344" s="7">
        <v>1.2391177670298901</v>
      </c>
      <c r="CL344" s="7">
        <v>3.1664530039041998</v>
      </c>
      <c r="CM344" s="7">
        <v>4.3931006351611197</v>
      </c>
      <c r="CN344" s="7">
        <v>6.3108210477244899</v>
      </c>
      <c r="CO344" s="7">
        <v>60.649146320144503</v>
      </c>
      <c r="CP344" s="7">
        <v>95.148884097663299</v>
      </c>
      <c r="CQ344" s="7">
        <v>100</v>
      </c>
      <c r="CR344" s="7">
        <v>17.973457320559898</v>
      </c>
      <c r="CS344" s="7">
        <v>0.66368509993590097</v>
      </c>
      <c r="CT344" s="7">
        <v>4.4464192063399599</v>
      </c>
      <c r="CU344" s="7">
        <v>9.6796223996270605</v>
      </c>
      <c r="CV344" s="7">
        <v>10</v>
      </c>
      <c r="CW344" s="7">
        <v>32.943884389021598</v>
      </c>
      <c r="CX344" s="7">
        <v>100</v>
      </c>
      <c r="CY344" s="7">
        <v>100</v>
      </c>
      <c r="CZ344" s="7">
        <v>100</v>
      </c>
      <c r="DA344" s="9">
        <v>70.982782625803296</v>
      </c>
      <c r="DB344" s="9">
        <v>0</v>
      </c>
      <c r="DC344" s="9">
        <v>6.3108210477244894E-2</v>
      </c>
      <c r="DD344" s="9">
        <v>0.36714060952159</v>
      </c>
      <c r="DE344" s="9">
        <v>0.68209894528290904</v>
      </c>
      <c r="DF344" s="9">
        <v>0</v>
      </c>
      <c r="DG344" s="9">
        <v>6.3108210477244899</v>
      </c>
      <c r="DH344" s="9">
        <v>28.2996328885263</v>
      </c>
      <c r="DI344" s="9">
        <v>36.247887652234702</v>
      </c>
    </row>
    <row r="345" spans="1:113">
      <c r="A345" s="5" t="s">
        <v>759</v>
      </c>
      <c r="B345" s="5" t="s">
        <v>806</v>
      </c>
      <c r="C345" s="5" t="s">
        <v>807</v>
      </c>
      <c r="D345" s="6">
        <v>62412</v>
      </c>
      <c r="E345" s="7">
        <v>12.200160528177801</v>
      </c>
      <c r="F345" s="7">
        <v>1.8959975645709199</v>
      </c>
      <c r="G345" s="7">
        <v>7.7009869896814704</v>
      </c>
      <c r="H345" s="7">
        <v>8.9978049093123094</v>
      </c>
      <c r="I345" s="7">
        <v>9.17761007498558</v>
      </c>
      <c r="J345" s="7">
        <v>78.648336858296503</v>
      </c>
      <c r="K345" s="7">
        <v>93.310581298468193</v>
      </c>
      <c r="L345" s="7">
        <v>95.912645004165896</v>
      </c>
      <c r="M345" s="7">
        <v>98.234313913990903</v>
      </c>
      <c r="N345" s="7">
        <v>9.5578771631954407</v>
      </c>
      <c r="O345" s="7">
        <v>4.0382298275972603</v>
      </c>
      <c r="P345" s="7">
        <v>8.73096519900019</v>
      </c>
      <c r="Q345" s="7">
        <v>9.7951195282958405</v>
      </c>
      <c r="R345" s="7">
        <v>9.9285714285714306</v>
      </c>
      <c r="S345" s="7">
        <v>90.771005575850793</v>
      </c>
      <c r="T345" s="7">
        <v>99.410369800679305</v>
      </c>
      <c r="U345" s="7">
        <v>100</v>
      </c>
      <c r="V345" s="7">
        <v>100</v>
      </c>
      <c r="W345" s="7">
        <v>7.4203505810962103</v>
      </c>
      <c r="X345" s="7">
        <v>8.7115138114465207</v>
      </c>
      <c r="Y345" s="7">
        <v>9.9964910594116496</v>
      </c>
      <c r="Z345" s="7">
        <v>10</v>
      </c>
      <c r="AA345" s="7">
        <v>10</v>
      </c>
      <c r="AB345" s="7">
        <v>98.042043196821098</v>
      </c>
      <c r="AC345" s="7">
        <v>100</v>
      </c>
      <c r="AD345" s="7">
        <v>100</v>
      </c>
      <c r="AE345" s="7">
        <v>100</v>
      </c>
      <c r="AF345" s="6">
        <v>14.0085366690192</v>
      </c>
      <c r="AG345" s="6">
        <v>1.56069345638659</v>
      </c>
      <c r="AH345" s="6">
        <v>3.7603826187271698</v>
      </c>
      <c r="AI345" s="6">
        <v>6.0825161827853602</v>
      </c>
      <c r="AJ345" s="6">
        <v>7.9363103249375104</v>
      </c>
      <c r="AK345" s="6">
        <v>77.800743446773097</v>
      </c>
      <c r="AL345" s="6">
        <v>89.353009036723705</v>
      </c>
      <c r="AM345" s="6">
        <v>92.890790232647603</v>
      </c>
      <c r="AN345" s="6">
        <v>95.726783310901794</v>
      </c>
      <c r="AO345" s="6">
        <v>16.146652705617399</v>
      </c>
      <c r="AP345" s="7">
        <v>0.80732871883612101</v>
      </c>
      <c r="AQ345" s="7">
        <v>4.5729346920463998</v>
      </c>
      <c r="AR345" s="7">
        <v>8.6141767608793192</v>
      </c>
      <c r="AS345" s="7">
        <v>9.0401365122091892</v>
      </c>
      <c r="AT345" s="7">
        <v>55.377171056847999</v>
      </c>
      <c r="AU345" s="7">
        <v>93.512465551496504</v>
      </c>
      <c r="AV345" s="7">
        <v>97.407549830160903</v>
      </c>
      <c r="AW345" s="7">
        <v>97.8513747356278</v>
      </c>
      <c r="AX345" s="7">
        <v>12.177175699102101</v>
      </c>
      <c r="AY345" s="7">
        <v>1.54172274562584</v>
      </c>
      <c r="AZ345" s="7">
        <v>6.2914663846696204</v>
      </c>
      <c r="BA345" s="7">
        <v>9.47760046144972</v>
      </c>
      <c r="BB345" s="7">
        <v>9.8606357751714402</v>
      </c>
      <c r="BC345" s="7">
        <v>78.895084278664399</v>
      </c>
      <c r="BD345" s="7">
        <v>97.071076075113794</v>
      </c>
      <c r="BE345" s="7">
        <v>99.649105941165203</v>
      </c>
      <c r="BF345" s="7">
        <v>100</v>
      </c>
      <c r="BG345" s="7">
        <v>8.7606631899570697</v>
      </c>
      <c r="BH345" s="7">
        <v>5.1020637056976197</v>
      </c>
      <c r="BI345" s="7">
        <v>9.9793308979042497</v>
      </c>
      <c r="BJ345" s="7">
        <v>10</v>
      </c>
      <c r="BK345" s="7">
        <v>10</v>
      </c>
      <c r="BL345" s="7">
        <v>96.553547394731794</v>
      </c>
      <c r="BM345" s="7">
        <v>100</v>
      </c>
      <c r="BN345" s="7">
        <v>100</v>
      </c>
      <c r="BO345" s="7">
        <v>100</v>
      </c>
      <c r="BP345" s="6">
        <v>21.666801827610598</v>
      </c>
      <c r="BQ345" s="6">
        <v>0.57450490290328804</v>
      </c>
      <c r="BR345" s="6">
        <v>1.4687720310196799</v>
      </c>
      <c r="BS345" s="6">
        <v>2.7048964942639202</v>
      </c>
      <c r="BT345" s="6">
        <v>4.1293180798564402</v>
      </c>
      <c r="BU345" s="6">
        <v>40.530667179388601</v>
      </c>
      <c r="BV345" s="6">
        <v>80.300262769980094</v>
      </c>
      <c r="BW345" s="6">
        <v>93.981926552586003</v>
      </c>
      <c r="BX345" s="6">
        <v>95.675511119656505</v>
      </c>
      <c r="BY345" s="6" t="str">
        <f>TRIM(Table1[[#This Row],[LA_Name]])</f>
        <v>East Dorset</v>
      </c>
      <c r="BZ345" s="7">
        <v>40.185217966271203</v>
      </c>
      <c r="CA345" s="7">
        <v>1.36191757995257E-2</v>
      </c>
      <c r="CB345" s="7">
        <v>0.449496891623406</v>
      </c>
      <c r="CC345" s="7">
        <v>1.3937864513234599</v>
      </c>
      <c r="CD345" s="7">
        <v>3.0051432416842898</v>
      </c>
      <c r="CE345" s="7">
        <v>1.36191757995257</v>
      </c>
      <c r="CF345" s="7">
        <v>44.520284560661402</v>
      </c>
      <c r="CG345" s="7">
        <v>82.4024226110363</v>
      </c>
      <c r="CH345" s="7">
        <v>88.276293020572993</v>
      </c>
      <c r="CI345" s="7">
        <v>31.5789557630142</v>
      </c>
      <c r="CJ345" s="7">
        <v>9.7737614561302297E-2</v>
      </c>
      <c r="CK345" s="7">
        <v>0.679148240722938</v>
      </c>
      <c r="CL345" s="7">
        <v>1.93107094789464</v>
      </c>
      <c r="CM345" s="7">
        <v>4.7164167147343496</v>
      </c>
      <c r="CN345" s="7">
        <v>9.7737614561302308</v>
      </c>
      <c r="CO345" s="7">
        <v>61.587515221431801</v>
      </c>
      <c r="CP345" s="7">
        <v>74.133179516759597</v>
      </c>
      <c r="CQ345" s="7">
        <v>91.573735820034599</v>
      </c>
      <c r="CR345" s="7">
        <v>16.723599617423002</v>
      </c>
      <c r="CS345" s="7">
        <v>0.53037877331282401</v>
      </c>
      <c r="CT345" s="7">
        <v>4.6617156956995496</v>
      </c>
      <c r="CU345" s="7">
        <v>9.7555918733576892</v>
      </c>
      <c r="CV345" s="7">
        <v>10</v>
      </c>
      <c r="CW345" s="7">
        <v>52.131000448631703</v>
      </c>
      <c r="CX345" s="7">
        <v>96.024802922514894</v>
      </c>
      <c r="CY345" s="7">
        <v>100</v>
      </c>
      <c r="CZ345" s="7">
        <v>100</v>
      </c>
      <c r="DA345" s="9">
        <v>73.237046488881006</v>
      </c>
      <c r="DB345" s="9">
        <v>9.5975132987246008E-3</v>
      </c>
      <c r="DC345" s="9">
        <v>8.9261680446068095E-2</v>
      </c>
      <c r="DD345" s="9">
        <v>0.21696148176632701</v>
      </c>
      <c r="DE345" s="9">
        <v>0.48118951483688999</v>
      </c>
      <c r="DF345" s="9">
        <v>0.95975132987246004</v>
      </c>
      <c r="DG345" s="9">
        <v>8.9261680446068095</v>
      </c>
      <c r="DH345" s="9">
        <v>21.6961481766327</v>
      </c>
      <c r="DI345" s="9">
        <v>48.118951483689003</v>
      </c>
    </row>
    <row r="346" spans="1:113">
      <c r="A346" s="5" t="s">
        <v>759</v>
      </c>
      <c r="B346" s="5" t="s">
        <v>808</v>
      </c>
      <c r="C346" s="5" t="s">
        <v>809</v>
      </c>
      <c r="D346" s="6">
        <v>50077</v>
      </c>
      <c r="E346" s="7">
        <v>21.602474166114501</v>
      </c>
      <c r="F346" s="7">
        <v>0.70086067456117596</v>
      </c>
      <c r="G346" s="7">
        <v>2.4986321065558998</v>
      </c>
      <c r="H346" s="7">
        <v>5.1943806537931598</v>
      </c>
      <c r="I346" s="7">
        <v>7.6417517023783397</v>
      </c>
      <c r="J346" s="7">
        <v>49.340016374782799</v>
      </c>
      <c r="K346" s="7">
        <v>82.091578968388703</v>
      </c>
      <c r="L346" s="7">
        <v>89.404317351279005</v>
      </c>
      <c r="M346" s="7">
        <v>93.619825468778103</v>
      </c>
      <c r="N346" s="7">
        <v>14.140862841503001</v>
      </c>
      <c r="O346" s="7">
        <v>1.48431415619945</v>
      </c>
      <c r="P346" s="7">
        <v>3.5090360844299799</v>
      </c>
      <c r="Q346" s="7">
        <v>6.6203446692094197</v>
      </c>
      <c r="R346" s="7">
        <v>9.5321804421191398</v>
      </c>
      <c r="S346" s="7">
        <v>66.707270802963393</v>
      </c>
      <c r="T346" s="7">
        <v>94.879884977135205</v>
      </c>
      <c r="U346" s="7">
        <v>99.3030732671686</v>
      </c>
      <c r="V346" s="7">
        <v>100</v>
      </c>
      <c r="W346" s="7">
        <v>9.1344058202888299</v>
      </c>
      <c r="X346" s="7">
        <v>3.4256644767058702</v>
      </c>
      <c r="Y346" s="7">
        <v>9.8962397907222908</v>
      </c>
      <c r="Z346" s="7">
        <v>10</v>
      </c>
      <c r="AA346" s="7">
        <v>10</v>
      </c>
      <c r="AB346" s="7">
        <v>93.961299598618098</v>
      </c>
      <c r="AC346" s="7">
        <v>100</v>
      </c>
      <c r="AD346" s="7">
        <v>100</v>
      </c>
      <c r="AE346" s="7">
        <v>100</v>
      </c>
      <c r="AF346" s="6">
        <v>29.461201991624399</v>
      </c>
      <c r="AG346" s="6">
        <v>0.59648141861533199</v>
      </c>
      <c r="AH346" s="6">
        <v>1.39153703296923</v>
      </c>
      <c r="AI346" s="6">
        <v>1.7691155620344701</v>
      </c>
      <c r="AJ346" s="6">
        <v>2.35942648321585</v>
      </c>
      <c r="AK346" s="6">
        <v>45.308225332987199</v>
      </c>
      <c r="AL346" s="6">
        <v>65.115721788445796</v>
      </c>
      <c r="AM346" s="6">
        <v>75.821235297641607</v>
      </c>
      <c r="AN346" s="6">
        <v>83.199872196816898</v>
      </c>
      <c r="AO346" s="6">
        <v>20.043123557658401</v>
      </c>
      <c r="AP346" s="7">
        <v>0.76552109750983499</v>
      </c>
      <c r="AQ346" s="7">
        <v>2.8912275096351601</v>
      </c>
      <c r="AR346" s="7">
        <v>5.7776224614094298</v>
      </c>
      <c r="AS346" s="7">
        <v>7.7798789863610001</v>
      </c>
      <c r="AT346" s="7">
        <v>51.1871717554965</v>
      </c>
      <c r="AU346" s="7">
        <v>85.246720051121301</v>
      </c>
      <c r="AV346" s="7">
        <v>91.453162130319299</v>
      </c>
      <c r="AW346" s="7">
        <v>93.034726521157395</v>
      </c>
      <c r="AX346" s="7">
        <v>15.206496815746499</v>
      </c>
      <c r="AY346" s="7">
        <v>1.3343251392855</v>
      </c>
      <c r="AZ346" s="7">
        <v>3.2539289494179</v>
      </c>
      <c r="BA346" s="7">
        <v>6.1265850590091304</v>
      </c>
      <c r="BB346" s="7">
        <v>9.4515645905305803</v>
      </c>
      <c r="BC346" s="7">
        <v>65.710805359746004</v>
      </c>
      <c r="BD346" s="7">
        <v>91.501088323981094</v>
      </c>
      <c r="BE346" s="7">
        <v>98.955608363120803</v>
      </c>
      <c r="BF346" s="7">
        <v>100</v>
      </c>
      <c r="BG346" s="7">
        <v>9.4378331097907697</v>
      </c>
      <c r="BH346" s="7">
        <v>3.2004513049903101</v>
      </c>
      <c r="BI346" s="7">
        <v>9.8693012760349106</v>
      </c>
      <c r="BJ346" s="7">
        <v>10</v>
      </c>
      <c r="BK346" s="7">
        <v>10</v>
      </c>
      <c r="BL346" s="7">
        <v>89.805699223196299</v>
      </c>
      <c r="BM346" s="7">
        <v>100</v>
      </c>
      <c r="BN346" s="7">
        <v>100</v>
      </c>
      <c r="BO346" s="7">
        <v>100</v>
      </c>
      <c r="BP346" s="6">
        <v>32.943898985093597</v>
      </c>
      <c r="BQ346" s="6">
        <v>0.63106815504123603</v>
      </c>
      <c r="BR346" s="6">
        <v>1.2611977554566001</v>
      </c>
      <c r="BS346" s="6">
        <v>1.83231822992591</v>
      </c>
      <c r="BT346" s="6">
        <v>2.3668949817281399</v>
      </c>
      <c r="BU346" s="6">
        <v>44.7211294606306</v>
      </c>
      <c r="BV346" s="6">
        <v>63.254587934580698</v>
      </c>
      <c r="BW346" s="6">
        <v>72.544281806018702</v>
      </c>
      <c r="BX346" s="6">
        <v>77.834135431435598</v>
      </c>
      <c r="BY346" s="6" t="str">
        <f>TRIM(Table1[[#This Row],[LA_Name]])</f>
        <v>North Dorset</v>
      </c>
      <c r="BZ346" s="7">
        <v>75.584756708403205</v>
      </c>
      <c r="CA346" s="7">
        <v>0</v>
      </c>
      <c r="CB346" s="7">
        <v>0</v>
      </c>
      <c r="CC346" s="7">
        <v>9.57525410867264E-2</v>
      </c>
      <c r="CD346" s="7">
        <v>0.59116959881782105</v>
      </c>
      <c r="CE346" s="7">
        <v>0</v>
      </c>
      <c r="CF346" s="7">
        <v>0</v>
      </c>
      <c r="CG346" s="7">
        <v>6.5678854563971498</v>
      </c>
      <c r="CH346" s="7">
        <v>32.196417517023797</v>
      </c>
      <c r="CI346" s="7">
        <v>92.753842774372998</v>
      </c>
      <c r="CJ346" s="7">
        <v>0</v>
      </c>
      <c r="CK346" s="7">
        <v>0</v>
      </c>
      <c r="CL346" s="7">
        <v>0</v>
      </c>
      <c r="CM346" s="7">
        <v>3.09323641591948E-2</v>
      </c>
      <c r="CN346" s="7">
        <v>0</v>
      </c>
      <c r="CO346" s="7">
        <v>0</v>
      </c>
      <c r="CP346" s="7">
        <v>0</v>
      </c>
      <c r="CQ346" s="7">
        <v>1.96297701539629</v>
      </c>
      <c r="CR346" s="7">
        <v>37.263371558602401</v>
      </c>
      <c r="CS346" s="7">
        <v>0</v>
      </c>
      <c r="CT346" s="7">
        <v>0.199333027138207</v>
      </c>
      <c r="CU346" s="7">
        <v>3.2706032709627202</v>
      </c>
      <c r="CV346" s="7">
        <v>9.1250474269624799</v>
      </c>
      <c r="CW346" s="7">
        <v>0</v>
      </c>
      <c r="CX346" s="7">
        <v>7.7900033947720502</v>
      </c>
      <c r="CY346" s="7">
        <v>90.937955548455406</v>
      </c>
      <c r="CZ346" s="7">
        <v>100</v>
      </c>
      <c r="DA346" s="9">
        <v>120</v>
      </c>
      <c r="DB346" s="9">
        <v>0</v>
      </c>
      <c r="DC346" s="9">
        <v>0</v>
      </c>
      <c r="DD346" s="9">
        <v>0</v>
      </c>
      <c r="DE346" s="9">
        <v>0</v>
      </c>
      <c r="DF346" s="9">
        <v>0</v>
      </c>
      <c r="DG346" s="9">
        <v>0</v>
      </c>
      <c r="DH346" s="9">
        <v>0</v>
      </c>
      <c r="DI346" s="9">
        <v>0</v>
      </c>
    </row>
    <row r="347" spans="1:113">
      <c r="A347" s="5" t="s">
        <v>759</v>
      </c>
      <c r="B347" s="5" t="s">
        <v>810</v>
      </c>
      <c r="C347" s="5" t="s">
        <v>811</v>
      </c>
      <c r="D347" s="6">
        <v>33442</v>
      </c>
      <c r="E347" s="7">
        <v>19.247480795340799</v>
      </c>
      <c r="F347" s="7">
        <v>0.77076729860654303</v>
      </c>
      <c r="G347" s="7">
        <v>3.4950959870821099</v>
      </c>
      <c r="H347" s="7">
        <v>6.0102565636026597</v>
      </c>
      <c r="I347" s="7">
        <v>7.58280007176604</v>
      </c>
      <c r="J347" s="7">
        <v>55.789127444530799</v>
      </c>
      <c r="K347" s="7">
        <v>85.054721607559401</v>
      </c>
      <c r="L347" s="7">
        <v>92.524370552000505</v>
      </c>
      <c r="M347" s="7">
        <v>95.831589019795501</v>
      </c>
      <c r="N347" s="7">
        <v>13.379936362017199</v>
      </c>
      <c r="O347" s="7">
        <v>0.99730877339872004</v>
      </c>
      <c r="P347" s="7">
        <v>3.3030022127863199</v>
      </c>
      <c r="Q347" s="7">
        <v>5.0258955804078704</v>
      </c>
      <c r="R347" s="7">
        <v>6.8995873452544698</v>
      </c>
      <c r="S347" s="7">
        <v>69.026972071048405</v>
      </c>
      <c r="T347" s="7">
        <v>94.934513486035499</v>
      </c>
      <c r="U347" s="7">
        <v>99.569403743795206</v>
      </c>
      <c r="V347" s="7">
        <v>100</v>
      </c>
      <c r="W347" s="7">
        <v>8.8425064345280493</v>
      </c>
      <c r="X347" s="7">
        <v>3.3714490760121998</v>
      </c>
      <c r="Y347" s="7">
        <v>7.2224149273368798</v>
      </c>
      <c r="Z347" s="7">
        <v>9.7514502721129102</v>
      </c>
      <c r="AA347" s="7">
        <v>10</v>
      </c>
      <c r="AB347" s="7">
        <v>94.955445248489895</v>
      </c>
      <c r="AC347" s="7">
        <v>100</v>
      </c>
      <c r="AD347" s="7">
        <v>100</v>
      </c>
      <c r="AE347" s="7">
        <v>100</v>
      </c>
      <c r="AF347" s="6">
        <v>27.030610911527202</v>
      </c>
      <c r="AG347" s="6">
        <v>0.55959571795945195</v>
      </c>
      <c r="AH347" s="6">
        <v>0.920130374977573</v>
      </c>
      <c r="AI347" s="6">
        <v>1.64078105376473</v>
      </c>
      <c r="AJ347" s="6">
        <v>2.5666228096405699</v>
      </c>
      <c r="AK347" s="6">
        <v>47.763291669158498</v>
      </c>
      <c r="AL347" s="6">
        <v>65.280186591711001</v>
      </c>
      <c r="AM347" s="6">
        <v>79.842712756414102</v>
      </c>
      <c r="AN347" s="6">
        <v>89.710543627773404</v>
      </c>
      <c r="AO347" s="6">
        <v>13.057418208250001</v>
      </c>
      <c r="AP347" s="7">
        <v>1.6196399736857801</v>
      </c>
      <c r="AQ347" s="7">
        <v>6.1179953352072198</v>
      </c>
      <c r="AR347" s="7">
        <v>8.3014771843789195</v>
      </c>
      <c r="AS347" s="7">
        <v>8.8182823993780293</v>
      </c>
      <c r="AT347" s="7">
        <v>76.589318820644706</v>
      </c>
      <c r="AU347" s="7">
        <v>91.0113031517254</v>
      </c>
      <c r="AV347" s="7">
        <v>96.516356677232196</v>
      </c>
      <c r="AW347" s="7">
        <v>97.4941690090306</v>
      </c>
      <c r="AX347" s="7">
        <v>10.6340440506214</v>
      </c>
      <c r="AY347" s="7">
        <v>2.5561868309311602</v>
      </c>
      <c r="AZ347" s="7">
        <v>5.5782249865438702</v>
      </c>
      <c r="BA347" s="7">
        <v>8.0685365707792602</v>
      </c>
      <c r="BB347" s="7">
        <v>9.5238323066802195</v>
      </c>
      <c r="BC347" s="7">
        <v>84.044016506189806</v>
      </c>
      <c r="BD347" s="7">
        <v>95.326236469110697</v>
      </c>
      <c r="BE347" s="7">
        <v>100</v>
      </c>
      <c r="BF347" s="7">
        <v>100</v>
      </c>
      <c r="BG347" s="7">
        <v>7.7446020037482999</v>
      </c>
      <c r="BH347" s="7">
        <v>5.4709945577417596</v>
      </c>
      <c r="BI347" s="7">
        <v>9.9398062316847096</v>
      </c>
      <c r="BJ347" s="7">
        <v>10</v>
      </c>
      <c r="BK347" s="7">
        <v>10</v>
      </c>
      <c r="BL347" s="7">
        <v>94.811913163088306</v>
      </c>
      <c r="BM347" s="7">
        <v>100</v>
      </c>
      <c r="BN347" s="7">
        <v>100</v>
      </c>
      <c r="BO347" s="7">
        <v>100</v>
      </c>
      <c r="BP347" s="6">
        <v>17.5447018679757</v>
      </c>
      <c r="BQ347" s="6">
        <v>1.2263022546498401</v>
      </c>
      <c r="BR347" s="6">
        <v>2.4417797978589801</v>
      </c>
      <c r="BS347" s="6">
        <v>3.3697745350158499</v>
      </c>
      <c r="BT347" s="6">
        <v>4.5504754500328897</v>
      </c>
      <c r="BU347" s="6">
        <v>72.7617965432689</v>
      </c>
      <c r="BV347" s="6">
        <v>84.920160277495398</v>
      </c>
      <c r="BW347" s="6">
        <v>89.800251181149406</v>
      </c>
      <c r="BX347" s="6">
        <v>92.766580946115695</v>
      </c>
      <c r="BY347" s="6" t="str">
        <f>TRIM(Table1[[#This Row],[LA_Name]])</f>
        <v>Purbeck</v>
      </c>
      <c r="BZ347" s="7">
        <v>49.568279018713497</v>
      </c>
      <c r="CA347" s="7">
        <v>0</v>
      </c>
      <c r="CB347" s="7">
        <v>0.41394055379463002</v>
      </c>
      <c r="CC347" s="7">
        <v>1.4784701871897601</v>
      </c>
      <c r="CD347" s="7">
        <v>3.2096764547574899</v>
      </c>
      <c r="CE347" s="7">
        <v>0</v>
      </c>
      <c r="CF347" s="7">
        <v>22.767777046827302</v>
      </c>
      <c r="CG347" s="7">
        <v>58.315890197954701</v>
      </c>
      <c r="CH347" s="7">
        <v>85.329824771245697</v>
      </c>
      <c r="CI347" s="7">
        <v>69.089585401161898</v>
      </c>
      <c r="CJ347" s="7">
        <v>0</v>
      </c>
      <c r="CK347" s="7">
        <v>0.47987560552598502</v>
      </c>
      <c r="CL347" s="7">
        <v>0.77139525148017496</v>
      </c>
      <c r="CM347" s="7">
        <v>1.73033909455176</v>
      </c>
      <c r="CN347" s="7">
        <v>0</v>
      </c>
      <c r="CO347" s="7">
        <v>16.859039531128499</v>
      </c>
      <c r="CP347" s="7">
        <v>27.740565755636599</v>
      </c>
      <c r="CQ347" s="7">
        <v>42.7815322050117</v>
      </c>
      <c r="CR347" s="7">
        <v>28.752365888487599</v>
      </c>
      <c r="CS347" s="7">
        <v>0.28515040966449401</v>
      </c>
      <c r="CT347" s="7">
        <v>2.5183003408886999</v>
      </c>
      <c r="CU347" s="7">
        <v>6.5130674002750997</v>
      </c>
      <c r="CV347" s="7">
        <v>9.3431612941809696</v>
      </c>
      <c r="CW347" s="7">
        <v>13.7192751629687</v>
      </c>
      <c r="CX347" s="7">
        <v>58.698642425692199</v>
      </c>
      <c r="CY347" s="7">
        <v>82.115304108605898</v>
      </c>
      <c r="CZ347" s="7">
        <v>100</v>
      </c>
      <c r="DA347" s="9">
        <v>110.11556682571801</v>
      </c>
      <c r="DB347" s="9">
        <v>0</v>
      </c>
      <c r="DC347" s="9">
        <v>0</v>
      </c>
      <c r="DD347" s="9">
        <v>0</v>
      </c>
      <c r="DE347" s="9">
        <v>3.6510974224029699E-2</v>
      </c>
      <c r="DF347" s="9">
        <v>0</v>
      </c>
      <c r="DG347" s="9">
        <v>0</v>
      </c>
      <c r="DH347" s="9">
        <v>0</v>
      </c>
      <c r="DI347" s="9">
        <v>3.65109742240297</v>
      </c>
    </row>
    <row r="348" spans="1:113">
      <c r="A348" s="5" t="s">
        <v>759</v>
      </c>
      <c r="B348" s="5" t="s">
        <v>812</v>
      </c>
      <c r="C348" s="5" t="s">
        <v>813</v>
      </c>
      <c r="D348" s="6">
        <v>72537</v>
      </c>
      <c r="E348" s="7">
        <v>22.9712375947814</v>
      </c>
      <c r="F348" s="7">
        <v>0.87964762810703501</v>
      </c>
      <c r="G348" s="7">
        <v>3.4244730275583501</v>
      </c>
      <c r="H348" s="7">
        <v>6.1073934681610798</v>
      </c>
      <c r="I348" s="7">
        <v>7.8872161793291697</v>
      </c>
      <c r="J348" s="7">
        <v>46.652053434798802</v>
      </c>
      <c r="K348" s="7">
        <v>75.336724706012106</v>
      </c>
      <c r="L348" s="7">
        <v>88.9035940278754</v>
      </c>
      <c r="M348" s="7">
        <v>94.309111212208904</v>
      </c>
      <c r="N348" s="7">
        <v>15.4363558312603</v>
      </c>
      <c r="O348" s="7">
        <v>1.7082730192867099</v>
      </c>
      <c r="P348" s="7">
        <v>3.7487764864827602</v>
      </c>
      <c r="Q348" s="7">
        <v>6.8484911148793</v>
      </c>
      <c r="R348" s="7">
        <v>8.6801356549071507</v>
      </c>
      <c r="S348" s="7">
        <v>63.803300384631299</v>
      </c>
      <c r="T348" s="7">
        <v>87.839309593724593</v>
      </c>
      <c r="U348" s="7">
        <v>98.053407226656702</v>
      </c>
      <c r="V348" s="7">
        <v>100</v>
      </c>
      <c r="W348" s="7">
        <v>9.8055155228245194</v>
      </c>
      <c r="X348" s="7">
        <v>3.7348525580048801</v>
      </c>
      <c r="Y348" s="7">
        <v>9.7743496422515399</v>
      </c>
      <c r="Z348" s="7">
        <v>10</v>
      </c>
      <c r="AA348" s="7">
        <v>10</v>
      </c>
      <c r="AB348" s="7">
        <v>86.164302356039002</v>
      </c>
      <c r="AC348" s="7">
        <v>100</v>
      </c>
      <c r="AD348" s="7">
        <v>100</v>
      </c>
      <c r="AE348" s="7">
        <v>100</v>
      </c>
      <c r="AF348" s="6">
        <v>32.712316770572599</v>
      </c>
      <c r="AG348" s="6">
        <v>0.77917476598149904</v>
      </c>
      <c r="AH348" s="6">
        <v>1.64147952079628</v>
      </c>
      <c r="AI348" s="6">
        <v>2.2849580214235501</v>
      </c>
      <c r="AJ348" s="6">
        <v>2.94744750954685</v>
      </c>
      <c r="AK348" s="6">
        <v>44.147124915560298</v>
      </c>
      <c r="AL348" s="6">
        <v>63.4338337675945</v>
      </c>
      <c r="AM348" s="6">
        <v>70.897610874450294</v>
      </c>
      <c r="AN348" s="6">
        <v>80.729834429325706</v>
      </c>
      <c r="AO348" s="6">
        <v>18.454462058723301</v>
      </c>
      <c r="AP348" s="7">
        <v>1.05486854984353</v>
      </c>
      <c r="AQ348" s="7">
        <v>3.8316169678922498</v>
      </c>
      <c r="AR348" s="7">
        <v>7.11787087968899</v>
      </c>
      <c r="AS348" s="7">
        <v>8.3429146504542508</v>
      </c>
      <c r="AT348" s="7">
        <v>61.633373312929898</v>
      </c>
      <c r="AU348" s="7">
        <v>82.1815073686532</v>
      </c>
      <c r="AV348" s="7">
        <v>90.659939065580303</v>
      </c>
      <c r="AW348" s="7">
        <v>95.275514564980597</v>
      </c>
      <c r="AX348" s="7">
        <v>13.7045431847571</v>
      </c>
      <c r="AY348" s="7">
        <v>2.2009043660476699</v>
      </c>
      <c r="AZ348" s="7">
        <v>5.0781256462219302</v>
      </c>
      <c r="BA348" s="7">
        <v>7.8921929498049304</v>
      </c>
      <c r="BB348" s="7">
        <v>9.68438176378951</v>
      </c>
      <c r="BC348" s="7">
        <v>70.512979582833594</v>
      </c>
      <c r="BD348" s="7">
        <v>90.906709679198201</v>
      </c>
      <c r="BE348" s="7">
        <v>98.169210196175797</v>
      </c>
      <c r="BF348" s="7">
        <v>100</v>
      </c>
      <c r="BG348" s="7">
        <v>8.9202728613317301</v>
      </c>
      <c r="BH348" s="7">
        <v>4.8931993327543202</v>
      </c>
      <c r="BI348" s="7">
        <v>9.9800791320291697</v>
      </c>
      <c r="BJ348" s="7">
        <v>10</v>
      </c>
      <c r="BK348" s="7">
        <v>10</v>
      </c>
      <c r="BL348" s="7">
        <v>91.591877248852299</v>
      </c>
      <c r="BM348" s="7">
        <v>100</v>
      </c>
      <c r="BN348" s="7">
        <v>100</v>
      </c>
      <c r="BO348" s="7">
        <v>100</v>
      </c>
      <c r="BP348" s="6">
        <v>27.379821987987199</v>
      </c>
      <c r="BQ348" s="6">
        <v>0.95458869266719004</v>
      </c>
      <c r="BR348" s="6">
        <v>2.1141072831796199</v>
      </c>
      <c r="BS348" s="6">
        <v>2.93648758564595</v>
      </c>
      <c r="BT348" s="6">
        <v>3.7610598728924498</v>
      </c>
      <c r="BU348" s="6">
        <v>60.005238705764</v>
      </c>
      <c r="BV348" s="6">
        <v>69.178488219805104</v>
      </c>
      <c r="BW348" s="6">
        <v>76.9841598080979</v>
      </c>
      <c r="BX348" s="6">
        <v>84.602340874312404</v>
      </c>
      <c r="BY348" s="6" t="str">
        <f>TRIM(Table1[[#This Row],[LA_Name]])</f>
        <v>West Dorset</v>
      </c>
      <c r="BZ348" s="7">
        <v>51.482830136848797</v>
      </c>
      <c r="CA348" s="7">
        <v>0.20181424652246399</v>
      </c>
      <c r="CB348" s="7">
        <v>0.58309552366378503</v>
      </c>
      <c r="CC348" s="7">
        <v>0.90057487902725497</v>
      </c>
      <c r="CD348" s="7">
        <v>1.68520892785751</v>
      </c>
      <c r="CE348" s="7">
        <v>13.121579331927199</v>
      </c>
      <c r="CF348" s="7">
        <v>33.920619821608298</v>
      </c>
      <c r="CG348" s="7">
        <v>48.197471635165499</v>
      </c>
      <c r="CH348" s="7">
        <v>66.761790534485797</v>
      </c>
      <c r="CI348" s="7">
        <v>52.8929584393643</v>
      </c>
      <c r="CJ348" s="7">
        <v>0.41507092931883</v>
      </c>
      <c r="CK348" s="7">
        <v>0.56083102416697705</v>
      </c>
      <c r="CL348" s="7">
        <v>0.89569461102609704</v>
      </c>
      <c r="CM348" s="7">
        <v>1.2722748390476599</v>
      </c>
      <c r="CN348" s="7">
        <v>21.1726429270579</v>
      </c>
      <c r="CO348" s="7">
        <v>28.9631498407709</v>
      </c>
      <c r="CP348" s="7">
        <v>47.8734990418683</v>
      </c>
      <c r="CQ348" s="7">
        <v>64.019741649089397</v>
      </c>
      <c r="CR348" s="7">
        <v>21.174937935859699</v>
      </c>
      <c r="CS348" s="7">
        <v>0.56292650647255904</v>
      </c>
      <c r="CT348" s="7">
        <v>1.58389511559618</v>
      </c>
      <c r="CU348" s="7">
        <v>3.9101699822159701</v>
      </c>
      <c r="CV348" s="7">
        <v>8.1110605621958491</v>
      </c>
      <c r="CW348" s="7">
        <v>30.294883990239502</v>
      </c>
      <c r="CX348" s="7">
        <v>79.296083378138107</v>
      </c>
      <c r="CY348" s="7">
        <v>97.842480389318595</v>
      </c>
      <c r="CZ348" s="7">
        <v>100</v>
      </c>
      <c r="DA348" s="9">
        <v>91.108163140351493</v>
      </c>
      <c r="DB348" s="9">
        <v>0.16255152542840201</v>
      </c>
      <c r="DC348" s="9">
        <v>0.40750237809669498</v>
      </c>
      <c r="DD348" s="9">
        <v>0.45476101851468897</v>
      </c>
      <c r="DE348" s="9">
        <v>0.483022457504446</v>
      </c>
      <c r="DF348" s="9">
        <v>10.518769731309501</v>
      </c>
      <c r="DG348" s="9">
        <v>20.830748445620898</v>
      </c>
      <c r="DH348" s="9">
        <v>22.917959110522901</v>
      </c>
      <c r="DI348" s="9">
        <v>25.138894633083801</v>
      </c>
    </row>
    <row r="349" spans="1:113">
      <c r="A349" s="5" t="s">
        <v>759</v>
      </c>
      <c r="B349" s="5" t="s">
        <v>814</v>
      </c>
      <c r="C349" s="5" t="s">
        <v>815</v>
      </c>
      <c r="D349" s="6">
        <v>48184</v>
      </c>
      <c r="E349" s="7">
        <v>6.8020284693300299</v>
      </c>
      <c r="F349" s="7">
        <v>2.8496596380541299</v>
      </c>
      <c r="G349" s="7">
        <v>9.1657396646189593</v>
      </c>
      <c r="H349" s="7">
        <v>10</v>
      </c>
      <c r="I349" s="7">
        <v>10</v>
      </c>
      <c r="J349" s="7">
        <v>95.286817200730496</v>
      </c>
      <c r="K349" s="7">
        <v>100</v>
      </c>
      <c r="L349" s="7">
        <v>100</v>
      </c>
      <c r="M349" s="7">
        <v>100</v>
      </c>
      <c r="N349" s="7">
        <v>7.4561489383564403</v>
      </c>
      <c r="O349" s="7">
        <v>5.6089365764569203</v>
      </c>
      <c r="P349" s="7">
        <v>9.1080441640378496</v>
      </c>
      <c r="Q349" s="7">
        <v>9.9670637556035206</v>
      </c>
      <c r="R349" s="7">
        <v>10</v>
      </c>
      <c r="S349" s="7">
        <v>100</v>
      </c>
      <c r="T349" s="7">
        <v>100</v>
      </c>
      <c r="U349" s="7">
        <v>100</v>
      </c>
      <c r="V349" s="7">
        <v>100</v>
      </c>
      <c r="W349" s="7">
        <v>6.4914828706634804</v>
      </c>
      <c r="X349" s="7">
        <v>9.1882782666445308</v>
      </c>
      <c r="Y349" s="7">
        <v>10</v>
      </c>
      <c r="Z349" s="7">
        <v>10</v>
      </c>
      <c r="AA349" s="7">
        <v>10</v>
      </c>
      <c r="AB349" s="7">
        <v>100</v>
      </c>
      <c r="AC349" s="7">
        <v>100</v>
      </c>
      <c r="AD349" s="7">
        <v>100</v>
      </c>
      <c r="AE349" s="7">
        <v>100</v>
      </c>
      <c r="AF349" s="6">
        <v>7.0034530073801404</v>
      </c>
      <c r="AG349" s="6">
        <v>2.15814378216835</v>
      </c>
      <c r="AH349" s="6">
        <v>5.6878216835464102</v>
      </c>
      <c r="AI349" s="6">
        <v>8.0522787647351795</v>
      </c>
      <c r="AJ349" s="6">
        <v>8.8346961647019793</v>
      </c>
      <c r="AK349" s="6">
        <v>93.875560351984106</v>
      </c>
      <c r="AL349" s="6">
        <v>100</v>
      </c>
      <c r="AM349" s="6">
        <v>100</v>
      </c>
      <c r="AN349" s="6">
        <v>100</v>
      </c>
      <c r="AO349" s="6">
        <v>11.211406657524501</v>
      </c>
      <c r="AP349" s="7">
        <v>1.2675576955005801</v>
      </c>
      <c r="AQ349" s="7">
        <v>6.2969035364436303</v>
      </c>
      <c r="AR349" s="7">
        <v>9.6583098123858502</v>
      </c>
      <c r="AS349" s="7">
        <v>10</v>
      </c>
      <c r="AT349" s="7">
        <v>69.682882284575797</v>
      </c>
      <c r="AU349" s="7">
        <v>100</v>
      </c>
      <c r="AV349" s="7">
        <v>100</v>
      </c>
      <c r="AW349" s="7">
        <v>100</v>
      </c>
      <c r="AX349" s="7">
        <v>9.5996399312226792</v>
      </c>
      <c r="AY349" s="7">
        <v>2.9148472521999</v>
      </c>
      <c r="AZ349" s="7">
        <v>7.9997509546737504</v>
      </c>
      <c r="BA349" s="7">
        <v>9.6079196413747301</v>
      </c>
      <c r="BB349" s="7">
        <v>10</v>
      </c>
      <c r="BC349" s="7">
        <v>94.027062925452398</v>
      </c>
      <c r="BD349" s="7">
        <v>100</v>
      </c>
      <c r="BE349" s="7">
        <v>100</v>
      </c>
      <c r="BF349" s="7">
        <v>100</v>
      </c>
      <c r="BG349" s="7">
        <v>7.4334326586750201</v>
      </c>
      <c r="BH349" s="7">
        <v>7.9292711273451797</v>
      </c>
      <c r="BI349" s="7">
        <v>10</v>
      </c>
      <c r="BJ349" s="7">
        <v>10</v>
      </c>
      <c r="BK349" s="7">
        <v>10</v>
      </c>
      <c r="BL349" s="7">
        <v>100</v>
      </c>
      <c r="BM349" s="7">
        <v>100</v>
      </c>
      <c r="BN349" s="7">
        <v>100</v>
      </c>
      <c r="BO349" s="7">
        <v>100</v>
      </c>
      <c r="BP349" s="6">
        <v>13.8118477262867</v>
      </c>
      <c r="BQ349" s="6">
        <v>0.94666279262825803</v>
      </c>
      <c r="BR349" s="6">
        <v>2.8186119873817002</v>
      </c>
      <c r="BS349" s="6">
        <v>4.8690436659472001</v>
      </c>
      <c r="BT349" s="6">
        <v>6.7278972272953697</v>
      </c>
      <c r="BU349" s="6">
        <v>60.173501577287098</v>
      </c>
      <c r="BV349" s="6">
        <v>94.587414909513498</v>
      </c>
      <c r="BW349" s="6">
        <v>99.763406940063106</v>
      </c>
      <c r="BX349" s="6">
        <v>100</v>
      </c>
      <c r="BY349" s="6" t="str">
        <f>TRIM(Table1[[#This Row],[LA_Name]])</f>
        <v>Weymouth and Portland</v>
      </c>
      <c r="BZ349" s="7">
        <v>44.422468377054301</v>
      </c>
      <c r="CA349" s="7">
        <v>0</v>
      </c>
      <c r="CB349" s="7">
        <v>0.21401295035696499</v>
      </c>
      <c r="CC349" s="7">
        <v>1.06624605678233</v>
      </c>
      <c r="CD349" s="7">
        <v>1.7956790635895701</v>
      </c>
      <c r="CE349" s="7">
        <v>0</v>
      </c>
      <c r="CF349" s="7">
        <v>11.920969616470201</v>
      </c>
      <c r="CG349" s="7">
        <v>57.830400132824202</v>
      </c>
      <c r="CH349" s="7">
        <v>82.411173833637704</v>
      </c>
      <c r="CI349" s="7">
        <v>58.192422526393003</v>
      </c>
      <c r="CJ349" s="7">
        <v>0</v>
      </c>
      <c r="CK349" s="7">
        <v>0</v>
      </c>
      <c r="CL349" s="7">
        <v>0.39492362609995002</v>
      </c>
      <c r="CM349" s="7">
        <v>1.35594803254192</v>
      </c>
      <c r="CN349" s="7">
        <v>0</v>
      </c>
      <c r="CO349" s="7">
        <v>0</v>
      </c>
      <c r="CP349" s="7">
        <v>19.915324589075201</v>
      </c>
      <c r="CQ349" s="7">
        <v>68.010127843267497</v>
      </c>
      <c r="CR349" s="7">
        <v>22.1892036595417</v>
      </c>
      <c r="CS349" s="7">
        <v>7.9777519508550596E-2</v>
      </c>
      <c r="CT349" s="7">
        <v>1.6565249875477299</v>
      </c>
      <c r="CU349" s="7">
        <v>2.1023783828656799</v>
      </c>
      <c r="CV349" s="7">
        <v>7.2788892578449298</v>
      </c>
      <c r="CW349" s="7">
        <v>4.9290220820189301</v>
      </c>
      <c r="CX349" s="7">
        <v>83.986385522164994</v>
      </c>
      <c r="CY349" s="7">
        <v>100</v>
      </c>
      <c r="CZ349" s="7">
        <v>100</v>
      </c>
      <c r="DA349" s="9">
        <v>118.12332167744999</v>
      </c>
      <c r="DB349" s="9">
        <v>0</v>
      </c>
      <c r="DC349" s="9">
        <v>0</v>
      </c>
      <c r="DD349" s="9">
        <v>0</v>
      </c>
      <c r="DE349" s="9">
        <v>0</v>
      </c>
      <c r="DF349" s="9">
        <v>0</v>
      </c>
      <c r="DG349" s="9">
        <v>0</v>
      </c>
      <c r="DH349" s="9">
        <v>0</v>
      </c>
      <c r="DI349" s="9">
        <v>0</v>
      </c>
    </row>
    <row r="350" spans="1:113">
      <c r="A350" s="5" t="s">
        <v>759</v>
      </c>
      <c r="B350" s="5" t="s">
        <v>816</v>
      </c>
      <c r="C350" s="5" t="s">
        <v>817</v>
      </c>
      <c r="D350" s="6">
        <v>458340</v>
      </c>
      <c r="E350" s="7">
        <v>12.6351723262789</v>
      </c>
      <c r="F350" s="7">
        <v>1.9552210149670599</v>
      </c>
      <c r="G350" s="7">
        <v>6.7235829297028404</v>
      </c>
      <c r="H350" s="7">
        <v>8.7786817646288799</v>
      </c>
      <c r="I350" s="7">
        <v>9.3421346598594894</v>
      </c>
      <c r="J350" s="7">
        <v>74.996290963040494</v>
      </c>
      <c r="K350" s="7">
        <v>92.382074442553602</v>
      </c>
      <c r="L350" s="7">
        <v>97.110223851289405</v>
      </c>
      <c r="M350" s="7">
        <v>98.245407339529606</v>
      </c>
      <c r="N350" s="7">
        <v>10.7302036392141</v>
      </c>
      <c r="O350" s="7">
        <v>4.6493411004930802</v>
      </c>
      <c r="P350" s="7">
        <v>7.5706331544268402</v>
      </c>
      <c r="Q350" s="7">
        <v>9.1057097351311196</v>
      </c>
      <c r="R350" s="7">
        <v>9.7728738491076506</v>
      </c>
      <c r="S350" s="7">
        <v>84.009905310468199</v>
      </c>
      <c r="T350" s="7">
        <v>97.538944888074397</v>
      </c>
      <c r="U350" s="7">
        <v>99.781821355325704</v>
      </c>
      <c r="V350" s="7">
        <v>100</v>
      </c>
      <c r="W350" s="7">
        <v>7.8359893659305904</v>
      </c>
      <c r="X350" s="7">
        <v>7.3784723131299899</v>
      </c>
      <c r="Y350" s="7">
        <v>9.9933280970458593</v>
      </c>
      <c r="Z350" s="7">
        <v>10</v>
      </c>
      <c r="AA350" s="7">
        <v>10</v>
      </c>
      <c r="AB350" s="7">
        <v>97.203386132565299</v>
      </c>
      <c r="AC350" s="7">
        <v>100</v>
      </c>
      <c r="AD350" s="7">
        <v>100</v>
      </c>
      <c r="AE350" s="7">
        <v>100</v>
      </c>
      <c r="AF350" s="6">
        <v>17.795513917018901</v>
      </c>
      <c r="AG350" s="6">
        <v>1.6642492472836801</v>
      </c>
      <c r="AH350" s="6">
        <v>4.5926146528777796</v>
      </c>
      <c r="AI350" s="6">
        <v>5.9448968015010699</v>
      </c>
      <c r="AJ350" s="6">
        <v>6.6811842736832903</v>
      </c>
      <c r="AK350" s="6">
        <v>71.163110354758501</v>
      </c>
      <c r="AL350" s="6">
        <v>83.388096173146593</v>
      </c>
      <c r="AM350" s="6">
        <v>86.967098660383101</v>
      </c>
      <c r="AN350" s="6">
        <v>91.288781254090907</v>
      </c>
      <c r="AO350" s="6">
        <v>13.676867661334599</v>
      </c>
      <c r="AP350" s="7">
        <v>1.3765414321246201</v>
      </c>
      <c r="AQ350" s="7">
        <v>6.0330017017934301</v>
      </c>
      <c r="AR350" s="7">
        <v>8.6380896277872292</v>
      </c>
      <c r="AS350" s="7">
        <v>9.3724047650215994</v>
      </c>
      <c r="AT350" s="7">
        <v>67.773923288388502</v>
      </c>
      <c r="AU350" s="7">
        <v>94.227647597853107</v>
      </c>
      <c r="AV350" s="7">
        <v>98.105773006938094</v>
      </c>
      <c r="AW350" s="7">
        <v>98.6514377972684</v>
      </c>
      <c r="AX350" s="7">
        <v>11.3028320352502</v>
      </c>
      <c r="AY350" s="7">
        <v>3.4084522406946798</v>
      </c>
      <c r="AZ350" s="7">
        <v>7.1150565082689701</v>
      </c>
      <c r="BA350" s="7">
        <v>8.9102522145132408</v>
      </c>
      <c r="BB350" s="7">
        <v>9.7910590391412509</v>
      </c>
      <c r="BC350" s="7">
        <v>83.922852031243195</v>
      </c>
      <c r="BD350" s="7">
        <v>97.507527163241306</v>
      </c>
      <c r="BE350" s="7">
        <v>99.091067766286997</v>
      </c>
      <c r="BF350" s="7">
        <v>99.880874460007803</v>
      </c>
      <c r="BG350" s="7">
        <v>8.0803108844394202</v>
      </c>
      <c r="BH350" s="7">
        <v>6.7418161190382699</v>
      </c>
      <c r="BI350" s="7">
        <v>9.9616027403237801</v>
      </c>
      <c r="BJ350" s="7">
        <v>10</v>
      </c>
      <c r="BK350" s="7">
        <v>10</v>
      </c>
      <c r="BL350" s="7">
        <v>97.244621896408802</v>
      </c>
      <c r="BM350" s="7">
        <v>100</v>
      </c>
      <c r="BN350" s="7">
        <v>100</v>
      </c>
      <c r="BO350" s="7">
        <v>100</v>
      </c>
      <c r="BP350" s="6">
        <v>19.319292544176001</v>
      </c>
      <c r="BQ350" s="6">
        <v>1.1350176724702199</v>
      </c>
      <c r="BR350" s="6">
        <v>3.2815071780774101</v>
      </c>
      <c r="BS350" s="6">
        <v>4.9534755858096604</v>
      </c>
      <c r="BT350" s="6">
        <v>6.0134528952306203</v>
      </c>
      <c r="BU350" s="6">
        <v>60.474756730811201</v>
      </c>
      <c r="BV350" s="6">
        <v>82.910939477244</v>
      </c>
      <c r="BW350" s="6">
        <v>88.911943099009505</v>
      </c>
      <c r="BX350" s="6">
        <v>92.859885674390199</v>
      </c>
      <c r="BY350" s="6" t="str">
        <f>TRIM(Table1[[#This Row],[LA_Name]])</f>
        <v>Gloucestershire</v>
      </c>
      <c r="BZ350" s="7">
        <v>34.776015516620802</v>
      </c>
      <c r="CA350" s="7">
        <v>0.195638608892962</v>
      </c>
      <c r="CB350" s="7">
        <v>1.1986603831217</v>
      </c>
      <c r="CC350" s="7">
        <v>2.7170462975084</v>
      </c>
      <c r="CD350" s="7">
        <v>4.8093467731378503</v>
      </c>
      <c r="CE350" s="7">
        <v>15.3641401579613</v>
      </c>
      <c r="CF350" s="7">
        <v>59.126630885368897</v>
      </c>
      <c r="CG350" s="7">
        <v>76.801064711785997</v>
      </c>
      <c r="CH350" s="7">
        <v>86.127765414321203</v>
      </c>
      <c r="CI350" s="7">
        <v>36.2618091543874</v>
      </c>
      <c r="CJ350" s="7">
        <v>0.66821355325740694</v>
      </c>
      <c r="CK350" s="7">
        <v>1.7536392197931701</v>
      </c>
      <c r="CL350" s="7">
        <v>2.6091155037744902</v>
      </c>
      <c r="CM350" s="7">
        <v>4.0597809486407499</v>
      </c>
      <c r="CN350" s="7">
        <v>39.0064144521534</v>
      </c>
      <c r="CO350" s="7">
        <v>63.710564209975097</v>
      </c>
      <c r="CP350" s="7">
        <v>71.669939346336804</v>
      </c>
      <c r="CQ350" s="7">
        <v>77.640616136492596</v>
      </c>
      <c r="CR350" s="7">
        <v>17.1097964665286</v>
      </c>
      <c r="CS350" s="7">
        <v>1.4574682550072</v>
      </c>
      <c r="CT350" s="7">
        <v>5.44694768076101</v>
      </c>
      <c r="CU350" s="7">
        <v>8.9411768556093705</v>
      </c>
      <c r="CV350" s="7">
        <v>9.99694113540167</v>
      </c>
      <c r="CW350" s="7">
        <v>60.904350482174799</v>
      </c>
      <c r="CX350" s="7">
        <v>86.125583627874505</v>
      </c>
      <c r="CY350" s="7">
        <v>96.694375354540298</v>
      </c>
      <c r="CZ350" s="7">
        <v>100</v>
      </c>
      <c r="DA350" s="9">
        <v>60.7620372420282</v>
      </c>
      <c r="DB350" s="9">
        <v>0.15764061613649299</v>
      </c>
      <c r="DC350" s="9">
        <v>0.62611598376750899</v>
      </c>
      <c r="DD350" s="9">
        <v>1.0776694157175899</v>
      </c>
      <c r="DE350" s="9">
        <v>1.39755639917965</v>
      </c>
      <c r="DF350" s="9">
        <v>12.0897150586901</v>
      </c>
      <c r="DG350" s="9">
        <v>37.608762054370096</v>
      </c>
      <c r="DH350" s="9">
        <v>52.097351311253703</v>
      </c>
      <c r="DI350" s="9">
        <v>58.2532617707379</v>
      </c>
    </row>
    <row r="351" spans="1:113">
      <c r="A351" s="5" t="s">
        <v>759</v>
      </c>
      <c r="B351" s="5" t="s">
        <v>818</v>
      </c>
      <c r="C351" s="5" t="s">
        <v>819</v>
      </c>
      <c r="D351" s="6">
        <v>84494</v>
      </c>
      <c r="E351" s="7">
        <v>7.12653488574378</v>
      </c>
      <c r="F351" s="7">
        <v>3.1977181811726298</v>
      </c>
      <c r="G351" s="7">
        <v>9.8197623499893503</v>
      </c>
      <c r="H351" s="7">
        <v>10</v>
      </c>
      <c r="I351" s="7">
        <v>10</v>
      </c>
      <c r="J351" s="7">
        <v>97.951333822519899</v>
      </c>
      <c r="K351" s="7">
        <v>100</v>
      </c>
      <c r="L351" s="7">
        <v>100</v>
      </c>
      <c r="M351" s="7">
        <v>100</v>
      </c>
      <c r="N351" s="7">
        <v>7.4839508237309804</v>
      </c>
      <c r="O351" s="7">
        <v>8.9534168106611105</v>
      </c>
      <c r="P351" s="7">
        <v>10</v>
      </c>
      <c r="Q351" s="7">
        <v>10</v>
      </c>
      <c r="R351" s="7">
        <v>10</v>
      </c>
      <c r="S351" s="7">
        <v>100</v>
      </c>
      <c r="T351" s="7">
        <v>100</v>
      </c>
      <c r="U351" s="7">
        <v>100</v>
      </c>
      <c r="V351" s="7">
        <v>100</v>
      </c>
      <c r="W351" s="7">
        <v>6.5268825019698502</v>
      </c>
      <c r="X351" s="7">
        <v>10</v>
      </c>
      <c r="Y351" s="7">
        <v>10</v>
      </c>
      <c r="Z351" s="7">
        <v>10</v>
      </c>
      <c r="AA351" s="7">
        <v>10</v>
      </c>
      <c r="AB351" s="7">
        <v>100</v>
      </c>
      <c r="AC351" s="7">
        <v>100</v>
      </c>
      <c r="AD351" s="7">
        <v>100</v>
      </c>
      <c r="AE351" s="7">
        <v>100</v>
      </c>
      <c r="AF351" s="6">
        <v>7.20962031879347</v>
      </c>
      <c r="AG351" s="6">
        <v>2.7615096929959502</v>
      </c>
      <c r="AH351" s="6">
        <v>8.9259237342296505</v>
      </c>
      <c r="AI351" s="6">
        <v>9.9978460008994698</v>
      </c>
      <c r="AJ351" s="6">
        <v>10</v>
      </c>
      <c r="AK351" s="6">
        <v>96.888536464127597</v>
      </c>
      <c r="AL351" s="6">
        <v>100</v>
      </c>
      <c r="AM351" s="6">
        <v>100</v>
      </c>
      <c r="AN351" s="6">
        <v>100</v>
      </c>
      <c r="AO351" s="6">
        <v>8.5604019093416692</v>
      </c>
      <c r="AP351" s="7">
        <v>2.8748431841314201</v>
      </c>
      <c r="AQ351" s="7">
        <v>9.7344071768409606</v>
      </c>
      <c r="AR351" s="7">
        <v>10</v>
      </c>
      <c r="AS351" s="7">
        <v>10</v>
      </c>
      <c r="AT351" s="7">
        <v>89.253674817146802</v>
      </c>
      <c r="AU351" s="7">
        <v>100</v>
      </c>
      <c r="AV351" s="7">
        <v>100</v>
      </c>
      <c r="AW351" s="7">
        <v>100</v>
      </c>
      <c r="AX351" s="7">
        <v>8.1219874802749104</v>
      </c>
      <c r="AY351" s="7">
        <v>7.9016734916088698</v>
      </c>
      <c r="AZ351" s="7">
        <v>10</v>
      </c>
      <c r="BA351" s="7">
        <v>10</v>
      </c>
      <c r="BB351" s="7">
        <v>10</v>
      </c>
      <c r="BC351" s="7">
        <v>99.809453925722494</v>
      </c>
      <c r="BD351" s="7">
        <v>100</v>
      </c>
      <c r="BE351" s="7">
        <v>100</v>
      </c>
      <c r="BF351" s="7">
        <v>100</v>
      </c>
      <c r="BG351" s="7">
        <v>6.9748514879186398</v>
      </c>
      <c r="BH351" s="7">
        <v>10</v>
      </c>
      <c r="BI351" s="7">
        <v>10</v>
      </c>
      <c r="BJ351" s="7">
        <v>10</v>
      </c>
      <c r="BK351" s="7">
        <v>10</v>
      </c>
      <c r="BL351" s="7">
        <v>100</v>
      </c>
      <c r="BM351" s="7">
        <v>100</v>
      </c>
      <c r="BN351" s="7">
        <v>100</v>
      </c>
      <c r="BO351" s="7">
        <v>100</v>
      </c>
      <c r="BP351" s="6">
        <v>9.4488294006648204</v>
      </c>
      <c r="BQ351" s="6">
        <v>2.4711458801808401</v>
      </c>
      <c r="BR351" s="6">
        <v>7.6221625204156496</v>
      </c>
      <c r="BS351" s="6">
        <v>9.7973465571519895</v>
      </c>
      <c r="BT351" s="6">
        <v>10</v>
      </c>
      <c r="BU351" s="6">
        <v>80.935924444339307</v>
      </c>
      <c r="BV351" s="6">
        <v>99.3691859777026</v>
      </c>
      <c r="BW351" s="6">
        <v>100</v>
      </c>
      <c r="BX351" s="6">
        <v>100</v>
      </c>
      <c r="BY351" s="6" t="str">
        <f>TRIM(Table1[[#This Row],[LA_Name]])</f>
        <v>Cheltenham</v>
      </c>
      <c r="BZ351" s="7">
        <v>18.2704074878813</v>
      </c>
      <c r="CA351" s="7">
        <v>0.51539754302080598</v>
      </c>
      <c r="CB351" s="7">
        <v>2.7151632068549199</v>
      </c>
      <c r="CC351" s="7">
        <v>4.5195871896229303</v>
      </c>
      <c r="CD351" s="7">
        <v>7.8239993372310499</v>
      </c>
      <c r="CE351" s="7">
        <v>30.367836769474799</v>
      </c>
      <c r="CF351" s="7">
        <v>96.047056595734603</v>
      </c>
      <c r="CG351" s="7">
        <v>100</v>
      </c>
      <c r="CH351" s="7">
        <v>100</v>
      </c>
      <c r="CI351" s="7">
        <v>13.122493908233601</v>
      </c>
      <c r="CJ351" s="7">
        <v>1.6574312968968199</v>
      </c>
      <c r="CK351" s="7">
        <v>3</v>
      </c>
      <c r="CL351" s="7">
        <v>4.0534475820768296</v>
      </c>
      <c r="CM351" s="7">
        <v>6.9124553222714002</v>
      </c>
      <c r="CN351" s="7">
        <v>64.930054205032306</v>
      </c>
      <c r="CO351" s="7">
        <v>100</v>
      </c>
      <c r="CP351" s="7">
        <v>100</v>
      </c>
      <c r="CQ351" s="7">
        <v>100</v>
      </c>
      <c r="CR351" s="7">
        <v>9.6939820583454708</v>
      </c>
      <c r="CS351" s="7">
        <v>2.9524581627097799</v>
      </c>
      <c r="CT351" s="7">
        <v>8.2542073993419596</v>
      </c>
      <c r="CU351" s="7">
        <v>10</v>
      </c>
      <c r="CV351" s="7">
        <v>10</v>
      </c>
      <c r="CW351" s="7">
        <v>100</v>
      </c>
      <c r="CX351" s="7">
        <v>100</v>
      </c>
      <c r="CY351" s="7">
        <v>100</v>
      </c>
      <c r="CZ351" s="7">
        <v>100</v>
      </c>
      <c r="DA351" s="9">
        <v>25.7212047386523</v>
      </c>
      <c r="DB351" s="9">
        <v>0.44916798825952098</v>
      </c>
      <c r="DC351" s="9">
        <v>1.49921887944706</v>
      </c>
      <c r="DD351" s="9">
        <v>2.6116410632707598</v>
      </c>
      <c r="DE351" s="9">
        <v>2.9951594196037599</v>
      </c>
      <c r="DF351" s="9">
        <v>26.594787795583098</v>
      </c>
      <c r="DG351" s="9">
        <v>60.360498970341098</v>
      </c>
      <c r="DH351" s="9">
        <v>93.0811655265463</v>
      </c>
      <c r="DI351" s="9">
        <v>100</v>
      </c>
    </row>
    <row r="352" spans="1:113">
      <c r="A352" s="5" t="s">
        <v>759</v>
      </c>
      <c r="B352" s="5" t="s">
        <v>820</v>
      </c>
      <c r="C352" s="5" t="s">
        <v>821</v>
      </c>
      <c r="D352" s="6">
        <v>64050</v>
      </c>
      <c r="E352" s="7">
        <v>25.322365700604902</v>
      </c>
      <c r="F352" s="7">
        <v>0.69160031225605001</v>
      </c>
      <c r="G352" s="7">
        <v>2.53128805620609</v>
      </c>
      <c r="H352" s="7">
        <v>5.01892271662763</v>
      </c>
      <c r="I352" s="7">
        <v>7.0162841530054596</v>
      </c>
      <c r="J352" s="7">
        <v>41.411397345823602</v>
      </c>
      <c r="K352" s="7">
        <v>69.085089773614399</v>
      </c>
      <c r="L352" s="7">
        <v>88.024980483996899</v>
      </c>
      <c r="M352" s="7">
        <v>91.920374707259995</v>
      </c>
      <c r="N352" s="7">
        <v>17.718416692516399</v>
      </c>
      <c r="O352" s="7">
        <v>1.29562841530055</v>
      </c>
      <c r="P352" s="7">
        <v>3.12474629195941</v>
      </c>
      <c r="Q352" s="7">
        <v>5.99714285714286</v>
      </c>
      <c r="R352" s="7">
        <v>8.5956752537080394</v>
      </c>
      <c r="S352" s="7">
        <v>47.458235753317702</v>
      </c>
      <c r="T352" s="7">
        <v>87.007025761124098</v>
      </c>
      <c r="U352" s="7">
        <v>98.841530054644807</v>
      </c>
      <c r="V352" s="7">
        <v>100</v>
      </c>
      <c r="W352" s="7">
        <v>10.4569495608786</v>
      </c>
      <c r="X352" s="7">
        <v>3.0597658079625298</v>
      </c>
      <c r="Y352" s="7">
        <v>9.9595003903200592</v>
      </c>
      <c r="Z352" s="7">
        <v>10</v>
      </c>
      <c r="AA352" s="7">
        <v>10</v>
      </c>
      <c r="AB352" s="7">
        <v>87.645589383294293</v>
      </c>
      <c r="AC352" s="7">
        <v>100</v>
      </c>
      <c r="AD352" s="7">
        <v>100</v>
      </c>
      <c r="AE352" s="7">
        <v>100</v>
      </c>
      <c r="AF352" s="6">
        <v>41.0931229561442</v>
      </c>
      <c r="AG352" s="6">
        <v>0.61447306791569101</v>
      </c>
      <c r="AH352" s="6">
        <v>1.2697736143637799</v>
      </c>
      <c r="AI352" s="6">
        <v>1.95765807962529</v>
      </c>
      <c r="AJ352" s="6">
        <v>2.3669633099141301</v>
      </c>
      <c r="AK352" s="6">
        <v>38.265417642466801</v>
      </c>
      <c r="AL352" s="6">
        <v>45.975019516003101</v>
      </c>
      <c r="AM352" s="6">
        <v>51.723653395784503</v>
      </c>
      <c r="AN352" s="6">
        <v>66.885245901639394</v>
      </c>
      <c r="AO352" s="6">
        <v>18.8726626423827</v>
      </c>
      <c r="AP352" s="7">
        <v>0.76424668227946901</v>
      </c>
      <c r="AQ352" s="7">
        <v>3.15178766588603</v>
      </c>
      <c r="AR352" s="7">
        <v>6.3638407494145204</v>
      </c>
      <c r="AS352" s="7">
        <v>8.0344574551131895</v>
      </c>
      <c r="AT352" s="7">
        <v>51.180327868852501</v>
      </c>
      <c r="AU352" s="7">
        <v>86.757220921155294</v>
      </c>
      <c r="AV352" s="7">
        <v>94.404371584699405</v>
      </c>
      <c r="AW352" s="7">
        <v>95.917252146760305</v>
      </c>
      <c r="AX352" s="7">
        <v>14.075660569133699</v>
      </c>
      <c r="AY352" s="7">
        <v>1.35648711943794</v>
      </c>
      <c r="AZ352" s="7">
        <v>3.32597970335675</v>
      </c>
      <c r="BA352" s="7">
        <v>7.1673536299765797</v>
      </c>
      <c r="BB352" s="7">
        <v>9.6749882903981295</v>
      </c>
      <c r="BC352" s="7">
        <v>65.042935206869601</v>
      </c>
      <c r="BD352" s="7">
        <v>95.147540983606604</v>
      </c>
      <c r="BE352" s="7">
        <v>100</v>
      </c>
      <c r="BF352" s="7">
        <v>100</v>
      </c>
      <c r="BG352" s="7">
        <v>9.1303108358867107</v>
      </c>
      <c r="BH352" s="7">
        <v>3.3084153005464501</v>
      </c>
      <c r="BI352" s="7">
        <v>10</v>
      </c>
      <c r="BJ352" s="7">
        <v>10</v>
      </c>
      <c r="BK352" s="7">
        <v>10</v>
      </c>
      <c r="BL352" s="7">
        <v>95.912568306010897</v>
      </c>
      <c r="BM352" s="7">
        <v>100</v>
      </c>
      <c r="BN352" s="7">
        <v>100</v>
      </c>
      <c r="BO352" s="7">
        <v>100</v>
      </c>
      <c r="BP352" s="6">
        <v>28.932932209826198</v>
      </c>
      <c r="BQ352" s="6">
        <v>0.61128805620608895</v>
      </c>
      <c r="BR352" s="6">
        <v>1.3163466042154599</v>
      </c>
      <c r="BS352" s="6">
        <v>1.69695550351288</v>
      </c>
      <c r="BT352" s="6">
        <v>2.0595940671350501</v>
      </c>
      <c r="BU352" s="6">
        <v>45.203747072599498</v>
      </c>
      <c r="BV352" s="6">
        <v>64.504293520687</v>
      </c>
      <c r="BW352" s="6">
        <v>73.214676034348201</v>
      </c>
      <c r="BX352" s="6">
        <v>82.138953942232604</v>
      </c>
      <c r="BY352" s="6" t="str">
        <f>TRIM(Table1[[#This Row],[LA_Name]])</f>
        <v>Cotswold</v>
      </c>
      <c r="BZ352" s="7">
        <v>52.226928621287598</v>
      </c>
      <c r="CA352" s="7">
        <v>8.4153005464480901E-2</v>
      </c>
      <c r="CB352" s="7">
        <v>0.31764246682279501</v>
      </c>
      <c r="CC352" s="7">
        <v>0.58782201405152201</v>
      </c>
      <c r="CD352" s="7">
        <v>1.8439344262295101</v>
      </c>
      <c r="CE352" s="7">
        <v>8.4153005464480906</v>
      </c>
      <c r="CF352" s="7">
        <v>31.2693208430913</v>
      </c>
      <c r="CG352" s="7">
        <v>47.857923497267798</v>
      </c>
      <c r="CH352" s="7">
        <v>68.251366120218606</v>
      </c>
      <c r="CI352" s="7">
        <v>57.0094241908265</v>
      </c>
      <c r="CJ352" s="7">
        <v>0.22804059328649501</v>
      </c>
      <c r="CK352" s="7">
        <v>0.31209992193598801</v>
      </c>
      <c r="CL352" s="7">
        <v>0.47158469945355203</v>
      </c>
      <c r="CM352" s="7">
        <v>0.73178766588602695</v>
      </c>
      <c r="CN352" s="7">
        <v>22.804059328649501</v>
      </c>
      <c r="CO352" s="7">
        <v>30.802498048399698</v>
      </c>
      <c r="CP352" s="7">
        <v>41.381733021077302</v>
      </c>
      <c r="CQ352" s="7">
        <v>55.181889149102297</v>
      </c>
      <c r="CR352" s="7">
        <v>22.919416995796698</v>
      </c>
      <c r="CS352" s="7">
        <v>0.28938329430132698</v>
      </c>
      <c r="CT352" s="7">
        <v>1.91394223263076</v>
      </c>
      <c r="CU352" s="7">
        <v>8.1581576893052308</v>
      </c>
      <c r="CV352" s="7">
        <v>10</v>
      </c>
      <c r="CW352" s="7">
        <v>28.938329430132701</v>
      </c>
      <c r="CX352" s="7">
        <v>73.878220140515197</v>
      </c>
      <c r="CY352" s="7">
        <v>99.683060109289599</v>
      </c>
      <c r="CZ352" s="7">
        <v>100</v>
      </c>
      <c r="DA352" s="9">
        <v>90.002569110626197</v>
      </c>
      <c r="DB352" s="9">
        <v>7.09445745511319E-2</v>
      </c>
      <c r="DC352" s="9">
        <v>0.22171740827478501</v>
      </c>
      <c r="DD352" s="9">
        <v>0.25331772053083501</v>
      </c>
      <c r="DE352" s="9">
        <v>0.26644808743169401</v>
      </c>
      <c r="DF352" s="9">
        <v>7.09445745511319</v>
      </c>
      <c r="DG352" s="9">
        <v>22.171740827478502</v>
      </c>
      <c r="DH352" s="9">
        <v>25.331772053083501</v>
      </c>
      <c r="DI352" s="9">
        <v>26.644808743169399</v>
      </c>
    </row>
    <row r="353" spans="1:113">
      <c r="A353" s="5" t="s">
        <v>759</v>
      </c>
      <c r="B353" s="5" t="s">
        <v>822</v>
      </c>
      <c r="C353" s="5" t="s">
        <v>823</v>
      </c>
      <c r="D353" s="6">
        <v>63026</v>
      </c>
      <c r="E353" s="7">
        <v>15.997432066115399</v>
      </c>
      <c r="F353" s="7">
        <v>0.852648113476978</v>
      </c>
      <c r="G353" s="7">
        <v>3.7457715863294498</v>
      </c>
      <c r="H353" s="7">
        <v>7.6543172658902696</v>
      </c>
      <c r="I353" s="7">
        <v>8.8404626662012493</v>
      </c>
      <c r="J353" s="7">
        <v>62.242566559832397</v>
      </c>
      <c r="K353" s="7">
        <v>88.347666042585601</v>
      </c>
      <c r="L353" s="7">
        <v>93.748611684066901</v>
      </c>
      <c r="M353" s="7">
        <v>96.253926950782201</v>
      </c>
      <c r="N353" s="7">
        <v>12.813103020787</v>
      </c>
      <c r="O353" s="7">
        <v>1.6701678672294</v>
      </c>
      <c r="P353" s="7">
        <v>5.2323802875004004</v>
      </c>
      <c r="Q353" s="7">
        <v>8.5476470028242293</v>
      </c>
      <c r="R353" s="7">
        <v>9.7888966458287108</v>
      </c>
      <c r="S353" s="7">
        <v>73.498238822073404</v>
      </c>
      <c r="T353" s="7">
        <v>96.825119791831895</v>
      </c>
      <c r="U353" s="7">
        <v>99.590645130580995</v>
      </c>
      <c r="V353" s="7">
        <v>100</v>
      </c>
      <c r="W353" s="7">
        <v>8.5363605370604905</v>
      </c>
      <c r="X353" s="7">
        <v>4.6764351220131397</v>
      </c>
      <c r="Y353" s="7">
        <v>9.9926379589375802</v>
      </c>
      <c r="Z353" s="7">
        <v>10</v>
      </c>
      <c r="AA353" s="7">
        <v>10</v>
      </c>
      <c r="AB353" s="7">
        <v>94.713292926728698</v>
      </c>
      <c r="AC353" s="7">
        <v>100</v>
      </c>
      <c r="AD353" s="7">
        <v>100</v>
      </c>
      <c r="AE353" s="7">
        <v>100</v>
      </c>
      <c r="AF353" s="6">
        <v>25.204745868256101</v>
      </c>
      <c r="AG353" s="6">
        <v>0.63042236537302099</v>
      </c>
      <c r="AH353" s="6">
        <v>1.4824199536699101</v>
      </c>
      <c r="AI353" s="6">
        <v>2.4122108336242198</v>
      </c>
      <c r="AJ353" s="6">
        <v>3.2083108558372699</v>
      </c>
      <c r="AK353" s="6">
        <v>53.2637324278869</v>
      </c>
      <c r="AL353" s="6">
        <v>72.357439786754696</v>
      </c>
      <c r="AM353" s="6">
        <v>78.803985656713095</v>
      </c>
      <c r="AN353" s="6">
        <v>83.298955986418306</v>
      </c>
      <c r="AO353" s="6">
        <v>20.818368143100301</v>
      </c>
      <c r="AP353" s="7">
        <v>0.69707739662996204</v>
      </c>
      <c r="AQ353" s="7">
        <v>2.2949576365309601</v>
      </c>
      <c r="AR353" s="7">
        <v>5.5893123472852499</v>
      </c>
      <c r="AS353" s="7">
        <v>7.9972233681337901</v>
      </c>
      <c r="AT353" s="7">
        <v>44.480055849966703</v>
      </c>
      <c r="AU353" s="7">
        <v>80.059023260241801</v>
      </c>
      <c r="AV353" s="7">
        <v>94.191286135880404</v>
      </c>
      <c r="AW353" s="7">
        <v>95.489163202487902</v>
      </c>
      <c r="AX353" s="7">
        <v>16.904833048908301</v>
      </c>
      <c r="AY353" s="7">
        <v>1.1626788944245201</v>
      </c>
      <c r="AZ353" s="7">
        <v>2.62690000951988</v>
      </c>
      <c r="BA353" s="7">
        <v>5.9134960175165796</v>
      </c>
      <c r="BB353" s="7">
        <v>8.8234855456478307</v>
      </c>
      <c r="BC353" s="7">
        <v>58.234696791800197</v>
      </c>
      <c r="BD353" s="7">
        <v>89.220321771967093</v>
      </c>
      <c r="BE353" s="7">
        <v>93.390029511630104</v>
      </c>
      <c r="BF353" s="7">
        <v>99.1336908577413</v>
      </c>
      <c r="BG353" s="7">
        <v>9.7555967141396192</v>
      </c>
      <c r="BH353" s="7">
        <v>2.4277123726715999</v>
      </c>
      <c r="BI353" s="7">
        <v>9.7207660330657202</v>
      </c>
      <c r="BJ353" s="7">
        <v>10</v>
      </c>
      <c r="BK353" s="7">
        <v>10</v>
      </c>
      <c r="BL353" s="7">
        <v>87.5305429505284</v>
      </c>
      <c r="BM353" s="7">
        <v>100</v>
      </c>
      <c r="BN353" s="7">
        <v>100</v>
      </c>
      <c r="BO353" s="7">
        <v>100</v>
      </c>
      <c r="BP353" s="6">
        <v>35.978507233000101</v>
      </c>
      <c r="BQ353" s="6">
        <v>0.56427506108590098</v>
      </c>
      <c r="BR353" s="6">
        <v>1.0600863135848699</v>
      </c>
      <c r="BS353" s="6">
        <v>1.3832386634087499</v>
      </c>
      <c r="BT353" s="6">
        <v>1.72412972424079</v>
      </c>
      <c r="BU353" s="6">
        <v>37.008536159680098</v>
      </c>
      <c r="BV353" s="6">
        <v>54.799606511598398</v>
      </c>
      <c r="BW353" s="6">
        <v>68.355916605845195</v>
      </c>
      <c r="BX353" s="6">
        <v>78.251832577031706</v>
      </c>
      <c r="BY353" s="6" t="str">
        <f>TRIM(Table1[[#This Row],[LA_Name]])</f>
        <v>Forest of Dean</v>
      </c>
      <c r="BZ353" s="7">
        <v>69.895294150989002</v>
      </c>
      <c r="CA353" s="7">
        <v>0</v>
      </c>
      <c r="CB353" s="7">
        <v>1.24869101640593E-2</v>
      </c>
      <c r="CC353" s="7">
        <v>0.185129946371339</v>
      </c>
      <c r="CD353" s="7">
        <v>0.76165392060419501</v>
      </c>
      <c r="CE353" s="7">
        <v>0</v>
      </c>
      <c r="CF353" s="7">
        <v>1.2486910164059299</v>
      </c>
      <c r="CG353" s="7">
        <v>13.879986037508299</v>
      </c>
      <c r="CH353" s="7">
        <v>41.6463046996478</v>
      </c>
      <c r="CI353" s="7">
        <v>95.515068340849297</v>
      </c>
      <c r="CJ353" s="7">
        <v>0</v>
      </c>
      <c r="CK353" s="7">
        <v>0</v>
      </c>
      <c r="CL353" s="7">
        <v>9.5246406245041701E-2</v>
      </c>
      <c r="CM353" s="7">
        <v>0.34365182623044499</v>
      </c>
      <c r="CN353" s="7">
        <v>0</v>
      </c>
      <c r="CO353" s="7">
        <v>0</v>
      </c>
      <c r="CP353" s="7">
        <v>4.8646590296068304</v>
      </c>
      <c r="CQ353" s="7">
        <v>12.572589090216701</v>
      </c>
      <c r="CR353" s="7">
        <v>36.576382507347503</v>
      </c>
      <c r="CS353" s="7">
        <v>0</v>
      </c>
      <c r="CT353" s="7">
        <v>0.76953955510424299</v>
      </c>
      <c r="CU353" s="7">
        <v>4.3366229809919696</v>
      </c>
      <c r="CV353" s="7">
        <v>9.9777552121346709</v>
      </c>
      <c r="CW353" s="7">
        <v>0</v>
      </c>
      <c r="CX353" s="7">
        <v>28.4945895344778</v>
      </c>
      <c r="CY353" s="7">
        <v>76.282803922190894</v>
      </c>
      <c r="CZ353" s="7">
        <v>100</v>
      </c>
      <c r="DA353" s="9">
        <v>119.093307323224</v>
      </c>
      <c r="DB353" s="9">
        <v>0</v>
      </c>
      <c r="DC353" s="9">
        <v>0</v>
      </c>
      <c r="DD353" s="9">
        <v>0</v>
      </c>
      <c r="DE353" s="9">
        <v>0</v>
      </c>
      <c r="DF353" s="9">
        <v>0</v>
      </c>
      <c r="DG353" s="9">
        <v>0</v>
      </c>
      <c r="DH353" s="9">
        <v>0</v>
      </c>
      <c r="DI353" s="9">
        <v>0</v>
      </c>
    </row>
    <row r="354" spans="1:113">
      <c r="A354" s="5" t="s">
        <v>759</v>
      </c>
      <c r="B354" s="5" t="s">
        <v>824</v>
      </c>
      <c r="C354" s="5" t="s">
        <v>825</v>
      </c>
      <c r="D354" s="6">
        <v>93047</v>
      </c>
      <c r="E354" s="7">
        <v>7.1559246447295397</v>
      </c>
      <c r="F354" s="7">
        <v>3.5148043461906302</v>
      </c>
      <c r="G354" s="7">
        <v>9.8645200812492604</v>
      </c>
      <c r="H354" s="7">
        <v>10</v>
      </c>
      <c r="I354" s="7">
        <v>10</v>
      </c>
      <c r="J354" s="7">
        <v>93.170118327297004</v>
      </c>
      <c r="K354" s="7">
        <v>100</v>
      </c>
      <c r="L354" s="7">
        <v>100</v>
      </c>
      <c r="M354" s="7">
        <v>100</v>
      </c>
      <c r="N354" s="7">
        <v>7.5194500766156702</v>
      </c>
      <c r="O354" s="7">
        <v>8.4434855503132802</v>
      </c>
      <c r="P354" s="7">
        <v>10</v>
      </c>
      <c r="Q354" s="7">
        <v>10</v>
      </c>
      <c r="R354" s="7">
        <v>10</v>
      </c>
      <c r="S354" s="7">
        <v>100</v>
      </c>
      <c r="T354" s="7">
        <v>100</v>
      </c>
      <c r="U354" s="7">
        <v>100</v>
      </c>
      <c r="V354" s="7">
        <v>100</v>
      </c>
      <c r="W354" s="7">
        <v>6.6438664314649403</v>
      </c>
      <c r="X354" s="7">
        <v>10</v>
      </c>
      <c r="Y354" s="7">
        <v>10</v>
      </c>
      <c r="Z354" s="7">
        <v>10</v>
      </c>
      <c r="AA354" s="7">
        <v>10</v>
      </c>
      <c r="AB354" s="7">
        <v>100</v>
      </c>
      <c r="AC354" s="7">
        <v>100</v>
      </c>
      <c r="AD354" s="7">
        <v>100</v>
      </c>
      <c r="AE354" s="7">
        <v>100</v>
      </c>
      <c r="AF354" s="6">
        <v>7.3248112256220601</v>
      </c>
      <c r="AG354" s="6">
        <v>3.0972304319322501</v>
      </c>
      <c r="AH354" s="6">
        <v>8.4566724343611295</v>
      </c>
      <c r="AI354" s="6">
        <v>9.8449815684546493</v>
      </c>
      <c r="AJ354" s="6">
        <v>10</v>
      </c>
      <c r="AK354" s="6">
        <v>91.469902307436001</v>
      </c>
      <c r="AL354" s="6">
        <v>100</v>
      </c>
      <c r="AM354" s="6">
        <v>100</v>
      </c>
      <c r="AN354" s="6">
        <v>100</v>
      </c>
      <c r="AO354" s="6">
        <v>11.3965446664815</v>
      </c>
      <c r="AP354" s="7">
        <v>1.4461723645039599</v>
      </c>
      <c r="AQ354" s="7">
        <v>8.3872021666469596</v>
      </c>
      <c r="AR354" s="7">
        <v>10</v>
      </c>
      <c r="AS354" s="7">
        <v>10</v>
      </c>
      <c r="AT354" s="7">
        <v>73.423108751491199</v>
      </c>
      <c r="AU354" s="7">
        <v>100</v>
      </c>
      <c r="AV354" s="7">
        <v>100</v>
      </c>
      <c r="AW354" s="7">
        <v>100</v>
      </c>
      <c r="AX354" s="7">
        <v>9.2723398794062906</v>
      </c>
      <c r="AY354" s="7">
        <v>4.6140337678807501</v>
      </c>
      <c r="AZ354" s="7">
        <v>9.9894032048319694</v>
      </c>
      <c r="BA354" s="7">
        <v>10</v>
      </c>
      <c r="BB354" s="7">
        <v>10</v>
      </c>
      <c r="BC354" s="7">
        <v>97.444302341827296</v>
      </c>
      <c r="BD354" s="7">
        <v>100</v>
      </c>
      <c r="BE354" s="7">
        <v>100</v>
      </c>
      <c r="BF354" s="7">
        <v>100</v>
      </c>
      <c r="BG354" s="7">
        <v>7.5185884432834804</v>
      </c>
      <c r="BH354" s="7">
        <v>9.7293948219716899</v>
      </c>
      <c r="BI354" s="7">
        <v>10</v>
      </c>
      <c r="BJ354" s="7">
        <v>10</v>
      </c>
      <c r="BK354" s="7">
        <v>10</v>
      </c>
      <c r="BL354" s="7">
        <v>100</v>
      </c>
      <c r="BM354" s="7">
        <v>100</v>
      </c>
      <c r="BN354" s="7">
        <v>100</v>
      </c>
      <c r="BO354" s="7">
        <v>100</v>
      </c>
      <c r="BP354" s="6">
        <v>12.639702229438001</v>
      </c>
      <c r="BQ354" s="6">
        <v>1.2300557782626</v>
      </c>
      <c r="BR354" s="6">
        <v>4.45219082829108</v>
      </c>
      <c r="BS354" s="6">
        <v>8.0909002976990099</v>
      </c>
      <c r="BT354" s="6">
        <v>9.6224918589529995</v>
      </c>
      <c r="BU354" s="6">
        <v>68.454651950089698</v>
      </c>
      <c r="BV354" s="6">
        <v>97.342203402581504</v>
      </c>
      <c r="BW354" s="6">
        <v>100</v>
      </c>
      <c r="BX354" s="6">
        <v>100</v>
      </c>
      <c r="BY354" s="6" t="str">
        <f>TRIM(Table1[[#This Row],[LA_Name]])</f>
        <v>Gloucester</v>
      </c>
      <c r="BZ354" s="7">
        <v>19.441609327201999</v>
      </c>
      <c r="CA354" s="7">
        <v>0.281277203993681</v>
      </c>
      <c r="CB354" s="7">
        <v>2.0671058712263699</v>
      </c>
      <c r="CC354" s="7">
        <v>4.7295130417960802</v>
      </c>
      <c r="CD354" s="7">
        <v>7.74351671735789</v>
      </c>
      <c r="CE354" s="7">
        <v>26.666093479639301</v>
      </c>
      <c r="CF354" s="7">
        <v>93.662342687029096</v>
      </c>
      <c r="CG354" s="7">
        <v>100</v>
      </c>
      <c r="CH354" s="7">
        <v>100</v>
      </c>
      <c r="CI354" s="7">
        <v>13.1027929888513</v>
      </c>
      <c r="CJ354" s="7">
        <v>1.1733317570690101</v>
      </c>
      <c r="CK354" s="7">
        <v>3.8367814115446999</v>
      </c>
      <c r="CL354" s="7">
        <v>5.0962416843100797</v>
      </c>
      <c r="CM354" s="7">
        <v>7.5292809010500097</v>
      </c>
      <c r="CN354" s="7">
        <v>71.865831246574302</v>
      </c>
      <c r="CO354" s="7">
        <v>100</v>
      </c>
      <c r="CP354" s="7">
        <v>100</v>
      </c>
      <c r="CQ354" s="7">
        <v>100</v>
      </c>
      <c r="CR354" s="7">
        <v>9.5220612221195005</v>
      </c>
      <c r="CS354" s="7">
        <v>3.0558749879093399</v>
      </c>
      <c r="CT354" s="7">
        <v>8.4483003213429804</v>
      </c>
      <c r="CU354" s="7">
        <v>10</v>
      </c>
      <c r="CV354" s="7">
        <v>10</v>
      </c>
      <c r="CW354" s="7">
        <v>99.780755962040701</v>
      </c>
      <c r="CX354" s="7">
        <v>100</v>
      </c>
      <c r="CY354" s="7">
        <v>100</v>
      </c>
      <c r="CZ354" s="7">
        <v>100</v>
      </c>
      <c r="DA354" s="9">
        <v>24.289990040800301</v>
      </c>
      <c r="DB354" s="9">
        <v>0.21805109245865001</v>
      </c>
      <c r="DC354" s="9">
        <v>1.1289778284092999</v>
      </c>
      <c r="DD354" s="9">
        <v>2.1084075789654699</v>
      </c>
      <c r="DE354" s="9">
        <v>2.9095295925714999</v>
      </c>
      <c r="DF354" s="9">
        <v>20.3434823261363</v>
      </c>
      <c r="DG354" s="9">
        <v>71.065160617752298</v>
      </c>
      <c r="DH354" s="9">
        <v>94.501703440196906</v>
      </c>
      <c r="DI354" s="9">
        <v>100</v>
      </c>
    </row>
    <row r="355" spans="1:113">
      <c r="A355" s="5" t="s">
        <v>759</v>
      </c>
      <c r="B355" s="5" t="s">
        <v>826</v>
      </c>
      <c r="C355" s="5" t="s">
        <v>827</v>
      </c>
      <c r="D355" s="6">
        <v>86325</v>
      </c>
      <c r="E355" s="7">
        <v>11.0574875935088</v>
      </c>
      <c r="F355" s="7">
        <v>1.41167680278019</v>
      </c>
      <c r="G355" s="7">
        <v>5.8508659136982297</v>
      </c>
      <c r="H355" s="7">
        <v>9.4631450912250195</v>
      </c>
      <c r="I355" s="7">
        <v>9.8751810020272206</v>
      </c>
      <c r="J355" s="7">
        <v>74.956269910223</v>
      </c>
      <c r="K355" s="7">
        <v>97.368085722560096</v>
      </c>
      <c r="L355" s="7">
        <v>99.472922096727501</v>
      </c>
      <c r="M355" s="7">
        <v>100</v>
      </c>
      <c r="N355" s="7">
        <v>9.9167088162709103</v>
      </c>
      <c r="O355" s="7">
        <v>2.7472458731537799</v>
      </c>
      <c r="P355" s="7">
        <v>7.7126093252244399</v>
      </c>
      <c r="Q355" s="7">
        <v>9.7498986388647495</v>
      </c>
      <c r="R355" s="7">
        <v>9.9922618013321696</v>
      </c>
      <c r="S355" s="7">
        <v>87.298001737619501</v>
      </c>
      <c r="T355" s="7">
        <v>100</v>
      </c>
      <c r="U355" s="7">
        <v>100</v>
      </c>
      <c r="V355" s="7">
        <v>100</v>
      </c>
      <c r="W355" s="7">
        <v>7.5235975532631203</v>
      </c>
      <c r="X355" s="7">
        <v>7.3665334491746304</v>
      </c>
      <c r="Y355" s="7">
        <v>10</v>
      </c>
      <c r="Z355" s="7">
        <v>10</v>
      </c>
      <c r="AA355" s="7">
        <v>10</v>
      </c>
      <c r="AB355" s="7">
        <v>100</v>
      </c>
      <c r="AC355" s="7">
        <v>100</v>
      </c>
      <c r="AD355" s="7">
        <v>100</v>
      </c>
      <c r="AE355" s="7">
        <v>100</v>
      </c>
      <c r="AF355" s="6">
        <v>14.8500677666024</v>
      </c>
      <c r="AG355" s="6">
        <v>1.15204170286707</v>
      </c>
      <c r="AH355" s="6">
        <v>2.6484911671010698</v>
      </c>
      <c r="AI355" s="6">
        <v>4.5728583840138999</v>
      </c>
      <c r="AJ355" s="6">
        <v>6.3134317984361399</v>
      </c>
      <c r="AK355" s="6">
        <v>71.440486533449203</v>
      </c>
      <c r="AL355" s="6">
        <v>86.330726904141301</v>
      </c>
      <c r="AM355" s="6">
        <v>92.162177816391505</v>
      </c>
      <c r="AN355" s="6">
        <v>98.297132927888796</v>
      </c>
      <c r="AO355" s="6">
        <v>13.7396124046504</v>
      </c>
      <c r="AP355" s="7">
        <v>0.95562119895742803</v>
      </c>
      <c r="AQ355" s="7">
        <v>4.8284390385172298</v>
      </c>
      <c r="AR355" s="7">
        <v>9.2401042571676797</v>
      </c>
      <c r="AS355" s="7">
        <v>9.8608514335360606</v>
      </c>
      <c r="AT355" s="7">
        <v>65.010136113524496</v>
      </c>
      <c r="AU355" s="7">
        <v>95.562119895742796</v>
      </c>
      <c r="AV355" s="7">
        <v>99.134665508253704</v>
      </c>
      <c r="AW355" s="7">
        <v>99.399942079351305</v>
      </c>
      <c r="AX355" s="7">
        <v>11.3947545979122</v>
      </c>
      <c r="AY355" s="7">
        <v>1.8468693889371599</v>
      </c>
      <c r="AZ355" s="7">
        <v>6.9792412395018797</v>
      </c>
      <c r="BA355" s="7">
        <v>9.5925282363162498</v>
      </c>
      <c r="BB355" s="7">
        <v>9.9907558644656795</v>
      </c>
      <c r="BC355" s="7">
        <v>82.516072980017398</v>
      </c>
      <c r="BD355" s="7">
        <v>98.746597161888204</v>
      </c>
      <c r="BE355" s="7">
        <v>100</v>
      </c>
      <c r="BF355" s="7">
        <v>100</v>
      </c>
      <c r="BG355" s="7">
        <v>8.0828051132690408</v>
      </c>
      <c r="BH355" s="7">
        <v>6.2827106863596898</v>
      </c>
      <c r="BI355" s="7">
        <v>10</v>
      </c>
      <c r="BJ355" s="7">
        <v>10</v>
      </c>
      <c r="BK355" s="7">
        <v>10</v>
      </c>
      <c r="BL355" s="7">
        <v>98.016796988126302</v>
      </c>
      <c r="BM355" s="7">
        <v>100</v>
      </c>
      <c r="BN355" s="7">
        <v>100</v>
      </c>
      <c r="BO355" s="7">
        <v>100</v>
      </c>
      <c r="BP355" s="6">
        <v>19.789131461229701</v>
      </c>
      <c r="BQ355" s="6">
        <v>0.70681726035331605</v>
      </c>
      <c r="BR355" s="6">
        <v>1.76484216623226</v>
      </c>
      <c r="BS355" s="6">
        <v>3.2158818418766302</v>
      </c>
      <c r="BT355" s="6">
        <v>4.9316883869099302</v>
      </c>
      <c r="BU355" s="6">
        <v>57.839559803069797</v>
      </c>
      <c r="BV355" s="6">
        <v>81.076165653055298</v>
      </c>
      <c r="BW355" s="6">
        <v>88.808572256009299</v>
      </c>
      <c r="BX355" s="6">
        <v>93.737619461337999</v>
      </c>
      <c r="BY355" s="6" t="str">
        <f>TRIM(Table1[[#This Row],[LA_Name]])</f>
        <v>Stroud</v>
      </c>
      <c r="BZ355" s="7">
        <v>32.273064252744</v>
      </c>
      <c r="CA355" s="7">
        <v>8.3961772371850596E-2</v>
      </c>
      <c r="CB355" s="7">
        <v>0.57241818708369496</v>
      </c>
      <c r="CC355" s="7">
        <v>1.50227628149435</v>
      </c>
      <c r="CD355" s="7">
        <v>3.04089197799015</v>
      </c>
      <c r="CE355" s="7">
        <v>8.3961772371850607</v>
      </c>
      <c r="CF355" s="7">
        <v>51.496090356212001</v>
      </c>
      <c r="CG355" s="7">
        <v>84.494642339994201</v>
      </c>
      <c r="CH355" s="7">
        <v>95.421951925861606</v>
      </c>
      <c r="CI355" s="7">
        <v>34.789910374715198</v>
      </c>
      <c r="CJ355" s="7">
        <v>0.25701708659137001</v>
      </c>
      <c r="CK355" s="7">
        <v>0.581372719374457</v>
      </c>
      <c r="CL355" s="7">
        <v>1.16763394150014</v>
      </c>
      <c r="CM355" s="7">
        <v>1.97851143932812</v>
      </c>
      <c r="CN355" s="7">
        <v>25.701708659137001</v>
      </c>
      <c r="CO355" s="7">
        <v>50.940052128583801</v>
      </c>
      <c r="CP355" s="7">
        <v>69.873153779322294</v>
      </c>
      <c r="CQ355" s="7">
        <v>79.345496669562706</v>
      </c>
      <c r="CR355" s="7">
        <v>16.483892497093901</v>
      </c>
      <c r="CS355" s="7">
        <v>0.51626991022299495</v>
      </c>
      <c r="CT355" s="7">
        <v>4.1959918911091796</v>
      </c>
      <c r="CU355" s="7">
        <v>9.8892209672748308</v>
      </c>
      <c r="CV355" s="7">
        <v>10</v>
      </c>
      <c r="CW355" s="7">
        <v>47.994207935128898</v>
      </c>
      <c r="CX355" s="7">
        <v>98.052707790327204</v>
      </c>
      <c r="CY355" s="7">
        <v>100</v>
      </c>
      <c r="CZ355" s="7">
        <v>100</v>
      </c>
      <c r="DA355" s="9">
        <v>73.133163742412904</v>
      </c>
      <c r="DB355" s="9">
        <v>5.9171734723428897E-2</v>
      </c>
      <c r="DC355" s="9">
        <v>0.24298870547350099</v>
      </c>
      <c r="DD355" s="9">
        <v>0.340283811178685</v>
      </c>
      <c r="DE355" s="9">
        <v>0.40991601505936898</v>
      </c>
      <c r="DF355" s="9">
        <v>5.9171734723428902</v>
      </c>
      <c r="DG355" s="9">
        <v>24.298870547350099</v>
      </c>
      <c r="DH355" s="9">
        <v>32.849116710107197</v>
      </c>
      <c r="DI355" s="9">
        <v>38.867072111207598</v>
      </c>
    </row>
    <row r="356" spans="1:113">
      <c r="A356" s="5" t="s">
        <v>759</v>
      </c>
      <c r="B356" s="5" t="s">
        <v>828</v>
      </c>
      <c r="C356" s="5" t="s">
        <v>829</v>
      </c>
      <c r="D356" s="6">
        <v>67398</v>
      </c>
      <c r="E356" s="6">
        <v>13.9251733276969</v>
      </c>
      <c r="F356" s="6">
        <v>1.1725422119350699</v>
      </c>
      <c r="G356" s="6">
        <v>6.3922668328437</v>
      </c>
      <c r="H356" s="6">
        <v>9.3092079883676107</v>
      </c>
      <c r="I356" s="6">
        <v>9.6058785127155097</v>
      </c>
      <c r="J356" s="6">
        <v>65.022700970355203</v>
      </c>
      <c r="K356" s="6">
        <v>91.841004184100399</v>
      </c>
      <c r="L356" s="6">
        <v>98.249206207899306</v>
      </c>
      <c r="M356" s="6">
        <v>99.2492358823704</v>
      </c>
      <c r="N356" s="7">
        <v>11.685617008068901</v>
      </c>
      <c r="O356" s="7">
        <v>2.42474554141072</v>
      </c>
      <c r="P356" s="7">
        <v>7.4009169411555202</v>
      </c>
      <c r="Q356" s="7">
        <v>9.4008724294489507</v>
      </c>
      <c r="R356" s="7">
        <v>9.9973144603697399</v>
      </c>
      <c r="S356" s="7">
        <v>82.242796522152005</v>
      </c>
      <c r="T356" s="7">
        <v>98.580076560135296</v>
      </c>
      <c r="U356" s="7">
        <v>100</v>
      </c>
      <c r="V356" s="7">
        <v>100</v>
      </c>
      <c r="W356" s="7">
        <v>8.3773743826549403</v>
      </c>
      <c r="X356" s="7">
        <v>7.1190243033917904</v>
      </c>
      <c r="Y356" s="7">
        <v>10</v>
      </c>
      <c r="Z356" s="7">
        <v>10</v>
      </c>
      <c r="AA356" s="7">
        <v>10</v>
      </c>
      <c r="AB356" s="7">
        <v>97.666102851716701</v>
      </c>
      <c r="AC356" s="7">
        <v>100</v>
      </c>
      <c r="AD356" s="7">
        <v>100</v>
      </c>
      <c r="AE356" s="7">
        <v>100</v>
      </c>
      <c r="AF356" s="6">
        <v>20.225726891215398</v>
      </c>
      <c r="AG356" s="6">
        <v>0.93078429626991899</v>
      </c>
      <c r="AH356" s="6">
        <v>2.3818659307397798</v>
      </c>
      <c r="AI356" s="6">
        <v>4.3296240244517596</v>
      </c>
      <c r="AJ356" s="6">
        <v>5.7572331523190599</v>
      </c>
      <c r="AK356" s="6">
        <v>58.523991809846002</v>
      </c>
      <c r="AL356" s="6">
        <v>81.729428172942804</v>
      </c>
      <c r="AM356" s="6">
        <v>87.107926051218101</v>
      </c>
      <c r="AN356" s="6">
        <v>90.027894002789395</v>
      </c>
      <c r="AO356" s="6">
        <v>11.5429846541881</v>
      </c>
      <c r="AP356" s="6">
        <v>1.1584468381851101</v>
      </c>
      <c r="AQ356" s="6">
        <v>5.9190777174396896</v>
      </c>
      <c r="AR356" s="6">
        <v>9.2917297249176496</v>
      </c>
      <c r="AS356" s="6">
        <v>9.6510282204219706</v>
      </c>
      <c r="AT356" s="6">
        <v>74.138698477699606</v>
      </c>
      <c r="AU356" s="6">
        <v>97.6616516810588</v>
      </c>
      <c r="AV356" s="6">
        <v>98.976230748686902</v>
      </c>
      <c r="AW356" s="6">
        <v>99.695836671711305</v>
      </c>
      <c r="AX356" s="6">
        <v>10.102305087106799</v>
      </c>
      <c r="AY356" s="7">
        <v>2.16135493634826</v>
      </c>
      <c r="AZ356" s="7">
        <v>7.5019436778539399</v>
      </c>
      <c r="BA356" s="7">
        <v>9.6244250571233607</v>
      </c>
      <c r="BB356" s="7">
        <v>10</v>
      </c>
      <c r="BC356" s="7">
        <v>89.105017953054997</v>
      </c>
      <c r="BD356" s="7">
        <v>99.347161636843794</v>
      </c>
      <c r="BE356" s="7">
        <v>100</v>
      </c>
      <c r="BF356" s="7">
        <v>100</v>
      </c>
      <c r="BG356" s="7">
        <v>7.6740213555997299</v>
      </c>
      <c r="BH356" s="7">
        <v>6.4177720407133698</v>
      </c>
      <c r="BI356" s="7">
        <v>10</v>
      </c>
      <c r="BJ356" s="7">
        <v>10</v>
      </c>
      <c r="BK356" s="7">
        <v>10</v>
      </c>
      <c r="BL356" s="7">
        <v>99.347161636843794</v>
      </c>
      <c r="BM356" s="7">
        <v>100</v>
      </c>
      <c r="BN356" s="7">
        <v>100</v>
      </c>
      <c r="BO356" s="7">
        <v>100</v>
      </c>
      <c r="BP356" s="6">
        <v>15.5986275806147</v>
      </c>
      <c r="BQ356" s="6">
        <v>0.90864714086471399</v>
      </c>
      <c r="BR356" s="6">
        <v>2.1110567079141802</v>
      </c>
      <c r="BS356" s="6">
        <v>3.2084631591441899</v>
      </c>
      <c r="BT356" s="6">
        <v>5.1872755868126603</v>
      </c>
      <c r="BU356" s="6">
        <v>63.638386895753598</v>
      </c>
      <c r="BV356" s="6">
        <v>88.484821508056598</v>
      </c>
      <c r="BW356" s="6">
        <v>93.976082376331604</v>
      </c>
      <c r="BX356" s="6">
        <v>96.775868720140096</v>
      </c>
      <c r="BY356" s="6" t="str">
        <f>TRIM(Table1[[#This Row],[LA_Name]])</f>
        <v>Tewkesbury</v>
      </c>
      <c r="BZ356" s="6">
        <v>30.419120145507701</v>
      </c>
      <c r="CA356" s="7">
        <v>0.10847502893260901</v>
      </c>
      <c r="CB356" s="7">
        <v>0.847131962372771</v>
      </c>
      <c r="CC356" s="7">
        <v>3.6259829668536199</v>
      </c>
      <c r="CD356" s="7">
        <v>5.8475177304964499</v>
      </c>
      <c r="CE356" s="7">
        <v>10.8475028932609</v>
      </c>
      <c r="CF356" s="7">
        <v>55.532805127748603</v>
      </c>
      <c r="CG356" s="7">
        <v>92.180776877652207</v>
      </c>
      <c r="CH356" s="7">
        <v>96.2654678180361</v>
      </c>
      <c r="CI356" s="7">
        <v>24.001672134720899</v>
      </c>
      <c r="CJ356" s="7">
        <v>0.30057271729131402</v>
      </c>
      <c r="CK356" s="7">
        <v>1.82650820499125</v>
      </c>
      <c r="CL356" s="7">
        <v>3.5932223508116001</v>
      </c>
      <c r="CM356" s="7">
        <v>4.99713641354343</v>
      </c>
      <c r="CN356" s="7">
        <v>30.057271729131401</v>
      </c>
      <c r="CO356" s="7">
        <v>75.324193596249103</v>
      </c>
      <c r="CP356" s="7">
        <v>90.599127570551005</v>
      </c>
      <c r="CQ356" s="7">
        <v>98.747737321582207</v>
      </c>
      <c r="CR356" s="6">
        <v>13.958838535206301</v>
      </c>
      <c r="CS356" s="6">
        <v>1.05506098103801</v>
      </c>
      <c r="CT356" s="6">
        <v>7.1178076500786398</v>
      </c>
      <c r="CU356" s="6">
        <v>9.9877147689842403</v>
      </c>
      <c r="CV356" s="6">
        <v>10</v>
      </c>
      <c r="CW356" s="6">
        <v>62.0878957832577</v>
      </c>
      <c r="CX356" s="6">
        <v>99.832339238553104</v>
      </c>
      <c r="CY356" s="6">
        <v>100</v>
      </c>
      <c r="CZ356" s="6">
        <v>100</v>
      </c>
      <c r="DA356" s="9">
        <v>56.862433218259802</v>
      </c>
      <c r="DB356" s="9">
        <v>6.4690346894566597E-2</v>
      </c>
      <c r="DC356" s="9">
        <v>0.297842665954479</v>
      </c>
      <c r="DD356" s="9">
        <v>0.467224546722455</v>
      </c>
      <c r="DE356" s="9">
        <v>0.95415294222380498</v>
      </c>
      <c r="DF356" s="9">
        <v>6.4690346894566604</v>
      </c>
      <c r="DG356" s="9">
        <v>29.7842665954479</v>
      </c>
      <c r="DH356" s="9">
        <v>40.983411970681601</v>
      </c>
      <c r="DI356" s="9">
        <v>57.626339060506197</v>
      </c>
    </row>
    <row r="357" spans="1:113">
      <c r="A357" s="5" t="s">
        <v>759</v>
      </c>
      <c r="B357" s="5" t="s">
        <v>830</v>
      </c>
      <c r="C357" s="5" t="s">
        <v>831</v>
      </c>
      <c r="D357" s="6">
        <v>398528</v>
      </c>
      <c r="E357" s="7">
        <v>15.946252451286</v>
      </c>
      <c r="F357" s="7">
        <v>1.1079773566725599</v>
      </c>
      <c r="G357" s="7">
        <v>4.5189949012365496</v>
      </c>
      <c r="H357" s="7">
        <v>7.5269642283603702</v>
      </c>
      <c r="I357" s="7">
        <v>8.9764809498956204</v>
      </c>
      <c r="J357" s="7">
        <v>58.381845190300297</v>
      </c>
      <c r="K357" s="7">
        <v>89.264744258872696</v>
      </c>
      <c r="L357" s="7">
        <v>96.434880359723806</v>
      </c>
      <c r="M357" s="7">
        <v>97.939166131363393</v>
      </c>
      <c r="N357" s="6">
        <v>12.6034585768664</v>
      </c>
      <c r="O357" s="6">
        <v>2.4832307893046401</v>
      </c>
      <c r="P357" s="6">
        <v>5.9903018106632402</v>
      </c>
      <c r="Q357" s="6">
        <v>8.4565099566404403</v>
      </c>
      <c r="R357" s="6">
        <v>9.7433103822065199</v>
      </c>
      <c r="S357" s="6">
        <v>73.540880440019293</v>
      </c>
      <c r="T357" s="6">
        <v>94.9591998554681</v>
      </c>
      <c r="U357" s="6">
        <v>99.644441544885197</v>
      </c>
      <c r="V357" s="6">
        <v>99.9723984262084</v>
      </c>
      <c r="W357" s="6">
        <v>8.59802673528187</v>
      </c>
      <c r="X357" s="6">
        <v>5.6830436004496603</v>
      </c>
      <c r="Y357" s="6">
        <v>9.8579397181628394</v>
      </c>
      <c r="Z357" s="6">
        <v>9.9987905492211304</v>
      </c>
      <c r="AA357" s="6">
        <v>10</v>
      </c>
      <c r="AB357" s="6">
        <v>94.854062951662101</v>
      </c>
      <c r="AC357" s="6">
        <v>100</v>
      </c>
      <c r="AD357" s="6">
        <v>100</v>
      </c>
      <c r="AE357" s="6">
        <v>100</v>
      </c>
      <c r="AF357" s="6">
        <v>23.641424619945099</v>
      </c>
      <c r="AG357" s="6">
        <v>0.937005680905733</v>
      </c>
      <c r="AH357" s="6">
        <v>2.4354298819656299</v>
      </c>
      <c r="AI357" s="6">
        <v>3.8755871607515702</v>
      </c>
      <c r="AJ357" s="6">
        <v>5.0036961016540902</v>
      </c>
      <c r="AK357" s="6">
        <v>53.635127268347503</v>
      </c>
      <c r="AL357" s="6">
        <v>73.123845752368695</v>
      </c>
      <c r="AM357" s="6">
        <v>84.496697848080899</v>
      </c>
      <c r="AN357" s="6">
        <v>90.568542235426406</v>
      </c>
      <c r="AO357" s="6">
        <v>14.760730565123101</v>
      </c>
      <c r="AP357" s="7">
        <v>1.4275734703709699</v>
      </c>
      <c r="AQ357" s="7">
        <v>5.6829934157700297</v>
      </c>
      <c r="AR357" s="7">
        <v>8.3249332543761003</v>
      </c>
      <c r="AS357" s="7">
        <v>9.2748263610085093</v>
      </c>
      <c r="AT357" s="7">
        <v>65.317367913923206</v>
      </c>
      <c r="AU357" s="7">
        <v>90.8292516460575</v>
      </c>
      <c r="AV357" s="7">
        <v>96.512666613136304</v>
      </c>
      <c r="AW357" s="7">
        <v>97.829512606391503</v>
      </c>
      <c r="AX357" s="7">
        <v>12.1205063589313</v>
      </c>
      <c r="AY357" s="6">
        <v>3.21608268427814</v>
      </c>
      <c r="AZ357" s="6">
        <v>6.4671792195278597</v>
      </c>
      <c r="BA357" s="6">
        <v>8.9117000562068398</v>
      </c>
      <c r="BB357" s="6">
        <v>9.6447501806648503</v>
      </c>
      <c r="BC357" s="6">
        <v>74.328528986670904</v>
      </c>
      <c r="BD357" s="6">
        <v>96.6017444194636</v>
      </c>
      <c r="BE357" s="6">
        <v>99.714700096354605</v>
      </c>
      <c r="BF357" s="6">
        <v>100</v>
      </c>
      <c r="BG357" s="6">
        <v>8.3708529836875503</v>
      </c>
      <c r="BH357" s="6">
        <v>6.1621793198972199</v>
      </c>
      <c r="BI357" s="6">
        <v>9.7256328288100207</v>
      </c>
      <c r="BJ357" s="6">
        <v>9.9126334912477905</v>
      </c>
      <c r="BK357" s="6">
        <v>9.9995960133290502</v>
      </c>
      <c r="BL357" s="6">
        <v>96.047454633049597</v>
      </c>
      <c r="BM357" s="6">
        <v>100</v>
      </c>
      <c r="BN357" s="6">
        <v>100</v>
      </c>
      <c r="BO357" s="6">
        <v>100</v>
      </c>
      <c r="BP357" s="6">
        <v>22.4037712981896</v>
      </c>
      <c r="BQ357" s="6">
        <v>1.1882853902360699</v>
      </c>
      <c r="BR357" s="6">
        <v>3.2029167335795701</v>
      </c>
      <c r="BS357" s="6">
        <v>4.4836824514212301</v>
      </c>
      <c r="BT357" s="6">
        <v>5.3691434478882298</v>
      </c>
      <c r="BU357" s="6">
        <v>59.804580857555798</v>
      </c>
      <c r="BV357" s="6">
        <v>73.285189497350203</v>
      </c>
      <c r="BW357" s="6">
        <v>82.687038300947506</v>
      </c>
      <c r="BX357" s="6">
        <v>90.164053717681099</v>
      </c>
      <c r="BY357" s="6" t="str">
        <f>TRIM(Table1[[#This Row],[LA_Name]])</f>
        <v>Somerset</v>
      </c>
      <c r="BZ357" s="7">
        <v>51.364254750725699</v>
      </c>
      <c r="CA357" s="7">
        <v>8.9386442106953595E-2</v>
      </c>
      <c r="CB357" s="7">
        <v>0.43794664364862701</v>
      </c>
      <c r="CC357" s="7">
        <v>0.86701310823831701</v>
      </c>
      <c r="CD357" s="7">
        <v>1.4506759876344999</v>
      </c>
      <c r="CE357" s="7">
        <v>8.0855046571382694</v>
      </c>
      <c r="CF357" s="7">
        <v>30.0919885177453</v>
      </c>
      <c r="CG357" s="7">
        <v>51.845541593062499</v>
      </c>
      <c r="CH357" s="7">
        <v>65.711819495744294</v>
      </c>
      <c r="CI357" s="7">
        <v>54.2734626158067</v>
      </c>
      <c r="CJ357" s="7">
        <v>0.25327705957925201</v>
      </c>
      <c r="CK357" s="7">
        <v>0.58181608318612499</v>
      </c>
      <c r="CL357" s="7">
        <v>0.71314186205235297</v>
      </c>
      <c r="CM357" s="7">
        <v>1.0110331018146801</v>
      </c>
      <c r="CN357" s="7">
        <v>18.6340733900755</v>
      </c>
      <c r="CO357" s="7">
        <v>34.523295728280097</v>
      </c>
      <c r="CP357" s="7">
        <v>43.354293801188398</v>
      </c>
      <c r="CQ357" s="7">
        <v>58.530642765376598</v>
      </c>
      <c r="CR357" s="7">
        <v>24.440740091078599</v>
      </c>
      <c r="CS357" s="7">
        <v>0.53423849767143095</v>
      </c>
      <c r="CT357" s="7">
        <v>1.4174712943632599</v>
      </c>
      <c r="CU357" s="7">
        <v>4.5603345310743499</v>
      </c>
      <c r="CV357" s="7">
        <v>8.7449288381243004</v>
      </c>
      <c r="CW357" s="7">
        <v>32.3141661313634</v>
      </c>
      <c r="CX357" s="7">
        <v>67.137064396980904</v>
      </c>
      <c r="CY357" s="7">
        <v>91.676870884856299</v>
      </c>
      <c r="CZ357" s="7">
        <v>97.333437048337899</v>
      </c>
      <c r="DA357" s="9">
        <v>88.141288659890293</v>
      </c>
      <c r="DB357" s="9">
        <v>7.1749036454151302E-2</v>
      </c>
      <c r="DC357" s="9">
        <v>0.23833206198811599</v>
      </c>
      <c r="DD357" s="9">
        <v>0.44476172314115903</v>
      </c>
      <c r="DE357" s="9">
        <v>0.53228380440019296</v>
      </c>
      <c r="DF357" s="9">
        <v>6.6356692628874301</v>
      </c>
      <c r="DG357" s="9">
        <v>18.1530532359081</v>
      </c>
      <c r="DH357" s="9">
        <v>27.8178697607195</v>
      </c>
      <c r="DI357" s="9">
        <v>32.152822386381899</v>
      </c>
    </row>
    <row r="358" spans="1:113">
      <c r="A358" s="5" t="s">
        <v>759</v>
      </c>
      <c r="B358" s="5" t="s">
        <v>832</v>
      </c>
      <c r="C358" s="5" t="s">
        <v>833</v>
      </c>
      <c r="D358" s="6">
        <v>82361</v>
      </c>
      <c r="E358" s="6">
        <v>14.662635485381999</v>
      </c>
      <c r="F358" s="6">
        <v>1.3465353747526101</v>
      </c>
      <c r="G358" s="6">
        <v>5.25905464965214</v>
      </c>
      <c r="H358" s="6">
        <v>8.1735287332596709</v>
      </c>
      <c r="I358" s="6">
        <v>9.2940226563543398</v>
      </c>
      <c r="J358" s="6">
        <v>60.9026116730006</v>
      </c>
      <c r="K358" s="6">
        <v>91.803159262272203</v>
      </c>
      <c r="L358" s="6">
        <v>96.917230242469103</v>
      </c>
      <c r="M358" s="6">
        <v>97.741649567149494</v>
      </c>
      <c r="N358" s="7">
        <v>12.1896197519675</v>
      </c>
      <c r="O358" s="7">
        <v>2.7491895435946598</v>
      </c>
      <c r="P358" s="7">
        <v>5.4310656742875896</v>
      </c>
      <c r="Q358" s="7">
        <v>8.77492988186156</v>
      </c>
      <c r="R358" s="7">
        <v>9.9470866065249304</v>
      </c>
      <c r="S358" s="7">
        <v>69.9263000692075</v>
      </c>
      <c r="T358" s="7">
        <v>97.646944548997695</v>
      </c>
      <c r="U358" s="7">
        <v>100</v>
      </c>
      <c r="V358" s="7">
        <v>100</v>
      </c>
      <c r="W358" s="7">
        <v>8.4420841200042709</v>
      </c>
      <c r="X358" s="7">
        <v>5.2646762423962796</v>
      </c>
      <c r="Y358" s="7">
        <v>9.9854299972074205</v>
      </c>
      <c r="Z358" s="7">
        <v>10</v>
      </c>
      <c r="AA358" s="7">
        <v>10</v>
      </c>
      <c r="AB358" s="7">
        <v>97.649372882796499</v>
      </c>
      <c r="AC358" s="7">
        <v>100</v>
      </c>
      <c r="AD358" s="7">
        <v>100</v>
      </c>
      <c r="AE358" s="7">
        <v>100</v>
      </c>
      <c r="AF358" s="6">
        <v>22.4446706623315</v>
      </c>
      <c r="AG358" s="6">
        <v>1.06388946224548</v>
      </c>
      <c r="AH358" s="6">
        <v>2.6893068321171398</v>
      </c>
      <c r="AI358" s="6">
        <v>3.7318998069474598</v>
      </c>
      <c r="AJ358" s="6">
        <v>4.3564308349825804</v>
      </c>
      <c r="AK358" s="6">
        <v>57.016063428078802</v>
      </c>
      <c r="AL358" s="6">
        <v>68.837192360461898</v>
      </c>
      <c r="AM358" s="6">
        <v>81.357681426888902</v>
      </c>
      <c r="AN358" s="6">
        <v>92.684644431223504</v>
      </c>
      <c r="AO358" s="6">
        <v>13.1333195270893</v>
      </c>
      <c r="AP358" s="6">
        <v>1.7631160379305699</v>
      </c>
      <c r="AQ358" s="6">
        <v>6.3090054758927199</v>
      </c>
      <c r="AR358" s="6">
        <v>9.1370430179332391</v>
      </c>
      <c r="AS358" s="6">
        <v>9.6677675113221095</v>
      </c>
      <c r="AT358" s="6">
        <v>70.159420113888899</v>
      </c>
      <c r="AU358" s="6">
        <v>93.164240356479397</v>
      </c>
      <c r="AV358" s="6">
        <v>98.190891319920794</v>
      </c>
      <c r="AW358" s="6">
        <v>98.500503879263206</v>
      </c>
      <c r="AX358" s="6">
        <v>10.959069964163801</v>
      </c>
      <c r="AY358" s="7">
        <v>3.2248879931035299</v>
      </c>
      <c r="AZ358" s="7">
        <v>6.9124342832165704</v>
      </c>
      <c r="BA358" s="7">
        <v>9.8781704933160093</v>
      </c>
      <c r="BB358" s="7">
        <v>10</v>
      </c>
      <c r="BC358" s="7">
        <v>79.399230218185807</v>
      </c>
      <c r="BD358" s="7">
        <v>98.923033960248205</v>
      </c>
      <c r="BE358" s="7">
        <v>100</v>
      </c>
      <c r="BF358" s="7">
        <v>100</v>
      </c>
      <c r="BG358" s="7">
        <v>7.8693203037788297</v>
      </c>
      <c r="BH358" s="7">
        <v>6.7515693107174499</v>
      </c>
      <c r="BI358" s="7">
        <v>10</v>
      </c>
      <c r="BJ358" s="7">
        <v>10</v>
      </c>
      <c r="BK358" s="7">
        <v>10</v>
      </c>
      <c r="BL358" s="7">
        <v>98.699627250761907</v>
      </c>
      <c r="BM358" s="7">
        <v>100</v>
      </c>
      <c r="BN358" s="7">
        <v>100</v>
      </c>
      <c r="BO358" s="7">
        <v>100</v>
      </c>
      <c r="BP358" s="6">
        <v>18.389025862714199</v>
      </c>
      <c r="BQ358" s="6">
        <v>1.4925632277412899</v>
      </c>
      <c r="BR358" s="6">
        <v>3.2051942059955598</v>
      </c>
      <c r="BS358" s="6">
        <v>4.1611199475479896</v>
      </c>
      <c r="BT358" s="6">
        <v>5.3512342006532201</v>
      </c>
      <c r="BU358" s="6">
        <v>65.444810043588603</v>
      </c>
      <c r="BV358" s="6">
        <v>78.545670887920295</v>
      </c>
      <c r="BW358" s="6">
        <v>89.044572066876299</v>
      </c>
      <c r="BX358" s="6">
        <v>94.027513021939995</v>
      </c>
      <c r="BY358" s="6" t="str">
        <f>TRIM(Table1[[#This Row],[LA_Name]])</f>
        <v>Mendip</v>
      </c>
      <c r="BZ358" s="6">
        <v>73.102738271390805</v>
      </c>
      <c r="CA358" s="7">
        <v>0</v>
      </c>
      <c r="CB358" s="7">
        <v>6.5662145918577997E-2</v>
      </c>
      <c r="CC358" s="7">
        <v>0.39268585859812299</v>
      </c>
      <c r="CD358" s="7">
        <v>0.84178191134153302</v>
      </c>
      <c r="CE358" s="7">
        <v>0</v>
      </c>
      <c r="CF358" s="7">
        <v>6.5662145918577997</v>
      </c>
      <c r="CG358" s="7">
        <v>26.206578356260898</v>
      </c>
      <c r="CH358" s="7">
        <v>31.176163475431299</v>
      </c>
      <c r="CI358" s="7">
        <v>84.3318541583035</v>
      </c>
      <c r="CJ358" s="7">
        <v>0</v>
      </c>
      <c r="CK358" s="7">
        <v>0</v>
      </c>
      <c r="CL358" s="7">
        <v>4.7073250689039697E-2</v>
      </c>
      <c r="CM358" s="7">
        <v>0.50815313072934998</v>
      </c>
      <c r="CN358" s="7">
        <v>0</v>
      </c>
      <c r="CO358" s="7">
        <v>0</v>
      </c>
      <c r="CP358" s="7">
        <v>3.6085040249632701</v>
      </c>
      <c r="CQ358" s="7">
        <v>29.072012238802301</v>
      </c>
      <c r="CR358" s="6">
        <v>32.928752750458301</v>
      </c>
      <c r="CS358" s="6">
        <v>0</v>
      </c>
      <c r="CT358" s="6">
        <v>1.0705309551851001</v>
      </c>
      <c r="CU358" s="6">
        <v>4.0119231189519304</v>
      </c>
      <c r="CV358" s="6">
        <v>9.2737096441276794</v>
      </c>
      <c r="CW358" s="6">
        <v>0</v>
      </c>
      <c r="CX358" s="6">
        <v>36.320588628112802</v>
      </c>
      <c r="CY358" s="6">
        <v>85.198091329634195</v>
      </c>
      <c r="CZ358" s="6">
        <v>100</v>
      </c>
      <c r="DA358" s="9">
        <v>119.729038282573</v>
      </c>
      <c r="DB358" s="9">
        <v>0</v>
      </c>
      <c r="DC358" s="9">
        <v>0</v>
      </c>
      <c r="DD358" s="9">
        <v>0</v>
      </c>
      <c r="DE358" s="9">
        <v>0</v>
      </c>
      <c r="DF358" s="9">
        <v>0</v>
      </c>
      <c r="DG358" s="9">
        <v>0</v>
      </c>
      <c r="DH358" s="9">
        <v>0</v>
      </c>
      <c r="DI358" s="9">
        <v>0</v>
      </c>
    </row>
    <row r="359" spans="1:113">
      <c r="A359" s="5" t="s">
        <v>759</v>
      </c>
      <c r="B359" s="5" t="s">
        <v>834</v>
      </c>
      <c r="C359" s="5" t="s">
        <v>835</v>
      </c>
      <c r="D359" s="6">
        <v>87704</v>
      </c>
      <c r="E359" s="6">
        <v>13.272923512883001</v>
      </c>
      <c r="F359" s="6">
        <v>1.0944882787558201</v>
      </c>
      <c r="G359" s="6">
        <v>4.9511424792483796</v>
      </c>
      <c r="H359" s="6">
        <v>8.0631328103621307</v>
      </c>
      <c r="I359" s="6">
        <v>9.4358410106722594</v>
      </c>
      <c r="J359" s="6">
        <v>67.329882331478601</v>
      </c>
      <c r="K359" s="6">
        <v>94.467755176502806</v>
      </c>
      <c r="L359" s="6">
        <v>98.384338228587097</v>
      </c>
      <c r="M359" s="6">
        <v>99.174496032107996</v>
      </c>
      <c r="N359" s="6">
        <v>10.9249072794843</v>
      </c>
      <c r="O359" s="6">
        <v>2.2967253489008499</v>
      </c>
      <c r="P359" s="6">
        <v>6.4482919821216802</v>
      </c>
      <c r="Q359" s="6">
        <v>8.7236728085378097</v>
      </c>
      <c r="R359" s="6">
        <v>10</v>
      </c>
      <c r="S359" s="6">
        <v>78.144668430174207</v>
      </c>
      <c r="T359" s="6">
        <v>99.783362218370897</v>
      </c>
      <c r="U359" s="6">
        <v>100</v>
      </c>
      <c r="V359" s="6">
        <v>100</v>
      </c>
      <c r="W359" s="6">
        <v>7.88820201810951</v>
      </c>
      <c r="X359" s="6">
        <v>5.9785186536532002</v>
      </c>
      <c r="Y359" s="6">
        <v>10</v>
      </c>
      <c r="Z359" s="6">
        <v>10</v>
      </c>
      <c r="AA359" s="6">
        <v>10</v>
      </c>
      <c r="AB359" s="6">
        <v>99.783362218370897</v>
      </c>
      <c r="AC359" s="6">
        <v>100</v>
      </c>
      <c r="AD359" s="6">
        <v>100</v>
      </c>
      <c r="AE359" s="6">
        <v>100</v>
      </c>
      <c r="AF359" s="6">
        <v>18.1803360424727</v>
      </c>
      <c r="AG359" s="6">
        <v>0.90071148408282398</v>
      </c>
      <c r="AH359" s="6">
        <v>2.2720172398066198</v>
      </c>
      <c r="AI359" s="6">
        <v>4.0545471130165103</v>
      </c>
      <c r="AJ359" s="6">
        <v>5.4154542552221097</v>
      </c>
      <c r="AK359" s="6">
        <v>59.908328012405399</v>
      </c>
      <c r="AL359" s="6">
        <v>77.800328377268997</v>
      </c>
      <c r="AM359" s="6">
        <v>93.743728906321294</v>
      </c>
      <c r="AN359" s="6">
        <v>97.260102161817002</v>
      </c>
      <c r="AO359" s="6">
        <v>14.0513897843674</v>
      </c>
      <c r="AP359" s="6">
        <v>1.30699854054547</v>
      </c>
      <c r="AQ359" s="6">
        <v>5.73491516920551</v>
      </c>
      <c r="AR359" s="6">
        <v>8.6571650095776693</v>
      </c>
      <c r="AS359" s="6">
        <v>9.6102230228951893</v>
      </c>
      <c r="AT359" s="6">
        <v>63.275335218462097</v>
      </c>
      <c r="AU359" s="6">
        <v>94.744823497217894</v>
      </c>
      <c r="AV359" s="6">
        <v>98.143756271093693</v>
      </c>
      <c r="AW359" s="6">
        <v>99.213262793031106</v>
      </c>
      <c r="AX359" s="6">
        <v>12.2907628844029</v>
      </c>
      <c r="AY359" s="6">
        <v>2.9931017969533902</v>
      </c>
      <c r="AZ359" s="6">
        <v>6.6761721244184997</v>
      </c>
      <c r="BA359" s="6">
        <v>9.2068434735017792</v>
      </c>
      <c r="BB359" s="6">
        <v>9.9980616619538392</v>
      </c>
      <c r="BC359" s="6">
        <v>76.478837909331403</v>
      </c>
      <c r="BD359" s="6">
        <v>95.812049621453994</v>
      </c>
      <c r="BE359" s="6">
        <v>100</v>
      </c>
      <c r="BF359" s="6">
        <v>100</v>
      </c>
      <c r="BG359" s="6">
        <v>8.3708357566857696</v>
      </c>
      <c r="BH359" s="6">
        <v>6.21424336404269</v>
      </c>
      <c r="BI359" s="6">
        <v>10</v>
      </c>
      <c r="BJ359" s="6">
        <v>10</v>
      </c>
      <c r="BK359" s="6">
        <v>10</v>
      </c>
      <c r="BL359" s="6">
        <v>96.030967800784495</v>
      </c>
      <c r="BM359" s="6">
        <v>100</v>
      </c>
      <c r="BN359" s="6">
        <v>100</v>
      </c>
      <c r="BO359" s="6">
        <v>100</v>
      </c>
      <c r="BP359" s="6">
        <v>22.906912944681899</v>
      </c>
      <c r="BQ359" s="6">
        <v>1.0275244002554</v>
      </c>
      <c r="BR359" s="6">
        <v>2.9963627656663299</v>
      </c>
      <c r="BS359" s="6">
        <v>4.4382582322357003</v>
      </c>
      <c r="BT359" s="6">
        <v>5.2414827145854197</v>
      </c>
      <c r="BU359" s="6">
        <v>54.298549667061899</v>
      </c>
      <c r="BV359" s="6">
        <v>74.603210799963506</v>
      </c>
      <c r="BW359" s="6">
        <v>84.822813098604399</v>
      </c>
      <c r="BX359" s="6">
        <v>90.307169570373105</v>
      </c>
      <c r="BY359" s="6" t="str">
        <f>TRIM(Table1[[#This Row],[LA_Name]])</f>
        <v>Sedgemoor</v>
      </c>
      <c r="BZ359" s="6">
        <v>46.388503443865297</v>
      </c>
      <c r="CA359" s="7">
        <v>5.60635774879139E-2</v>
      </c>
      <c r="CB359" s="7">
        <v>0.249737754264344</v>
      </c>
      <c r="CC359" s="7">
        <v>0.62485177414941195</v>
      </c>
      <c r="CD359" s="7">
        <v>1.29766031195841</v>
      </c>
      <c r="CE359" s="7">
        <v>5.6063577487913898</v>
      </c>
      <c r="CF359" s="7">
        <v>24.973775426434401</v>
      </c>
      <c r="CG359" s="7">
        <v>55.306485451062699</v>
      </c>
      <c r="CH359" s="7">
        <v>71.846209979020301</v>
      </c>
      <c r="CI359" s="7">
        <v>43.886529204473099</v>
      </c>
      <c r="CJ359" s="7">
        <v>0.150403630393141</v>
      </c>
      <c r="CK359" s="7">
        <v>0.45436924199580397</v>
      </c>
      <c r="CL359" s="7">
        <v>0.573611237799872</v>
      </c>
      <c r="CM359" s="7">
        <v>0.78517513454346399</v>
      </c>
      <c r="CN359" s="7">
        <v>15.0403630393141</v>
      </c>
      <c r="CO359" s="7">
        <v>45.436924199580403</v>
      </c>
      <c r="CP359" s="7">
        <v>56.365730183343999</v>
      </c>
      <c r="CQ359" s="7">
        <v>68.627428623552007</v>
      </c>
      <c r="CR359" s="6">
        <v>21.0941484805866</v>
      </c>
      <c r="CS359" s="6">
        <v>0.39936604943902199</v>
      </c>
      <c r="CT359" s="6">
        <v>1.3470537261698401</v>
      </c>
      <c r="CU359" s="6">
        <v>5.9655773966979799</v>
      </c>
      <c r="CV359" s="6">
        <v>9.8240331113746198</v>
      </c>
      <c r="CW359" s="6">
        <v>39.936604943902204</v>
      </c>
      <c r="CX359" s="6">
        <v>78.510672261242405</v>
      </c>
      <c r="CY359" s="6">
        <v>99.156252850497097</v>
      </c>
      <c r="CZ359" s="6">
        <v>100</v>
      </c>
      <c r="DA359" s="9">
        <v>79.438259550529693</v>
      </c>
      <c r="DB359" s="9">
        <v>5.60635774879139E-2</v>
      </c>
      <c r="DC359" s="9">
        <v>0.154040864726808</v>
      </c>
      <c r="DD359" s="9">
        <v>0.32043008300647602</v>
      </c>
      <c r="DE359" s="9">
        <v>0.42149730913071198</v>
      </c>
      <c r="DF359" s="9">
        <v>5.6063577487913898</v>
      </c>
      <c r="DG359" s="9">
        <v>15.404086472680801</v>
      </c>
      <c r="DH359" s="9">
        <v>32.0430083006476</v>
      </c>
      <c r="DI359" s="9">
        <v>42.149730913071203</v>
      </c>
    </row>
    <row r="360" spans="1:113">
      <c r="A360" s="5" t="s">
        <v>759</v>
      </c>
      <c r="B360" s="5" t="s">
        <v>836</v>
      </c>
      <c r="C360" s="5" t="s">
        <v>837</v>
      </c>
      <c r="D360" s="6">
        <v>118920</v>
      </c>
      <c r="E360" s="6">
        <v>17.896634934271798</v>
      </c>
      <c r="F360" s="6">
        <v>0.95391860073999302</v>
      </c>
      <c r="G360" s="6">
        <v>3.7631853346787798</v>
      </c>
      <c r="H360" s="6">
        <v>6.7925664312142597</v>
      </c>
      <c r="I360" s="6">
        <v>8.6079801547258707</v>
      </c>
      <c r="J360" s="6">
        <v>51.781870164816702</v>
      </c>
      <c r="K360" s="6">
        <v>84.9899091826438</v>
      </c>
      <c r="L360" s="6">
        <v>95.933400605448995</v>
      </c>
      <c r="M360" s="6">
        <v>97.719475277497494</v>
      </c>
      <c r="N360" s="6">
        <v>13.9633319589613</v>
      </c>
      <c r="O360" s="6">
        <v>2.1840060544904101</v>
      </c>
      <c r="P360" s="6">
        <v>5.7075512949882299</v>
      </c>
      <c r="Q360" s="6">
        <v>8.4431382441977796</v>
      </c>
      <c r="R360" s="6">
        <v>9.8057938109653495</v>
      </c>
      <c r="S360" s="6">
        <v>67.532795156407701</v>
      </c>
      <c r="T360" s="6">
        <v>90.444836865119399</v>
      </c>
      <c r="U360" s="6">
        <v>100</v>
      </c>
      <c r="V360" s="6">
        <v>100</v>
      </c>
      <c r="W360" s="6">
        <v>9.1338312322789506</v>
      </c>
      <c r="X360" s="6">
        <v>5.3925832492431898</v>
      </c>
      <c r="Y360" s="6">
        <v>9.9849562731247907</v>
      </c>
      <c r="Z360" s="6">
        <v>10</v>
      </c>
      <c r="AA360" s="6">
        <v>10</v>
      </c>
      <c r="AB360" s="6">
        <v>90.789606458123103</v>
      </c>
      <c r="AC360" s="6">
        <v>100</v>
      </c>
      <c r="AD360" s="6">
        <v>100</v>
      </c>
      <c r="AE360" s="6">
        <v>100</v>
      </c>
      <c r="AF360" s="6">
        <v>28.271623251175999</v>
      </c>
      <c r="AG360" s="6">
        <v>0.84768752102253597</v>
      </c>
      <c r="AH360" s="6">
        <v>2.1496552304069998</v>
      </c>
      <c r="AI360" s="6">
        <v>3.3024974772956601</v>
      </c>
      <c r="AJ360" s="6">
        <v>4.4892616885301004</v>
      </c>
      <c r="AK360" s="6">
        <v>48.373696602758201</v>
      </c>
      <c r="AL360" s="6">
        <v>66.789438277833796</v>
      </c>
      <c r="AM360" s="6">
        <v>79.318869828456101</v>
      </c>
      <c r="AN360" s="6">
        <v>85.352337706020805</v>
      </c>
      <c r="AO360" s="6">
        <v>15.6390771921837</v>
      </c>
      <c r="AP360" s="6">
        <v>1.18726875210225</v>
      </c>
      <c r="AQ360" s="6">
        <v>4.8220063908509898</v>
      </c>
      <c r="AR360" s="6">
        <v>7.8595274133871502</v>
      </c>
      <c r="AS360" s="6">
        <v>9.2045576858392195</v>
      </c>
      <c r="AT360" s="6">
        <v>61.521190716447997</v>
      </c>
      <c r="AU360" s="6">
        <v>87.752270433905096</v>
      </c>
      <c r="AV360" s="6">
        <v>95.739152371342101</v>
      </c>
      <c r="AW360" s="6">
        <v>97.681634712411693</v>
      </c>
      <c r="AX360" s="6">
        <v>12.406503207668299</v>
      </c>
      <c r="AY360" s="6">
        <v>2.5787167843928702</v>
      </c>
      <c r="AZ360" s="6">
        <v>5.6391103262697602</v>
      </c>
      <c r="BA360" s="6">
        <v>8.7456945845946894</v>
      </c>
      <c r="BB360" s="6">
        <v>9.83185334678776</v>
      </c>
      <c r="BC360" s="6">
        <v>68.586444668684805</v>
      </c>
      <c r="BD360" s="6">
        <v>97.894382778338397</v>
      </c>
      <c r="BE360" s="6">
        <v>100</v>
      </c>
      <c r="BF360" s="6">
        <v>100</v>
      </c>
      <c r="BG360" s="6">
        <v>8.39242288944018</v>
      </c>
      <c r="BH360" s="6">
        <v>5.3545745038681503</v>
      </c>
      <c r="BI360" s="6">
        <v>9.9863101244534107</v>
      </c>
      <c r="BJ360" s="6">
        <v>10</v>
      </c>
      <c r="BK360" s="6">
        <v>10</v>
      </c>
      <c r="BL360" s="6">
        <v>97.726202489068299</v>
      </c>
      <c r="BM360" s="6">
        <v>100</v>
      </c>
      <c r="BN360" s="6">
        <v>100</v>
      </c>
      <c r="BO360" s="6">
        <v>100</v>
      </c>
      <c r="BP360" s="6">
        <v>23.855671056963299</v>
      </c>
      <c r="BQ360" s="6">
        <v>0.97544567776656599</v>
      </c>
      <c r="BR360" s="6">
        <v>2.5134207870837502</v>
      </c>
      <c r="BS360" s="6">
        <v>3.7134207870837499</v>
      </c>
      <c r="BT360" s="6">
        <v>4.6563067608476301</v>
      </c>
      <c r="BU360" s="6">
        <v>57.110662630339696</v>
      </c>
      <c r="BV360" s="6">
        <v>66.833165153044106</v>
      </c>
      <c r="BW360" s="6">
        <v>77.959132189707404</v>
      </c>
      <c r="BX360" s="6">
        <v>88.867305751765898</v>
      </c>
      <c r="BY360" s="6" t="str">
        <f>TRIM(Table1[[#This Row],[LA_Name]])</f>
        <v>South Somerset</v>
      </c>
      <c r="BZ360" s="6">
        <v>46.521374564591099</v>
      </c>
      <c r="CA360" s="7">
        <v>0.13030608812647199</v>
      </c>
      <c r="CB360" s="7">
        <v>0.54988227379751098</v>
      </c>
      <c r="CC360" s="7">
        <v>0.90728220652539504</v>
      </c>
      <c r="CD360" s="7">
        <v>1.4932727884292001</v>
      </c>
      <c r="CE360" s="7">
        <v>11.1385805583586</v>
      </c>
      <c r="CF360" s="7">
        <v>35.808947191389201</v>
      </c>
      <c r="CG360" s="7">
        <v>52.774974772956597</v>
      </c>
      <c r="CH360" s="7">
        <v>78.083585603767204</v>
      </c>
      <c r="CI360" s="7">
        <v>50.3777684872815</v>
      </c>
      <c r="CJ360" s="7">
        <v>0.28837033299697301</v>
      </c>
      <c r="CK360" s="7">
        <v>0.67245206861755802</v>
      </c>
      <c r="CL360" s="7">
        <v>0.77686680121089802</v>
      </c>
      <c r="CM360" s="7">
        <v>1.0598721829801501</v>
      </c>
      <c r="CN360" s="7">
        <v>20.2438614194416</v>
      </c>
      <c r="CO360" s="7">
        <v>34.204507231752402</v>
      </c>
      <c r="CP360" s="7">
        <v>39.738479650184999</v>
      </c>
      <c r="CQ360" s="7">
        <v>56.640598721829797</v>
      </c>
      <c r="CR360" s="6">
        <v>21.979154172699101</v>
      </c>
      <c r="CS360" s="6">
        <v>0.644584594685503</v>
      </c>
      <c r="CT360" s="6">
        <v>1.46990413723512</v>
      </c>
      <c r="CU360" s="6">
        <v>3.29644298688194</v>
      </c>
      <c r="CV360" s="6">
        <v>8.18606626303397</v>
      </c>
      <c r="CW360" s="6">
        <v>34.132189707366301</v>
      </c>
      <c r="CX360" s="6">
        <v>72.956609485368304</v>
      </c>
      <c r="CY360" s="6">
        <v>100</v>
      </c>
      <c r="CZ360" s="6">
        <v>100</v>
      </c>
      <c r="DA360" s="9">
        <v>88.332456447778995</v>
      </c>
      <c r="DB360" s="9">
        <v>8.6234443323242496E-2</v>
      </c>
      <c r="DC360" s="9">
        <v>0.27125798856374</v>
      </c>
      <c r="DD360" s="9">
        <v>0.52605112680793797</v>
      </c>
      <c r="DE360" s="9">
        <v>0.63181971072990295</v>
      </c>
      <c r="DF360" s="9">
        <v>7.6950891355533102</v>
      </c>
      <c r="DG360" s="9">
        <v>19.4315506222671</v>
      </c>
      <c r="DH360" s="9">
        <v>30.0176589303734</v>
      </c>
      <c r="DI360" s="9">
        <v>32.533636057853997</v>
      </c>
    </row>
    <row r="361" spans="1:113">
      <c r="A361" s="5" t="s">
        <v>759</v>
      </c>
      <c r="B361" s="5" t="s">
        <v>838</v>
      </c>
      <c r="C361" s="5" t="s">
        <v>839</v>
      </c>
      <c r="D361" s="6">
        <v>84933</v>
      </c>
      <c r="E361" s="6">
        <v>15.655202912084</v>
      </c>
      <c r="F361" s="6">
        <v>1.24700646391862</v>
      </c>
      <c r="G361" s="6">
        <v>4.9172641964842896</v>
      </c>
      <c r="H361" s="6">
        <v>8.0335087657329893</v>
      </c>
      <c r="I361" s="6">
        <v>9.2323243026856492</v>
      </c>
      <c r="J361" s="6">
        <v>56.962546948771397</v>
      </c>
      <c r="K361" s="6">
        <v>89.866129772879802</v>
      </c>
      <c r="L361" s="6">
        <v>96.8316202182897</v>
      </c>
      <c r="M361" s="6">
        <v>98.5223646874595</v>
      </c>
      <c r="N361" s="6">
        <v>11.987992328457899</v>
      </c>
      <c r="O361" s="6">
        <v>3.2512333250915399</v>
      </c>
      <c r="P361" s="6">
        <v>7.4341657541827102</v>
      </c>
      <c r="Q361" s="6">
        <v>8.9796074552882903</v>
      </c>
      <c r="R361" s="6">
        <v>9.9121189643601397</v>
      </c>
      <c r="S361" s="6">
        <v>81.089800195448205</v>
      </c>
      <c r="T361" s="6">
        <v>95.897943084548999</v>
      </c>
      <c r="U361" s="6">
        <v>99.758633275640804</v>
      </c>
      <c r="V361" s="6">
        <v>100</v>
      </c>
      <c r="W361" s="6">
        <v>8.4204153670264006</v>
      </c>
      <c r="X361" s="6">
        <v>7.1366606619335196</v>
      </c>
      <c r="Y361" s="6">
        <v>9.9779826451438201</v>
      </c>
      <c r="Z361" s="6">
        <v>10</v>
      </c>
      <c r="AA361" s="6">
        <v>10</v>
      </c>
      <c r="AB361" s="6">
        <v>95.897943084548999</v>
      </c>
      <c r="AC361" s="6">
        <v>100</v>
      </c>
      <c r="AD361" s="6">
        <v>100</v>
      </c>
      <c r="AE361" s="6">
        <v>100</v>
      </c>
      <c r="AF361" s="6">
        <v>21.501067943794101</v>
      </c>
      <c r="AG361" s="6">
        <v>1.1087798617733999</v>
      </c>
      <c r="AH361" s="6">
        <v>3.17872911589135</v>
      </c>
      <c r="AI361" s="6">
        <v>5.3796992923834104</v>
      </c>
      <c r="AJ361" s="6">
        <v>6.8432175950455099</v>
      </c>
      <c r="AK361" s="6">
        <v>53.077131385915997</v>
      </c>
      <c r="AL361" s="6">
        <v>82.373164729845897</v>
      </c>
      <c r="AM361" s="6">
        <v>88.014081687918704</v>
      </c>
      <c r="AN361" s="6">
        <v>91.998398737828694</v>
      </c>
      <c r="AO361" s="6">
        <v>13.078419530744</v>
      </c>
      <c r="AP361" s="6">
        <v>1.73877056032402</v>
      </c>
      <c r="AQ361" s="6">
        <v>7.2153933100208398</v>
      </c>
      <c r="AR361" s="6">
        <v>9.1334345896176998</v>
      </c>
      <c r="AS361" s="6">
        <v>9.6315566387623193</v>
      </c>
      <c r="AT361" s="6">
        <v>74.436320393722099</v>
      </c>
      <c r="AU361" s="6">
        <v>91.933641811781101</v>
      </c>
      <c r="AV361" s="6">
        <v>96.779814677451597</v>
      </c>
      <c r="AW361" s="6">
        <v>98.313965125451801</v>
      </c>
      <c r="AX361" s="6">
        <v>11.113365946251401</v>
      </c>
      <c r="AY361" s="6">
        <v>4.8381901027868999</v>
      </c>
      <c r="AZ361" s="6">
        <v>8.2196790411265308</v>
      </c>
      <c r="BA361" s="6">
        <v>9.5747236056656408</v>
      </c>
      <c r="BB361" s="6">
        <v>10</v>
      </c>
      <c r="BC361" s="6">
        <v>81.399456041821196</v>
      </c>
      <c r="BD361" s="6">
        <v>96.358305958814597</v>
      </c>
      <c r="BE361" s="6">
        <v>99.772762059505695</v>
      </c>
      <c r="BF361" s="6">
        <v>100</v>
      </c>
      <c r="BG361" s="6">
        <v>8.2029152246005701</v>
      </c>
      <c r="BH361" s="6">
        <v>7.8448777271496404</v>
      </c>
      <c r="BI361" s="6">
        <v>10</v>
      </c>
      <c r="BJ361" s="6">
        <v>10</v>
      </c>
      <c r="BK361" s="6">
        <v>10</v>
      </c>
      <c r="BL361" s="6">
        <v>94.641658719225703</v>
      </c>
      <c r="BM361" s="6">
        <v>100</v>
      </c>
      <c r="BN361" s="6">
        <v>100</v>
      </c>
      <c r="BO361" s="6">
        <v>100</v>
      </c>
      <c r="BP361" s="6">
        <v>18.736868911501901</v>
      </c>
      <c r="BQ361" s="6">
        <v>1.49555532007582</v>
      </c>
      <c r="BR361" s="6">
        <v>4.8999328882766404</v>
      </c>
      <c r="BS361" s="6">
        <v>6.7504385809991403</v>
      </c>
      <c r="BT361" s="6">
        <v>7.5360696078085097</v>
      </c>
      <c r="BU361" s="6">
        <v>69.318168438651597</v>
      </c>
      <c r="BV361" s="6">
        <v>82.009348545324002</v>
      </c>
      <c r="BW361" s="6">
        <v>87.919889795485801</v>
      </c>
      <c r="BX361" s="6">
        <v>92.631839214439594</v>
      </c>
      <c r="BY361" s="6" t="str">
        <f>TRIM(Table1[[#This Row],[LA_Name]])</f>
        <v>Taunton Deane</v>
      </c>
      <c r="BZ361" s="6">
        <v>30.445704252883399</v>
      </c>
      <c r="CA361" s="11">
        <v>0.179082335487973</v>
      </c>
      <c r="CB361" s="11">
        <v>0.96347709370915902</v>
      </c>
      <c r="CC361" s="11">
        <v>1.77187901051417</v>
      </c>
      <c r="CD361" s="11">
        <v>2.5407792024301501</v>
      </c>
      <c r="CE361" s="11">
        <v>16.554225095074901</v>
      </c>
      <c r="CF361" s="11">
        <v>58.905254730199097</v>
      </c>
      <c r="CG361" s="11">
        <v>86.855521410994598</v>
      </c>
      <c r="CH361" s="11">
        <v>93.377132563314603</v>
      </c>
      <c r="CI361" s="11">
        <v>24.984392057585701</v>
      </c>
      <c r="CJ361" s="11">
        <v>0.62936667726325501</v>
      </c>
      <c r="CK361" s="11">
        <v>1.3192987413608399</v>
      </c>
      <c r="CL361" s="11">
        <v>1.62053618734767</v>
      </c>
      <c r="CM361" s="11">
        <v>1.95648334569602</v>
      </c>
      <c r="CN361" s="11">
        <v>43.560218054231001</v>
      </c>
      <c r="CO361" s="11">
        <v>67.181189879081202</v>
      </c>
      <c r="CP361" s="11">
        <v>86.085502690355895</v>
      </c>
      <c r="CQ361" s="11">
        <v>96.277065451591298</v>
      </c>
      <c r="CR361" s="11">
        <v>14.215887912168901</v>
      </c>
      <c r="CS361" s="11">
        <v>1.19186888488573</v>
      </c>
      <c r="CT361" s="11">
        <v>2.16392921479284</v>
      </c>
      <c r="CU361" s="11">
        <v>6.6252222339962099</v>
      </c>
      <c r="CV361" s="11">
        <v>9.9338184215793603</v>
      </c>
      <c r="CW361" s="6">
        <v>62.596399514911802</v>
      </c>
      <c r="CX361" s="10">
        <v>96.580834304687201</v>
      </c>
      <c r="CY361" s="12">
        <v>100</v>
      </c>
      <c r="CZ361" s="12">
        <v>100</v>
      </c>
      <c r="DA361" s="9">
        <v>56.998096483913699</v>
      </c>
      <c r="DB361" s="9">
        <v>0.15803044752922901</v>
      </c>
      <c r="DC361" s="9">
        <v>0.57944497427383901</v>
      </c>
      <c r="DD361" s="9">
        <v>1.0194977217336001</v>
      </c>
      <c r="DE361" s="9">
        <v>1.1777165530477001</v>
      </c>
      <c r="DF361" s="9">
        <v>14.572663158018701</v>
      </c>
      <c r="DG361" s="9">
        <v>42.064921761859303</v>
      </c>
      <c r="DH361" s="9">
        <v>55.410735520940001</v>
      </c>
      <c r="DI361" s="9">
        <v>61.792236233266202</v>
      </c>
    </row>
    <row r="362" spans="1:113" ht="15" thickBot="1">
      <c r="A362" s="13" t="s">
        <v>759</v>
      </c>
      <c r="B362" s="13" t="s">
        <v>840</v>
      </c>
      <c r="C362" s="14" t="s">
        <v>841</v>
      </c>
      <c r="D362" s="15">
        <v>24610</v>
      </c>
      <c r="E362" s="16">
        <v>21.349009207844102</v>
      </c>
      <c r="F362" s="16">
        <v>0.62230800487606697</v>
      </c>
      <c r="G362" s="16">
        <v>2.77992685900041</v>
      </c>
      <c r="H362" s="16">
        <v>5.2529459569280803</v>
      </c>
      <c r="I362" s="16">
        <v>7.1744412840308804</v>
      </c>
      <c r="J362" s="16">
        <v>54.847622917513199</v>
      </c>
      <c r="K362" s="16">
        <v>80.808614384396606</v>
      </c>
      <c r="L362" s="16">
        <v>88.927265339293001</v>
      </c>
      <c r="M362" s="16">
        <v>93.246647704185307</v>
      </c>
      <c r="N362" s="16">
        <v>15.5232917633932</v>
      </c>
      <c r="O362" s="16">
        <v>1.05323039414872</v>
      </c>
      <c r="P362" s="16">
        <v>2.6130028443722102</v>
      </c>
      <c r="Q362" s="16">
        <v>4.6980902072328297</v>
      </c>
      <c r="R362" s="16">
        <v>7.26204794798862</v>
      </c>
      <c r="S362" s="16">
        <v>72.210483543275103</v>
      </c>
      <c r="T362" s="16">
        <v>87.346607070296599</v>
      </c>
      <c r="U362" s="16">
        <v>95.075172694026804</v>
      </c>
      <c r="V362" s="16">
        <v>99.553027224705403</v>
      </c>
      <c r="W362" s="16">
        <v>9.6734128502315304</v>
      </c>
      <c r="X362" s="16">
        <v>2.4170662332385202</v>
      </c>
      <c r="Y362" s="16">
        <v>7.8969524583502597</v>
      </c>
      <c r="Z362" s="16">
        <v>9.9804144656643601</v>
      </c>
      <c r="AA362" s="16">
        <v>10</v>
      </c>
      <c r="AB362" s="16">
        <v>83.969930922389295</v>
      </c>
      <c r="AC362" s="16">
        <v>100</v>
      </c>
      <c r="AD362" s="16">
        <v>100</v>
      </c>
      <c r="AE362" s="16">
        <v>100</v>
      </c>
      <c r="AF362" s="6">
        <v>32.1212644269824</v>
      </c>
      <c r="AG362" s="6">
        <v>0.48049573344169</v>
      </c>
      <c r="AH362" s="6">
        <v>0.983827712312068</v>
      </c>
      <c r="AI362" s="6">
        <v>1.2970337261275899</v>
      </c>
      <c r="AJ362" s="6">
        <v>1.8398212108898799</v>
      </c>
      <c r="AK362" s="6">
        <v>47.314099959366096</v>
      </c>
      <c r="AL362" s="6">
        <v>69.492076391710697</v>
      </c>
      <c r="AM362" s="6">
        <v>74.928890694839495</v>
      </c>
      <c r="AN362" s="6">
        <v>79.910605444941098</v>
      </c>
      <c r="AO362" s="16">
        <v>24.296608928869201</v>
      </c>
      <c r="AP362" s="16">
        <v>0.82153596099146697</v>
      </c>
      <c r="AQ362" s="16">
        <v>2.2748069890288498</v>
      </c>
      <c r="AR362" s="16">
        <v>3.8817553839902499</v>
      </c>
      <c r="AS362" s="16">
        <v>5.8729378301503496</v>
      </c>
      <c r="AT362" s="16">
        <v>43.262901259650498</v>
      </c>
      <c r="AU362" s="16">
        <v>80.117838277123099</v>
      </c>
      <c r="AV362" s="16">
        <v>87.899227956115396</v>
      </c>
      <c r="AW362" s="16">
        <v>89.695245835026398</v>
      </c>
      <c r="AX362" s="16">
        <v>17.494484254820801</v>
      </c>
      <c r="AY362" s="16">
        <v>1.46298252742787</v>
      </c>
      <c r="AZ362" s="16">
        <v>2.18549370174726</v>
      </c>
      <c r="BA362" s="16">
        <v>3.13941487200325</v>
      </c>
      <c r="BB362" s="16">
        <v>5.0665989435188896</v>
      </c>
      <c r="BC362" s="16">
        <v>53.039414872003299</v>
      </c>
      <c r="BD362" s="16">
        <v>86.241365298659105</v>
      </c>
      <c r="BE362" s="16">
        <v>96.164160910199101</v>
      </c>
      <c r="BF362" s="16">
        <v>100</v>
      </c>
      <c r="BG362" s="16">
        <v>10.5247176089359</v>
      </c>
      <c r="BH362" s="16">
        <v>2.0993904916700501</v>
      </c>
      <c r="BI362" s="16">
        <v>5.6231206826493301</v>
      </c>
      <c r="BJ362" s="16">
        <v>8.5852092645266094</v>
      </c>
      <c r="BK362" s="16">
        <v>9.9934579439252307</v>
      </c>
      <c r="BL362" s="16">
        <v>83.969930922389295</v>
      </c>
      <c r="BM362" s="16">
        <v>100</v>
      </c>
      <c r="BN362" s="16">
        <v>100</v>
      </c>
      <c r="BO362" s="16">
        <v>100</v>
      </c>
      <c r="BP362" s="6">
        <v>39.6858523604566</v>
      </c>
      <c r="BQ362" s="6">
        <v>0.71093051605038604</v>
      </c>
      <c r="BR362" s="6">
        <v>1.4065014221861001</v>
      </c>
      <c r="BS362" s="6">
        <v>1.6241771637545701</v>
      </c>
      <c r="BT362" s="6">
        <v>1.8501828524989801</v>
      </c>
      <c r="BU362" s="6">
        <v>40.735473384802901</v>
      </c>
      <c r="BV362" s="6">
        <v>52.052011377488803</v>
      </c>
      <c r="BW362" s="6">
        <v>58.585940674522597</v>
      </c>
      <c r="BX362" s="6">
        <v>74.473791141812299</v>
      </c>
      <c r="BY362" s="6" t="str">
        <f>TRIM(Table1[[#This Row],[LA_Name]])</f>
        <v>West Somerset</v>
      </c>
      <c r="BZ362" s="16">
        <v>91.940468181841098</v>
      </c>
      <c r="CA362" s="17">
        <v>0</v>
      </c>
      <c r="CB362" s="17">
        <v>0</v>
      </c>
      <c r="CC362" s="17">
        <v>0</v>
      </c>
      <c r="CD362" s="17">
        <v>6.57862657456319E-2</v>
      </c>
      <c r="CE362" s="17">
        <v>0</v>
      </c>
      <c r="CF362" s="17">
        <v>0</v>
      </c>
      <c r="CG362" s="17">
        <v>0</v>
      </c>
      <c r="CH362" s="17">
        <v>4.1690369768386804</v>
      </c>
      <c r="CI362" s="17">
        <v>110.60101229323899</v>
      </c>
      <c r="CJ362" s="17">
        <v>0</v>
      </c>
      <c r="CK362" s="17">
        <v>0</v>
      </c>
      <c r="CL362" s="17">
        <v>0</v>
      </c>
      <c r="CM362" s="17">
        <v>0</v>
      </c>
      <c r="CN362" s="17">
        <v>0</v>
      </c>
      <c r="CO362" s="17">
        <v>0</v>
      </c>
      <c r="CP362" s="17">
        <v>0</v>
      </c>
      <c r="CQ362" s="17">
        <v>0</v>
      </c>
      <c r="CR362" s="17">
        <v>55.143195495078501</v>
      </c>
      <c r="CS362" s="17">
        <v>0</v>
      </c>
      <c r="CT362" s="17">
        <v>0</v>
      </c>
      <c r="CU362" s="17">
        <v>0.36883380739536797</v>
      </c>
      <c r="CV362" s="17">
        <v>1.72710280373832</v>
      </c>
      <c r="CW362" s="16">
        <v>0</v>
      </c>
      <c r="CX362" s="18">
        <v>0</v>
      </c>
      <c r="CY362" s="19">
        <v>17.761072734660701</v>
      </c>
      <c r="CZ362" s="19">
        <v>56.818366517675699</v>
      </c>
      <c r="DA362" s="20">
        <v>120</v>
      </c>
      <c r="DB362" s="20">
        <v>0</v>
      </c>
      <c r="DC362" s="20">
        <v>0</v>
      </c>
      <c r="DD362" s="20">
        <v>0</v>
      </c>
      <c r="DE362" s="20">
        <v>0</v>
      </c>
      <c r="DF362" s="20">
        <v>0</v>
      </c>
      <c r="DG362" s="20">
        <v>0</v>
      </c>
      <c r="DH362" s="20">
        <v>0</v>
      </c>
      <c r="DI362" s="20">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4D1E-92C7-41B0-8289-6FE0BCCC5829}">
  <dimension ref="A1:J34"/>
  <sheetViews>
    <sheetView workbookViewId="0">
      <selection activeCell="C1" sqref="C1:C34"/>
    </sheetView>
  </sheetViews>
  <sheetFormatPr defaultRowHeight="14.5"/>
  <cols>
    <col min="1" max="1" width="9.81640625" bestFit="1" customWidth="1"/>
    <col min="2" max="2" width="20.7265625" bestFit="1" customWidth="1"/>
    <col min="3" max="3" width="7" bestFit="1" customWidth="1"/>
    <col min="4" max="6" width="7.08984375" bestFit="1" customWidth="1"/>
    <col min="7" max="7" width="7" bestFit="1" customWidth="1"/>
    <col min="8" max="8" width="6.90625" bestFit="1" customWidth="1"/>
    <col min="9" max="9" width="7.26953125" bestFit="1" customWidth="1"/>
    <col min="10" max="10" width="7.08984375" bestFit="1" customWidth="1"/>
  </cols>
  <sheetData>
    <row r="1" spans="1:10">
      <c r="A1" s="22" t="s">
        <v>843</v>
      </c>
      <c r="B1" s="22" t="s">
        <v>846</v>
      </c>
      <c r="C1" s="23" t="s">
        <v>847</v>
      </c>
      <c r="D1" s="23" t="s">
        <v>848</v>
      </c>
      <c r="E1" s="23" t="s">
        <v>849</v>
      </c>
      <c r="F1" s="23" t="s">
        <v>850</v>
      </c>
      <c r="G1" s="23" t="s">
        <v>851</v>
      </c>
      <c r="H1" s="23" t="s">
        <v>852</v>
      </c>
      <c r="I1" s="23" t="s">
        <v>853</v>
      </c>
      <c r="J1" s="23" t="s">
        <v>854</v>
      </c>
    </row>
    <row r="2" spans="1:10">
      <c r="A2" t="s">
        <v>545</v>
      </c>
      <c r="B2" t="s">
        <v>855</v>
      </c>
      <c r="C2" s="25">
        <v>811.92666666666673</v>
      </c>
      <c r="D2" s="25">
        <v>947.24777777777797</v>
      </c>
      <c r="E2" s="25">
        <v>1082.568888888889</v>
      </c>
      <c r="F2" s="25">
        <v>1217.8900000000001</v>
      </c>
      <c r="G2" s="25">
        <v>1488.5322222222223</v>
      </c>
      <c r="H2" s="25">
        <v>1759.1744444444446</v>
      </c>
      <c r="I2" s="25">
        <v>2029.8166666666668</v>
      </c>
      <c r="J2" s="25">
        <v>2435.7800000000002</v>
      </c>
    </row>
    <row r="3" spans="1:10">
      <c r="A3" t="s">
        <v>572</v>
      </c>
      <c r="B3" t="s">
        <v>856</v>
      </c>
      <c r="C3" s="25">
        <v>1335.1666666666667</v>
      </c>
      <c r="D3" s="25">
        <v>1557.6944444444443</v>
      </c>
      <c r="E3" s="25">
        <v>1780.2222222222222</v>
      </c>
      <c r="F3" s="25">
        <v>2002.75</v>
      </c>
      <c r="G3" s="25">
        <v>2447.8055555555557</v>
      </c>
      <c r="H3" s="25">
        <v>2892.8611111111113</v>
      </c>
      <c r="I3" s="25">
        <v>3337.9166666666665</v>
      </c>
      <c r="J3" s="25">
        <v>4005.5</v>
      </c>
    </row>
    <row r="4" spans="1:10">
      <c r="A4" t="s">
        <v>574</v>
      </c>
      <c r="B4" t="s">
        <v>857</v>
      </c>
      <c r="C4" s="25">
        <v>1295.4933333333333</v>
      </c>
      <c r="D4" s="25">
        <v>1511.4088888888889</v>
      </c>
      <c r="E4" s="25">
        <v>1727.3244444444445</v>
      </c>
      <c r="F4" s="25">
        <v>1943.24</v>
      </c>
      <c r="G4" s="25">
        <v>2375.0711111111109</v>
      </c>
      <c r="H4" s="25">
        <v>2806.902222222222</v>
      </c>
      <c r="I4" s="25">
        <v>3238.7333333333331</v>
      </c>
      <c r="J4" s="25">
        <v>3886.48</v>
      </c>
    </row>
    <row r="5" spans="1:10">
      <c r="A5" t="s">
        <v>576</v>
      </c>
      <c r="B5" t="s">
        <v>858</v>
      </c>
      <c r="C5" s="25">
        <v>1436.6933333333334</v>
      </c>
      <c r="D5" s="25">
        <v>1676.142222222222</v>
      </c>
      <c r="E5" s="25">
        <v>1915.5911111111111</v>
      </c>
      <c r="F5" s="25">
        <v>2155.04</v>
      </c>
      <c r="G5" s="25">
        <v>2633.9377777777777</v>
      </c>
      <c r="H5" s="25">
        <v>3112.8355555555554</v>
      </c>
      <c r="I5" s="25">
        <v>3591.7333333333331</v>
      </c>
      <c r="J5" s="25">
        <v>4310.08</v>
      </c>
    </row>
    <row r="6" spans="1:10">
      <c r="A6" t="s">
        <v>578</v>
      </c>
      <c r="B6" t="s">
        <v>859</v>
      </c>
      <c r="C6" s="25">
        <v>1357.3666666666666</v>
      </c>
      <c r="D6" s="25">
        <v>1583.5944444444444</v>
      </c>
      <c r="E6" s="25">
        <v>1809.8222222222221</v>
      </c>
      <c r="F6" s="25">
        <v>2036.05</v>
      </c>
      <c r="G6" s="25">
        <v>2488.5055555555555</v>
      </c>
      <c r="H6" s="25">
        <v>2940.9611111111108</v>
      </c>
      <c r="I6" s="25">
        <v>3393.4166666666665</v>
      </c>
      <c r="J6" s="25">
        <v>4072.1000000000004</v>
      </c>
    </row>
    <row r="7" spans="1:10">
      <c r="A7" t="s">
        <v>580</v>
      </c>
      <c r="B7" t="s">
        <v>860</v>
      </c>
      <c r="C7" s="25">
        <v>1299.8066666666666</v>
      </c>
      <c r="D7" s="25">
        <v>1516.4411111111112</v>
      </c>
      <c r="E7" s="25">
        <v>1733.0755555555556</v>
      </c>
      <c r="F7" s="25">
        <v>1949.71</v>
      </c>
      <c r="G7" s="25">
        <v>2382.9788888888888</v>
      </c>
      <c r="H7" s="25">
        <v>2816.2477777777776</v>
      </c>
      <c r="I7" s="25">
        <v>3249.5166666666669</v>
      </c>
      <c r="J7" s="25">
        <v>3899.42</v>
      </c>
    </row>
    <row r="8" spans="1:10">
      <c r="A8" t="s">
        <v>543</v>
      </c>
      <c r="B8" t="s">
        <v>861</v>
      </c>
      <c r="C8" s="25">
        <v>1340.58</v>
      </c>
      <c r="D8" s="25">
        <v>1564.01</v>
      </c>
      <c r="E8" s="25">
        <v>1787.4399999999998</v>
      </c>
      <c r="F8" s="25">
        <v>2010.87</v>
      </c>
      <c r="G8" s="25">
        <v>2457.73</v>
      </c>
      <c r="H8" s="25">
        <v>2904.5899999999997</v>
      </c>
      <c r="I8" s="25">
        <v>3351.45</v>
      </c>
      <c r="J8" s="25">
        <v>4021.74</v>
      </c>
    </row>
    <row r="9" spans="1:10">
      <c r="A9" t="s">
        <v>582</v>
      </c>
      <c r="B9" t="s">
        <v>862</v>
      </c>
      <c r="C9" s="25">
        <v>1577.9399999999998</v>
      </c>
      <c r="D9" s="25">
        <v>1840.9299999999998</v>
      </c>
      <c r="E9" s="25">
        <v>2103.92</v>
      </c>
      <c r="F9" s="25">
        <v>2366.91</v>
      </c>
      <c r="G9" s="25">
        <v>2892.89</v>
      </c>
      <c r="H9" s="25">
        <v>3418.87</v>
      </c>
      <c r="I9" s="25">
        <v>3944.8499999999995</v>
      </c>
      <c r="J9" s="25">
        <v>4733.82</v>
      </c>
    </row>
    <row r="10" spans="1:10">
      <c r="A10" t="s">
        <v>584</v>
      </c>
      <c r="B10" t="s">
        <v>863</v>
      </c>
      <c r="C10" s="25">
        <v>1298.8933333333332</v>
      </c>
      <c r="D10" s="25">
        <v>1515.3755555555554</v>
      </c>
      <c r="E10" s="25">
        <v>1731.8577777777778</v>
      </c>
      <c r="F10" s="25">
        <v>1948.34</v>
      </c>
      <c r="G10" s="25">
        <v>2381.304444444444</v>
      </c>
      <c r="H10" s="25">
        <v>2814.2688888888888</v>
      </c>
      <c r="I10" s="25">
        <v>3247.2333333333331</v>
      </c>
      <c r="J10" s="25">
        <v>3896.6799999999994</v>
      </c>
    </row>
    <row r="11" spans="1:10">
      <c r="A11" t="s">
        <v>586</v>
      </c>
      <c r="B11" t="s">
        <v>864</v>
      </c>
      <c r="C11" s="25">
        <v>1376.9866666666667</v>
      </c>
      <c r="D11" s="25">
        <v>1606.4844444444445</v>
      </c>
      <c r="E11" s="25">
        <v>1835.9822222222222</v>
      </c>
      <c r="F11" s="25">
        <v>2065.48</v>
      </c>
      <c r="G11" s="25">
        <v>2524.4755555555553</v>
      </c>
      <c r="H11" s="25">
        <v>2983.4711111111114</v>
      </c>
      <c r="I11" s="25">
        <v>3442.4666666666667</v>
      </c>
      <c r="J11" s="25">
        <v>4130.96</v>
      </c>
    </row>
    <row r="12" spans="1:10">
      <c r="A12" t="s">
        <v>588</v>
      </c>
      <c r="B12" t="s">
        <v>865</v>
      </c>
      <c r="C12" s="25">
        <v>1280.3533333333335</v>
      </c>
      <c r="D12" s="25">
        <v>1493.7455555555555</v>
      </c>
      <c r="E12" s="25">
        <v>1707.1377777777777</v>
      </c>
      <c r="F12" s="25">
        <v>1920.53</v>
      </c>
      <c r="G12" s="25">
        <v>2347.3144444444442</v>
      </c>
      <c r="H12" s="25">
        <v>2774.0988888888887</v>
      </c>
      <c r="I12" s="25">
        <v>3200.8833333333332</v>
      </c>
      <c r="J12" s="25">
        <v>3841.06</v>
      </c>
    </row>
    <row r="13" spans="1:10">
      <c r="A13" t="s">
        <v>547</v>
      </c>
      <c r="B13" t="s">
        <v>866</v>
      </c>
      <c r="C13" s="25">
        <v>1251.58</v>
      </c>
      <c r="D13" s="25">
        <v>1460.1766666666667</v>
      </c>
      <c r="E13" s="25">
        <v>1668.7733333333333</v>
      </c>
      <c r="F13" s="25">
        <v>1877.37</v>
      </c>
      <c r="G13" s="25">
        <v>2294.5633333333335</v>
      </c>
      <c r="H13" s="25">
        <v>2711.7566666666662</v>
      </c>
      <c r="I13" s="25">
        <v>3128.95</v>
      </c>
      <c r="J13" s="25">
        <v>3754.74</v>
      </c>
    </row>
    <row r="14" spans="1:10">
      <c r="A14" t="s">
        <v>549</v>
      </c>
      <c r="B14" t="s">
        <v>867</v>
      </c>
      <c r="C14" s="25">
        <v>924.51333333333321</v>
      </c>
      <c r="D14" s="25">
        <v>1078.5988888888887</v>
      </c>
      <c r="E14" s="25">
        <v>1232.6844444444444</v>
      </c>
      <c r="F14" s="25">
        <v>1386.77</v>
      </c>
      <c r="G14" s="25">
        <v>1694.941111111111</v>
      </c>
      <c r="H14" s="25">
        <v>2003.112222222222</v>
      </c>
      <c r="I14" s="25">
        <v>2311.2833333333333</v>
      </c>
      <c r="J14" s="25">
        <v>2773.54</v>
      </c>
    </row>
    <row r="15" spans="1:10">
      <c r="A15" t="s">
        <v>551</v>
      </c>
      <c r="B15" t="s">
        <v>868</v>
      </c>
      <c r="C15" s="25">
        <v>1404.88</v>
      </c>
      <c r="D15" s="25">
        <v>1639.0266666666669</v>
      </c>
      <c r="E15" s="25">
        <v>1873.1733333333334</v>
      </c>
      <c r="F15" s="25">
        <v>2107.3200000000002</v>
      </c>
      <c r="G15" s="25">
        <v>2575.6133333333332</v>
      </c>
      <c r="H15" s="25">
        <v>3043.9066666666672</v>
      </c>
      <c r="I15" s="25">
        <v>3512.2000000000003</v>
      </c>
      <c r="J15" s="25">
        <v>4214.6400000000003</v>
      </c>
    </row>
    <row r="16" spans="1:10">
      <c r="A16" t="s">
        <v>590</v>
      </c>
      <c r="B16" t="s">
        <v>869</v>
      </c>
      <c r="C16" s="25">
        <v>1524.2133333333336</v>
      </c>
      <c r="D16" s="25">
        <v>1778.248888888889</v>
      </c>
      <c r="E16" s="25">
        <v>2032.2844444444445</v>
      </c>
      <c r="F16" s="25">
        <v>2286.3200000000002</v>
      </c>
      <c r="G16" s="25">
        <v>2794.3911111111111</v>
      </c>
      <c r="H16" s="25">
        <v>3302.4622222222224</v>
      </c>
      <c r="I16" s="25">
        <v>3810.5333333333338</v>
      </c>
      <c r="J16" s="25">
        <v>4572.6400000000003</v>
      </c>
    </row>
    <row r="17" spans="1:10">
      <c r="A17" t="s">
        <v>592</v>
      </c>
      <c r="B17" t="s">
        <v>870</v>
      </c>
      <c r="C17" s="25">
        <v>1471.9466666666667</v>
      </c>
      <c r="D17" s="25">
        <v>1717.2711111111112</v>
      </c>
      <c r="E17" s="25">
        <v>1962.5955555555556</v>
      </c>
      <c r="F17" s="25">
        <v>2207.92</v>
      </c>
      <c r="G17" s="25">
        <v>2698.568888888889</v>
      </c>
      <c r="H17" s="25">
        <v>3189.2177777777779</v>
      </c>
      <c r="I17" s="25">
        <v>3679.8666666666668</v>
      </c>
      <c r="J17" s="25">
        <v>4415.84</v>
      </c>
    </row>
    <row r="18" spans="1:10">
      <c r="A18" t="s">
        <v>594</v>
      </c>
      <c r="B18" t="s">
        <v>871</v>
      </c>
      <c r="C18" s="25">
        <v>1242.6066666666668</v>
      </c>
      <c r="D18" s="25">
        <v>1449.7077777777779</v>
      </c>
      <c r="E18" s="25">
        <v>1656.808888888889</v>
      </c>
      <c r="F18" s="25">
        <v>1863.91</v>
      </c>
      <c r="G18" s="25">
        <v>2278.1122222222225</v>
      </c>
      <c r="H18" s="25">
        <v>2692.3144444444447</v>
      </c>
      <c r="I18" s="25">
        <v>3106.5166666666669</v>
      </c>
      <c r="J18" s="25">
        <v>3727.8200000000006</v>
      </c>
    </row>
    <row r="19" spans="1:10">
      <c r="A19" t="s">
        <v>596</v>
      </c>
      <c r="B19" t="s">
        <v>872</v>
      </c>
      <c r="C19" s="25">
        <v>1327.34</v>
      </c>
      <c r="D19" s="25">
        <v>1548.5633333333333</v>
      </c>
      <c r="E19" s="25">
        <v>1769.7866666666666</v>
      </c>
      <c r="F19" s="25">
        <v>1991.01</v>
      </c>
      <c r="G19" s="25">
        <v>2433.4566666666669</v>
      </c>
      <c r="H19" s="25">
        <v>2875.9033333333336</v>
      </c>
      <c r="I19" s="25">
        <v>3318.3500000000004</v>
      </c>
      <c r="J19" s="25">
        <v>3982.02</v>
      </c>
    </row>
    <row r="20" spans="1:10">
      <c r="A20" t="s">
        <v>553</v>
      </c>
      <c r="B20" t="s">
        <v>873</v>
      </c>
      <c r="C20" s="25">
        <v>1280.54</v>
      </c>
      <c r="D20" s="25">
        <v>1493.9633333333334</v>
      </c>
      <c r="E20" s="25">
        <v>1707.3866666666665</v>
      </c>
      <c r="F20" s="25">
        <v>1920.81</v>
      </c>
      <c r="G20" s="25">
        <v>2347.6566666666668</v>
      </c>
      <c r="H20" s="25">
        <v>2774.5033333333331</v>
      </c>
      <c r="I20" s="25">
        <v>3201.35</v>
      </c>
      <c r="J20" s="25">
        <v>3841.6200000000003</v>
      </c>
    </row>
    <row r="21" spans="1:10">
      <c r="A21" t="s">
        <v>555</v>
      </c>
      <c r="B21" t="s">
        <v>874</v>
      </c>
      <c r="C21" s="25">
        <v>1019.8999999999999</v>
      </c>
      <c r="D21" s="25">
        <v>1189.8833333333332</v>
      </c>
      <c r="E21" s="25">
        <v>1359.8666666666666</v>
      </c>
      <c r="F21" s="25">
        <v>1529.85</v>
      </c>
      <c r="G21" s="25">
        <v>1869.8166666666666</v>
      </c>
      <c r="H21" s="25">
        <v>2209.7833333333333</v>
      </c>
      <c r="I21" s="25">
        <v>2549.75</v>
      </c>
      <c r="J21" s="25">
        <v>3059.7</v>
      </c>
    </row>
    <row r="22" spans="1:10">
      <c r="A22" t="s">
        <v>598</v>
      </c>
      <c r="B22" t="s">
        <v>875</v>
      </c>
      <c r="C22" s="25">
        <v>1583.5666666666666</v>
      </c>
      <c r="D22" s="25">
        <v>1847.4944444444445</v>
      </c>
      <c r="E22" s="25">
        <v>2111.422222222222</v>
      </c>
      <c r="F22" s="25">
        <v>2375.35</v>
      </c>
      <c r="G22" s="25">
        <v>2903.2055555555553</v>
      </c>
      <c r="H22" s="25">
        <v>3431.0611111111111</v>
      </c>
      <c r="I22" s="25">
        <v>3958.9166666666665</v>
      </c>
      <c r="J22" s="25">
        <v>4750.7</v>
      </c>
    </row>
    <row r="23" spans="1:10">
      <c r="A23" t="s">
        <v>557</v>
      </c>
      <c r="B23" t="s">
        <v>876</v>
      </c>
      <c r="C23" s="25">
        <v>1243.6066666666668</v>
      </c>
      <c r="D23" s="25">
        <v>1450.8744444444446</v>
      </c>
      <c r="E23" s="25">
        <v>1658.1422222222222</v>
      </c>
      <c r="F23" s="25">
        <v>1865.41</v>
      </c>
      <c r="G23" s="25">
        <v>2279.945555555556</v>
      </c>
      <c r="H23" s="25">
        <v>2694.4811111111112</v>
      </c>
      <c r="I23" s="25">
        <v>3109.0166666666669</v>
      </c>
      <c r="J23" s="25">
        <v>3730.8200000000006</v>
      </c>
    </row>
    <row r="24" spans="1:10">
      <c r="A24" t="s">
        <v>559</v>
      </c>
      <c r="B24" t="s">
        <v>877</v>
      </c>
      <c r="C24" s="25">
        <v>1358.6533333333334</v>
      </c>
      <c r="D24" s="25">
        <v>1585.0955555555556</v>
      </c>
      <c r="E24" s="25">
        <v>1811.5377777777778</v>
      </c>
      <c r="F24" s="25">
        <v>2037.98</v>
      </c>
      <c r="G24" s="25">
        <v>2490.8644444444444</v>
      </c>
      <c r="H24" s="25">
        <v>2943.7488888888893</v>
      </c>
      <c r="I24" s="25">
        <v>3396.6333333333332</v>
      </c>
      <c r="J24" s="25">
        <v>4075.96</v>
      </c>
    </row>
    <row r="25" spans="1:10">
      <c r="A25" t="s">
        <v>600</v>
      </c>
      <c r="B25" t="s">
        <v>878</v>
      </c>
      <c r="C25" s="25">
        <v>1332.8533333333335</v>
      </c>
      <c r="D25" s="25">
        <v>1554.9955555555555</v>
      </c>
      <c r="E25" s="25">
        <v>1777.1377777777777</v>
      </c>
      <c r="F25" s="25">
        <v>1999.28</v>
      </c>
      <c r="G25" s="25">
        <v>2443.5644444444442</v>
      </c>
      <c r="H25" s="25">
        <v>2887.8488888888887</v>
      </c>
      <c r="I25" s="25">
        <v>3332.1333333333332</v>
      </c>
      <c r="J25" s="25">
        <v>3998.56</v>
      </c>
    </row>
    <row r="26" spans="1:10">
      <c r="A26" t="s">
        <v>561</v>
      </c>
      <c r="B26" t="s">
        <v>879</v>
      </c>
      <c r="C26" s="25">
        <v>1149.56</v>
      </c>
      <c r="D26" s="25">
        <v>1341.1533333333332</v>
      </c>
      <c r="E26" s="25">
        <v>1532.7466666666667</v>
      </c>
      <c r="F26" s="25">
        <v>1724.34</v>
      </c>
      <c r="G26" s="25">
        <v>2107.5266666666666</v>
      </c>
      <c r="H26" s="25">
        <v>2490.7133333333331</v>
      </c>
      <c r="I26" s="25">
        <v>2873.8999999999996</v>
      </c>
      <c r="J26" s="25">
        <v>3448.68</v>
      </c>
    </row>
    <row r="27" spans="1:10">
      <c r="A27" t="s">
        <v>602</v>
      </c>
      <c r="B27" t="s">
        <v>880</v>
      </c>
      <c r="C27" s="25">
        <v>1393.2466666666667</v>
      </c>
      <c r="D27" s="25">
        <v>1625.4544444444446</v>
      </c>
      <c r="E27" s="25">
        <v>1857.6622222222222</v>
      </c>
      <c r="F27" s="25">
        <v>2089.87</v>
      </c>
      <c r="G27" s="25">
        <v>2554.2855555555557</v>
      </c>
      <c r="H27" s="25">
        <v>3018.701111111111</v>
      </c>
      <c r="I27" s="25">
        <v>3483.1166666666668</v>
      </c>
      <c r="J27" s="25">
        <v>4179.74</v>
      </c>
    </row>
    <row r="28" spans="1:10">
      <c r="A28" t="s">
        <v>604</v>
      </c>
      <c r="B28" t="s">
        <v>881</v>
      </c>
      <c r="C28" s="25">
        <v>1509.1066666666666</v>
      </c>
      <c r="D28" s="25">
        <v>1760.6244444444444</v>
      </c>
      <c r="E28" s="25">
        <v>2012.142222222222</v>
      </c>
      <c r="F28" s="25">
        <v>2263.66</v>
      </c>
      <c r="G28" s="25">
        <v>2766.6955555555555</v>
      </c>
      <c r="H28" s="25">
        <v>3269.7311111111107</v>
      </c>
      <c r="I28" s="25">
        <v>3772.766666666666</v>
      </c>
      <c r="J28" s="25">
        <v>4527.32</v>
      </c>
    </row>
    <row r="29" spans="1:10">
      <c r="A29" t="s">
        <v>563</v>
      </c>
      <c r="B29" t="s">
        <v>882</v>
      </c>
      <c r="C29" s="25">
        <v>1195.3200000000002</v>
      </c>
      <c r="D29" s="25">
        <v>1394.54</v>
      </c>
      <c r="E29" s="25">
        <v>1593.76</v>
      </c>
      <c r="F29" s="25">
        <v>1792.98</v>
      </c>
      <c r="G29" s="25">
        <v>2191.42</v>
      </c>
      <c r="H29" s="25">
        <v>2589.86</v>
      </c>
      <c r="I29" s="25">
        <v>2988.3</v>
      </c>
      <c r="J29" s="25">
        <v>3585.96</v>
      </c>
    </row>
    <row r="30" spans="1:10">
      <c r="A30" t="s">
        <v>606</v>
      </c>
      <c r="B30" t="s">
        <v>883</v>
      </c>
      <c r="C30" s="25">
        <v>1444.12</v>
      </c>
      <c r="D30" s="25">
        <v>1684.8066666666664</v>
      </c>
      <c r="E30" s="25">
        <v>1925.4933333333331</v>
      </c>
      <c r="F30" s="25">
        <v>2166.1799999999998</v>
      </c>
      <c r="G30" s="25">
        <v>2647.5533333333333</v>
      </c>
      <c r="H30" s="25">
        <v>3128.9266666666663</v>
      </c>
      <c r="I30" s="25">
        <v>3610.2999999999997</v>
      </c>
      <c r="J30" s="25">
        <v>4332.3599999999997</v>
      </c>
    </row>
    <row r="31" spans="1:10">
      <c r="A31" t="s">
        <v>565</v>
      </c>
      <c r="B31" t="s">
        <v>884</v>
      </c>
      <c r="C31" s="25">
        <v>1117.0066666666667</v>
      </c>
      <c r="D31" s="25">
        <v>1303.1744444444444</v>
      </c>
      <c r="E31" s="25">
        <v>1489.3422222222223</v>
      </c>
      <c r="F31" s="25">
        <v>1675.51</v>
      </c>
      <c r="G31" s="25">
        <v>2047.8455555555556</v>
      </c>
      <c r="H31" s="25">
        <v>2420.181111111111</v>
      </c>
      <c r="I31" s="25">
        <v>2792.5166666666669</v>
      </c>
      <c r="J31" s="25">
        <v>3351.02</v>
      </c>
    </row>
    <row r="32" spans="1:10">
      <c r="A32" t="s">
        <v>608</v>
      </c>
      <c r="B32" t="s">
        <v>885</v>
      </c>
      <c r="C32" s="25">
        <v>1449.1466666666665</v>
      </c>
      <c r="D32" s="25">
        <v>1690.671111111111</v>
      </c>
      <c r="E32" s="25">
        <v>1932.1955555555553</v>
      </c>
      <c r="F32" s="25">
        <v>2173.7199999999998</v>
      </c>
      <c r="G32" s="25">
        <v>2656.7688888888888</v>
      </c>
      <c r="H32" s="25">
        <v>3139.8177777777773</v>
      </c>
      <c r="I32" s="25">
        <v>3622.8666666666663</v>
      </c>
      <c r="J32" s="25">
        <v>4347.4399999999996</v>
      </c>
    </row>
    <row r="33" spans="1:10">
      <c r="A33" t="s">
        <v>567</v>
      </c>
      <c r="B33" t="s">
        <v>886</v>
      </c>
      <c r="C33" s="25">
        <v>645.83999999999992</v>
      </c>
      <c r="D33" s="25">
        <v>753.48</v>
      </c>
      <c r="E33" s="25">
        <v>861.12</v>
      </c>
      <c r="F33" s="25">
        <v>968.76</v>
      </c>
      <c r="G33" s="25">
        <v>1184.04</v>
      </c>
      <c r="H33" s="25">
        <v>1399.32</v>
      </c>
      <c r="I33" s="25">
        <v>1614.6</v>
      </c>
      <c r="J33" s="25">
        <v>1937.52</v>
      </c>
    </row>
    <row r="34" spans="1:10">
      <c r="A34" s="26" t="s">
        <v>569</v>
      </c>
      <c r="B34" s="26" t="s">
        <v>887</v>
      </c>
      <c r="C34" s="27">
        <v>650.01333333333332</v>
      </c>
      <c r="D34" s="27">
        <v>758.34888888888884</v>
      </c>
      <c r="E34" s="27">
        <v>866.68444444444447</v>
      </c>
      <c r="F34" s="27">
        <v>975.02</v>
      </c>
      <c r="G34" s="27">
        <v>1191.691111111111</v>
      </c>
      <c r="H34" s="27">
        <v>1408.3622222222223</v>
      </c>
      <c r="I34" s="27">
        <v>1625.0333333333333</v>
      </c>
      <c r="J34" s="27">
        <v>1950.04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C15C-4A3D-4691-9C3C-EF4DEE40B5DC}">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6BE471-DB17-4CFA-A969-1DEB0C0717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Results</vt:lpstr>
      <vt:lpstr>Pivot Tables</vt:lpstr>
      <vt:lpstr>Final Dataset</vt:lpstr>
      <vt:lpstr>Sheet1</vt:lpstr>
      <vt:lpstr>TfL Fare</vt:lpstr>
      <vt:lpstr>House Prices</vt:lpstr>
      <vt:lpstr>Relevant Rental Data</vt:lpstr>
      <vt:lpstr>Sheet15</vt:lpstr>
      <vt:lpstr>Rent June 2025</vt:lpstr>
      <vt:lpstr>JTS0501 2022</vt:lpstr>
      <vt:lpstr>Council Tax 2024-2025</vt:lpstr>
      <vt:lpstr>Sheet18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Uddin</dc:creator>
  <cp:lastModifiedBy>Ash Uddin</cp:lastModifiedBy>
  <dcterms:created xsi:type="dcterms:W3CDTF">2025-09-18T17:14:13Z</dcterms:created>
  <dcterms:modified xsi:type="dcterms:W3CDTF">2025-12-16T23:40:53Z</dcterms:modified>
</cp:coreProperties>
</file>